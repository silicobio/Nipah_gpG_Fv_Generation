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Nipah_gpG_Fv_Generation\"/>
    </mc:Choice>
  </mc:AlternateContent>
  <xr:revisionPtr revIDLastSave="0" documentId="13_ncr:1_{F13A9425-CFF4-4740-8CBF-105E8A0B7E71}" xr6:coauthVersionLast="47" xr6:coauthVersionMax="47" xr10:uidLastSave="{00000000-0000-0000-0000-000000000000}"/>
  <bookViews>
    <workbookView xWindow="38280" yWindow="-120" windowWidth="38640" windowHeight="21240" tabRatio="500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  <sheet name="HADDOCK3 Scores" sheetId="13" r:id="rId6"/>
  </sheets>
  <definedNames>
    <definedName name="_xlnm._FilterDatabase" localSheetId="0" hidden="1">'Antibody Candidates'!$A$1:$V$138</definedName>
  </definedNames>
  <calcPr calcId="191029"/>
  <pivotCaches>
    <pivotCache cacheId="2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" l="1"/>
  <c r="M159" i="2"/>
  <c r="N159" i="2" s="1"/>
  <c r="O159" i="2" s="1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M147" i="2"/>
  <c r="N147" i="2" s="1"/>
  <c r="O147" i="2" s="1"/>
  <c r="M149" i="2"/>
  <c r="N149" i="2" s="1"/>
  <c r="O149" i="2" s="1"/>
  <c r="M150" i="2"/>
  <c r="N150" i="2" s="1"/>
  <c r="O150" i="2" s="1"/>
  <c r="M151" i="2"/>
  <c r="N151" i="2" s="1"/>
  <c r="O151" i="2" s="1"/>
  <c r="M152" i="2"/>
  <c r="N152" i="2" s="1"/>
  <c r="O152" i="2" s="1"/>
  <c r="M153" i="2"/>
  <c r="N153" i="2" s="1"/>
  <c r="O153" i="2" s="1"/>
  <c r="M154" i="2"/>
  <c r="N154" i="2" s="1"/>
  <c r="O154" i="2" s="1"/>
  <c r="M155" i="2"/>
  <c r="N155" i="2" s="1"/>
  <c r="O155" i="2" s="1"/>
  <c r="M156" i="2"/>
  <c r="N156" i="2" s="1"/>
  <c r="O156" i="2" s="1"/>
  <c r="M157" i="2"/>
  <c r="N157" i="2" s="1"/>
  <c r="O157" i="2" s="1"/>
  <c r="M158" i="2"/>
  <c r="N158" i="2" s="1"/>
  <c r="O158" i="2" s="1"/>
  <c r="M139" i="2"/>
  <c r="N139" i="2" s="1"/>
  <c r="O139" i="2" s="1"/>
  <c r="M140" i="2"/>
  <c r="N140" i="2" s="1"/>
  <c r="O140" i="2" s="1"/>
  <c r="M141" i="2"/>
  <c r="N141" i="2" s="1"/>
  <c r="O141" i="2" s="1"/>
  <c r="M142" i="2"/>
  <c r="N142" i="2" s="1"/>
  <c r="O142" i="2" s="1"/>
  <c r="M143" i="2"/>
  <c r="N143" i="2" s="1"/>
  <c r="O143" i="2" s="1"/>
  <c r="M144" i="2"/>
  <c r="N144" i="2" s="1"/>
  <c r="O144" i="2" s="1"/>
  <c r="M145" i="2"/>
  <c r="N145" i="2" s="1"/>
  <c r="O145" i="2" s="1"/>
  <c r="M146" i="2"/>
  <c r="N146" i="2" s="1"/>
  <c r="O146" i="2" s="1"/>
  <c r="M148" i="2"/>
  <c r="N148" i="2" s="1"/>
  <c r="O148" i="2" s="1"/>
  <c r="H5" i="11"/>
  <c r="F5" i="11"/>
  <c r="G5" i="11" s="1"/>
  <c r="M129" i="2"/>
  <c r="N129" i="2" s="1"/>
  <c r="O129" i="2" s="1"/>
  <c r="M130" i="2"/>
  <c r="N130" i="2" s="1"/>
  <c r="O130" i="2" s="1"/>
  <c r="M131" i="2"/>
  <c r="N131" i="2" s="1"/>
  <c r="O131" i="2" s="1"/>
  <c r="M132" i="2"/>
  <c r="N132" i="2" s="1"/>
  <c r="O132" i="2" s="1"/>
  <c r="M133" i="2"/>
  <c r="N133" i="2" s="1"/>
  <c r="O133" i="2" s="1"/>
  <c r="M134" i="2"/>
  <c r="N134" i="2" s="1"/>
  <c r="O134" i="2" s="1"/>
  <c r="M135" i="2"/>
  <c r="N135" i="2" s="1"/>
  <c r="O135" i="2" s="1"/>
  <c r="M136" i="2"/>
  <c r="N136" i="2" s="1"/>
  <c r="O136" i="2" s="1"/>
  <c r="M137" i="2"/>
  <c r="N137" i="2" s="1"/>
  <c r="O137" i="2" s="1"/>
  <c r="M138" i="2"/>
  <c r="N138" i="2" s="1"/>
  <c r="O138" i="2" s="1"/>
  <c r="M119" i="2"/>
  <c r="N119" i="2" s="1"/>
  <c r="O119" i="2" s="1"/>
  <c r="M120" i="2"/>
  <c r="N120" i="2" s="1"/>
  <c r="O120" i="2" s="1"/>
  <c r="M121" i="2"/>
  <c r="N121" i="2" s="1"/>
  <c r="O121" i="2" s="1"/>
  <c r="M122" i="2"/>
  <c r="N122" i="2" s="1"/>
  <c r="O122" i="2" s="1"/>
  <c r="M123" i="2"/>
  <c r="N123" i="2" s="1"/>
  <c r="O123" i="2" s="1"/>
  <c r="M124" i="2"/>
  <c r="N124" i="2" s="1"/>
  <c r="O124" i="2" s="1"/>
  <c r="M125" i="2"/>
  <c r="N125" i="2" s="1"/>
  <c r="O125" i="2" s="1"/>
  <c r="M126" i="2"/>
  <c r="N126" i="2" s="1"/>
  <c r="O126" i="2" s="1"/>
  <c r="M127" i="2"/>
  <c r="N127" i="2" s="1"/>
  <c r="O127" i="2" s="1"/>
  <c r="M128" i="2"/>
  <c r="N128" i="2" s="1"/>
  <c r="O128" i="2" s="1"/>
  <c r="M117" i="2"/>
  <c r="N117" i="2" s="1"/>
  <c r="O117" i="2" s="1"/>
  <c r="M118" i="2"/>
  <c r="N118" i="2" s="1"/>
  <c r="O118" i="2" s="1"/>
  <c r="M87" i="2"/>
  <c r="N87" i="2" s="1"/>
  <c r="O87" i="2" s="1"/>
  <c r="M88" i="2"/>
  <c r="N88" i="2" s="1"/>
  <c r="O88" i="2" s="1"/>
  <c r="M89" i="2"/>
  <c r="N89" i="2" s="1"/>
  <c r="O89" i="2" s="1"/>
  <c r="M90" i="2"/>
  <c r="N90" i="2" s="1"/>
  <c r="O90" i="2" s="1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N96" i="2" s="1"/>
  <c r="O96" i="2" s="1"/>
  <c r="M97" i="2"/>
  <c r="N97" i="2" s="1"/>
  <c r="O97" i="2" s="1"/>
  <c r="M98" i="2"/>
  <c r="N98" i="2" s="1"/>
  <c r="O98" i="2" s="1"/>
  <c r="M99" i="2"/>
  <c r="N99" i="2" s="1"/>
  <c r="O99" i="2" s="1"/>
  <c r="M100" i="2"/>
  <c r="N100" i="2" s="1"/>
  <c r="O100" i="2" s="1"/>
  <c r="M101" i="2"/>
  <c r="N101" i="2" s="1"/>
  <c r="O101" i="2" s="1"/>
  <c r="M102" i="2"/>
  <c r="N102" i="2" s="1"/>
  <c r="O102" i="2" s="1"/>
  <c r="M103" i="2"/>
  <c r="N103" i="2" s="1"/>
  <c r="O103" i="2" s="1"/>
  <c r="M104" i="2"/>
  <c r="N104" i="2" s="1"/>
  <c r="O104" i="2" s="1"/>
  <c r="M105" i="2"/>
  <c r="N105" i="2" s="1"/>
  <c r="O105" i="2" s="1"/>
  <c r="M106" i="2"/>
  <c r="N106" i="2" s="1"/>
  <c r="O106" i="2" s="1"/>
  <c r="M107" i="2"/>
  <c r="N107" i="2" s="1"/>
  <c r="O107" i="2" s="1"/>
  <c r="M108" i="2"/>
  <c r="N108" i="2" s="1"/>
  <c r="O108" i="2" s="1"/>
  <c r="M109" i="2"/>
  <c r="N109" i="2" s="1"/>
  <c r="O109" i="2" s="1"/>
  <c r="M110" i="2"/>
  <c r="N110" i="2" s="1"/>
  <c r="O110" i="2" s="1"/>
  <c r="M111" i="2"/>
  <c r="N111" i="2" s="1"/>
  <c r="O111" i="2" s="1"/>
  <c r="M112" i="2"/>
  <c r="N112" i="2" s="1"/>
  <c r="O112" i="2" s="1"/>
  <c r="M113" i="2"/>
  <c r="N113" i="2" s="1"/>
  <c r="O113" i="2" s="1"/>
  <c r="M114" i="2"/>
  <c r="N114" i="2" s="1"/>
  <c r="O114" i="2" s="1"/>
  <c r="M115" i="2"/>
  <c r="N115" i="2" s="1"/>
  <c r="O115" i="2" s="1"/>
  <c r="M116" i="2"/>
  <c r="N116" i="2" s="1"/>
  <c r="O116" i="2" s="1"/>
  <c r="M86" i="2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<sst xmlns="http://schemas.openxmlformats.org/spreadsheetml/2006/main" count="1757" uniqueCount="665">
  <si>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</si>
  <si>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</si>
  <si>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</si>
  <si>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</si>
  <si>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</si>
  <si>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</si>
  <si>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</si>
  <si>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</si>
  <si>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</si>
  <si>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</si>
  <si>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</si>
  <si>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</si>
  <si>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</si>
  <si>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</si>
  <si>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</si>
  <si>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</si>
  <si>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</si>
  <si>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</si>
  <si>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</si>
  <si>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</si>
  <si>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</si>
  <si>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</si>
  <si>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</si>
  <si>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</si>
  <si>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</si>
  <si>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</si>
  <si>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</si>
  <si>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</si>
  <si>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</si>
  <si>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</si>
  <si>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</si>
  <si>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</si>
  <si>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</si>
  <si>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</si>
  <si>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</si>
  <si>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</si>
  <si>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</si>
  <si>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</si>
  <si>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</si>
  <si>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</si>
  <si>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</si>
  <si>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</si>
  <si>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</si>
  <si>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</si>
  <si>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</si>
  <si>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</si>
  <si>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</si>
  <si>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</si>
  <si>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</si>
  <si>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</si>
  <si>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</si>
  <si>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</si>
  <si>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</si>
  <si>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</si>
  <si>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</si>
  <si>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</si>
  <si>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</si>
  <si>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</si>
  <si>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</si>
  <si>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</si>
  <si>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</si>
  <si>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</si>
  <si>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</si>
  <si>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</si>
  <si>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</si>
  <si>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</si>
  <si>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</si>
  <si>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</si>
  <si>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</si>
  <si>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</si>
  <si>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</si>
  <si>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</si>
  <si>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</si>
  <si>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</si>
  <si>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</si>
  <si>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</si>
  <si>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</si>
  <si>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</si>
  <si>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</si>
  <si>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</si>
  <si>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</si>
  <si>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</si>
  <si>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</si>
  <si>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</si>
  <si>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</si>
  <si>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</si>
  <si>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</si>
  <si>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</si>
  <si>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</si>
  <si>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</si>
  <si>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</si>
  <si>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</si>
  <si>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</si>
  <si>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</si>
  <si>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</si>
  <si>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</si>
  <si>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</si>
  <si>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</si>
  <si>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</si>
  <si>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</si>
  <si>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</si>
  <si>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</si>
  <si>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</si>
  <si>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</si>
  <si>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</si>
  <si>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</si>
  <si>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</si>
  <si>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</si>
  <si>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</si>
  <si>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</si>
  <si>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</si>
  <si>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</si>
  <si>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</si>
  <si>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</si>
  <si>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</si>
  <si>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</si>
  <si>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</si>
  <si>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</si>
  <si>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</si>
  <si>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</si>
  <si>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</si>
  <si>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</si>
  <si>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</si>
  <si>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</si>
  <si>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</si>
  <si>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</si>
  <si>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</si>
  <si>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</si>
  <si>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</si>
  <si>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</si>
  <si>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</si>
  <si>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</si>
  <si>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</si>
  <si>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</si>
  <si>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</si>
  <si>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</si>
  <si>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</si>
  <si>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</si>
  <si>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</si>
  <si>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</si>
  <si>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</si>
  <si>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</si>
  <si>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</si>
  <si>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</si>
  <si>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</si>
  <si>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</si>
  <si>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</si>
  <si>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</si>
  <si>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</si>
  <si>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</si>
  <si>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</si>
  <si>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</si>
  <si>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</si>
  <si>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</si>
  <si>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</si>
  <si>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</si>
  <si>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</si>
  <si>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</si>
  <si>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</si>
  <si>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</si>
  <si>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</si>
  <si>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</si>
  <si>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</si>
  <si>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</si>
  <si>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</si>
  <si>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</si>
  <si>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</si>
  <si>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</si>
  <si>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</si>
  <si>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</si>
  <si>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</si>
  <si>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</si>
  <si>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</si>
  <si>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</si>
  <si>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</si>
  <si>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</si>
  <si>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</si>
  <si>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</si>
  <si>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</si>
  <si>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</si>
  <si>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</si>
  <si>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</si>
  <si>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</si>
  <si>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</si>
  <si>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</si>
  <si>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</si>
  <si>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</si>
  <si>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</si>
  <si>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</si>
  <si>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</si>
  <si>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</si>
  <si>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</si>
  <si>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</si>
  <si>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</si>
  <si>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</si>
  <si>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</si>
  <si>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</si>
  <si>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</si>
  <si>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</si>
  <si>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</si>
  <si>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</si>
  <si>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</si>
  <si>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</si>
  <si>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</si>
  <si>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</si>
  <si>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</si>
  <si>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</si>
  <si>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</si>
  <si>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</si>
  <si>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</si>
  <si>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</si>
  <si>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</si>
  <si>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</si>
  <si>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</si>
  <si>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</si>
  <si>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</si>
  <si>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</si>
  <si>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</si>
  <si>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</si>
  <si>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</si>
  <si>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</si>
  <si>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</si>
  <si>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</si>
  <si>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</si>
  <si>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</si>
  <si>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</si>
  <si>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</si>
  <si>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</si>
  <si>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</si>
  <si>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</si>
  <si>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</si>
  <si>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</si>
  <si>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</si>
  <si>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</si>
  <si>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</si>
  <si>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</si>
  <si>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</si>
  <si>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</si>
  <si>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</si>
  <si>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</si>
  <si>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</si>
  <si>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</si>
  <si>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</si>
  <si>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</si>
  <si>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</si>
  <si>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</si>
  <si>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</si>
  <si>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</si>
  <si>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</si>
  <si>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</si>
  <si>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</si>
  <si>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</si>
  <si>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</si>
  <si>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</si>
  <si>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</si>
  <si>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</si>
  <si>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</si>
  <si>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</si>
  <si>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</si>
  <si>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</si>
  <si>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</si>
  <si>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</si>
  <si>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</si>
  <si>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</si>
  <si>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</si>
  <si>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</si>
  <si>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</si>
  <si>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</si>
  <si>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</si>
  <si>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</si>
  <si>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</si>
  <si>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</si>
  <si>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</si>
  <si>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</si>
  <si>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</si>
  <si>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</si>
  <si>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</si>
  <si>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</si>
  <si>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</si>
  <si>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</si>
  <si>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</si>
  <si>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</si>
  <si>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</si>
  <si>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</si>
  <si>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</si>
  <si>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</si>
  <si>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</si>
  <si>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</si>
  <si>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</si>
  <si>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</si>
  <si>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</si>
  <si>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</si>
  <si>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</si>
  <si>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</si>
  <si>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</si>
  <si>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</si>
  <si>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</si>
  <si>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</si>
  <si>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</si>
  <si>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</si>
  <si>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</si>
  <si>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</si>
  <si>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</si>
  <si>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</si>
  <si>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</si>
  <si>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</si>
  <si>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</si>
  <si>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</si>
  <si>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</si>
  <si>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</si>
  <si>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</si>
  <si>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</si>
  <si>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</si>
  <si>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</si>
  <si>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</si>
  <si>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</si>
  <si>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</si>
  <si>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</si>
  <si>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</si>
  <si>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</si>
  <si>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</si>
  <si>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</si>
  <si>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</si>
  <si>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</si>
  <si>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</si>
  <si>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</si>
  <si>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</si>
  <si>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</si>
  <si>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</si>
  <si>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</si>
  <si>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</si>
  <si>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</si>
  <si>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</si>
  <si>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</si>
  <si>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</si>
  <si>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</si>
  <si>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</si>
  <si>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</si>
  <si>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</si>
  <si>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</si>
  <si>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</si>
  <si>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</si>
  <si>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</si>
  <si>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</si>
  <si>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</si>
  <si>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</si>
  <si>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</si>
  <si>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</si>
  <si>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</si>
  <si>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</si>
  <si>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</si>
  <si>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</si>
  <si>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</si>
  <si>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</si>
  <si>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</si>
  <si>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</si>
  <si>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</si>
  <si>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</si>
  <si>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</si>
  <si>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</si>
  <si>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</si>
  <si>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</si>
  <si>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</si>
  <si>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</si>
  <si>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</si>
  <si>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</si>
  <si>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</si>
  <si>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</si>
  <si>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</si>
  <si>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</si>
  <si>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</si>
  <si>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</si>
  <si>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</si>
  <si>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</si>
  <si>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</si>
  <si>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</si>
  <si>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</si>
  <si>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</si>
  <si>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</si>
  <si>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</si>
  <si>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</si>
  <si>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</si>
  <si>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</si>
  <si>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</si>
  <si>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</si>
  <si>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</si>
  <si>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</si>
  <si>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</si>
  <si>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</si>
  <si>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</si>
  <si>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</si>
  <si>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</si>
  <si>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</si>
  <si>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</si>
  <si>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</si>
  <si>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</si>
  <si>
    <t>sbio-nipahgpg-088</t>
  </si>
  <si>
    <t>sbio-nipahgpg-089</t>
  </si>
  <si>
    <t>sbio-nipahgpg-090</t>
  </si>
  <si>
    <t>sbio-nipahgpg-091</t>
  </si>
  <si>
    <t>sbio-nipahgpg-092</t>
  </si>
  <si>
    <t>sbio-nipahgpg-093</t>
  </si>
  <si>
    <t>sbio-nipahgpg-094</t>
  </si>
  <si>
    <t>sbio-nipahgpg-095</t>
  </si>
  <si>
    <t>sbio-nipahgpg-096</t>
  </si>
  <si>
    <t>sbio-nipahgpg-097</t>
  </si>
  <si>
    <t>sbio-nipahgpg-098</t>
  </si>
  <si>
    <t>sbio-nipahgpg-099</t>
  </si>
  <si>
    <t>sbio-nipahgpg-100</t>
  </si>
  <si>
    <t>sbio-nipahgpg-101</t>
  </si>
  <si>
    <t>sbio-nipahgpg-102</t>
  </si>
  <si>
    <t>sbio-nipahgpg-103</t>
  </si>
  <si>
    <t>sbio-nipahgpg-104</t>
  </si>
  <si>
    <t>sbio-nipahgpg-105</t>
  </si>
  <si>
    <t>sbio-nipahgpg-106</t>
  </si>
  <si>
    <t>sbio-nipahgpg-107</t>
  </si>
  <si>
    <t>sbio-nipahgpg-108</t>
  </si>
  <si>
    <t>sbio-nipahgpg-109</t>
  </si>
  <si>
    <t>sbio-nipahgpg-110</t>
  </si>
  <si>
    <t>sbio-nipahgpg-111</t>
  </si>
  <si>
    <t>sbio-nipahgpg-112</t>
  </si>
  <si>
    <t>sbio-nipahgpg-113</t>
  </si>
  <si>
    <t>sbio-nipahgpg-114</t>
  </si>
  <si>
    <t>sbio-nipahgpg-115</t>
  </si>
  <si>
    <t>sbio-nipahgpg-116</t>
  </si>
  <si>
    <t>sbio-nipahgpg-117</t>
  </si>
  <si>
    <t>EVQLVESGGGLVQPGGSLRLSCAASGFNVSYSSIHWVRQAPGKGLEWVASIYSYSGYTYYADSVKGRFTISADTSKNTAYLQMNSLRAEDTAVYYCARGWYSYFDYWGQGTLVTVSS</t>
  </si>
  <si>
    <t>QVQLVQSGAEVKKPGSSVKVSCKASGGTFSSYAISWVRQAPGQGLEWMGGIIIFGTANYAQKFQGRVTITADKSTSTAYMELRSEDTAVYYCAREGTTGWDYWGQGTLVTVSS</t>
  </si>
  <si>
    <t>EIVLTQSPGTLSLSPGERATLSCRASQSVSSSYLAWYQQKPGQAPRLLIYGASSRATGIPDRFSGSGSGTDFTLTISRLEPEDFAVYYCQQYGSSPRTFGQGTKVEIK</t>
  </si>
  <si>
    <t>EVQLVESGGGLVQPGGSLRLSCAASGFNVSYYSIHWVRQAPGKGLEWVASIYSYSGYTSYADSVKGRFTISADTSKNTAYLQMNSLRAEDTAVYYCARYYVYYGAMDYWGQGTLVTVSS</t>
  </si>
  <si>
    <t>EVQLVESGGGLVQPGGSLRLSCAASGFNVSYSSIHWVRQAPGKGLEWVASIYSYSGYTYYADSVKGRFTISADTSKNTAYLQMNSLRAEDTAVYYCARGWVRGSSYWGQGTLVTVSS</t>
  </si>
  <si>
    <t>EVQLVESGGGLVQPGGSLRLSCAASGFNVSYSSIHWVRQAPGKGLEWVASIYSYSGYTNYADSVKGRFTISADTSKNTAYLQMNSLRAEDTAVYYCARYYGGYGGYFDYWGQGTLVTVSS</t>
  </si>
  <si>
    <t>EVQLVESGGGLVQPGGSLRLSCAASGFNVSYYSIHWVRQAPGKGLEWVASIYPYSGYTNYADSVKGRFTISADTSKNTAYLQMNSLRAEDTAVYYCARYYGYWYFDYWGQGTLVTVSS</t>
  </si>
  <si>
    <t>EVQLVESGGGLVQPGGSLRLSCAASGFNVSYSSIHWVRQAPGKGLEWVASIYSYSGYTSYADSVKGRFTISADTSKNTAYLQMNSLRAEDTAVYYCARYYGGYGGWYFDYWGQGTLVTVSS</t>
  </si>
  <si>
    <t>EVQLVESGGGLVQPGGSLRLSCAASGFNVSYYSIHWVRQAPGKGLEWVASISSYYGYTYYADSVKGRFTISADTSKNTAYLQMNSLRAEDTAVYYCARYYGYWYFDYWGQGTLVTVSS</t>
  </si>
  <si>
    <t>EVQLVESGGGLVQPGGSLRLSCAASGFNVSYYSIHWVRQAPGKGLEWVASISSYYGYTYYADSVKGRFTISADTSKNTAYLQMNSLRAEDTAVYYCARYYGTYYGHSYWGQGTLVTVSS</t>
  </si>
  <si>
    <t>EVQLVESGGGLVQPGGSLRLSCAASGFNVSYSSIHWVRQAPGKGLEWVASIYSYSGYTNYADSVKGRFTISADTSKNTAYLQMNSLRAEDTAVYYCARYWYFGYFDYWGQGTLVTVSS</t>
  </si>
  <si>
    <t>EVQLVESGGGLVKPGGSLRLSCAASGFTFRNYAMSWVRQAPGKGLEWVSSISSKSKSTSYADSVKGRFTISRDNAKNSLYLQMNSLRAEDTAVYYCARESGSFSYEGVWGQGTLVTVSS</t>
  </si>
  <si>
    <t>SVLTQPPSVSGAPGQRVTISCTGSSSNIGAGYDVHWYQQLPGTAPKLLIYDNNKRPSGVPDRFSGSKSGTSASLAITGLQAEDEADYYCQSYDSSLSGLVFGGGTKLTVL</t>
  </si>
  <si>
    <t>EVQLVESGGGLVQPGGSLRLSCAASGFNISSSSIHWVRQAPGKGLEWVASIYYSSGYTHYADSVKGRFTISADTSKNTAYLQMNSLRAEDTAVYYCARWGYWPGQVWLWFAYWGQGTLVTVS</t>
  </si>
  <si>
    <t>QVQLVQSGAEVKKPGSSVKVSCKSSGGTSNNYAISWVRQAPGQGLEWMGGIIPILGIANYAQKFQGRVTITADKSTSTAYMELSSLRSEDTAVYYCAREDAVVDYWGQGTLVTVSS</t>
  </si>
  <si>
    <t>DIQMTQSPSTLSASVGDRVTITCRASQGISSWLAWYQQKPGKAPKLLIYKASSLESGVPSRFSGSGSGTEFTLTISSLQPDDFATYYCQQYNSYPLTFGQGTKVQVK</t>
  </si>
  <si>
    <t>EVQLVESGGGLVQPGGSLRLSCAASGFNVSSSSIHWVRQAPGKGLEWVASISSYYGYTYYADSVKGRFTISADTSKNTAYLQMNSLRAEDTAVYYCARHWGYCSWFAYWGQGTLVTVSS</t>
  </si>
  <si>
    <t>EVQLVESGGGLVQPGGSLRLSCAASGFNISSSSIHWVRQAPGKGLEWVASIYSYSGYTSYADSVKGRFTISADTSKNTAYLQMNSLRAEDTAVYYCARGSHYFGYFDYWGQGTLVTVSS</t>
  </si>
  <si>
    <t>QVQLQESGPGLVKPSQTLSLTCTVSGGSISSGDYYWIRQHPGKGLEWIGYIYYSGSTDYNPSLKSRVTISVDTSKNQFSLKVTAADTAVYYCARTWFGSDYWGQGTLVTVSS</t>
  </si>
  <si>
    <t>DIQMTQSPSSLSASVGDRVTITCRASQGISNYLAWYQQKPGKAPKLLIYAASTLQSGVPSRFSGSGSGTDFTLTISSLQPEDFATYYCQQAHSFPYTFGGGTKLEIK</t>
  </si>
  <si>
    <t>EVQLVESGGGLVQPGGSLRLSCAASGFTFSSYWMNWVRQAPGKGLEWVAFIRYDGGNKYYADSVKGRFTISRDNSKNTLYLQMNSLRAEDTAVYYCARWSYSGGSGSYYVYFDYWGQGTLVTVS</t>
  </si>
  <si>
    <t>SVLTQPPSVSGAPGQRVTISCTGSSSNIGAGYDVHWYQQLPGTAPKLLIYGNSNRPSGVPDRFSGSKSGTSASLAITGLQAEDEADYYCQSYDSSLSGSVFGGGTKLTVL</t>
  </si>
  <si>
    <t>QVQLVQSGAEVKKPGASVKVSCKASGYTFTNYYIHWVRQAPGQGLEWMGWIYPGGNTNYAQKFQGRVTMTRDTSISTAYMELSRLRSDDTAVYYCARVRTEFDYWGQGTLVTVSS</t>
  </si>
  <si>
    <t>DIVMTQSPSSLAMSAGAETITCRSSQSVHSNGYLNWYQQKPGQPPKLLIYWASTRESGVPDRFTGSGSGTDFTLTITNVQSEDLAEYFCQQYSSYPLTFGAGTKLELR</t>
  </si>
  <si>
    <t>QVQLQESGPGLVKPSETLSLTCTVSGGSVSSGGYFWSWIRQPPGKGLEWIGYVSGSGSTNYNPSLKSRVTISVDTSKNQFSLKLSSVTAADTAVYYCARWDVWISDYWGQGTLVTVSS</t>
  </si>
  <si>
    <t>EIVLTQSPATLSLSPGERATLSCRASQSVSSYLAWYQQKPGQAPRLLIYDASNRATGIPARFSGSGSGTDFTLTISSLEPEDFAVYYCQHSWDQPPWTFGQGTKVEIK</t>
  </si>
  <si>
    <t>QVQLQESGPGLVKPSQTLSLTCTVTGSSITSGYWNWIRQFPGNKLEWMGYISYSGTITYNPSLKSRISITRDTSKNQFFLQLNSVTTEDTATYYCARVYDGFYDYWGQGTLVTVSS</t>
  </si>
  <si>
    <t>DIVMTQSPSSLSASVGDRVTITCRASQGISSWLAWYQQKPGKAPKLLIYKASSLESGVPSRFSGSGSGTEFTLTISSLQPDDFATYYCQQYNSYPLTFGGGTKVEIK</t>
  </si>
  <si>
    <t>QVQLVESGGGVVQPGRSLRLSCAASGFTFSNYAMHWVRQAPGKGLEWVAVISYNSGNPYADSVKGRFTISRDNSKNTLYLQMRVEDTAVYYCSRTTIGYGGDIWGNMFDYWGQGTLVTVSS</t>
  </si>
  <si>
    <t>DIVMTQSPATLSVSPGDRATLSCRASQSISTNLAWYQQKPGQAPRLLIYTASTLESGVPSRFSGSGSGTEFTLTISNLQSEDFATYFCQQYSAPLTFGGGTKVEIK</t>
  </si>
  <si>
    <t>EVQLVESGGGLVQPGGSLRLSCAASGFASSSSNYVHWVRQAPGKGLEWVATIYPYSSSEYAASVQGRFTISRDDSKNTLYLQMNSLRGEDTAVYYCARYGYYSSRSGYGYYFNYWGQGTLVTVSS</t>
  </si>
  <si>
    <t>DIVMTQSPASLAVSLGQRATISCRASESVDSYGNSFLAWYQQKPGQPPKLLIYWASTRQSGVPARFSGSGSGTDFTLNIHPVEEEDAATYYCQQHNYPLTFGAGTKLEIK</t>
  </si>
  <si>
    <t>EVQLVESGAEVKKPGSSVKVSCKASGGPFTSYVISWVRQAPGQGLEWMGRIIPIRGTTYAQKFQGRVTITADKSTSTAYMELRSEDTAVYYCARGSHVFGYYDYWGQGTLVTVSS</t>
  </si>
  <si>
    <t>EIVLTQSPGTLSLSPGERATLSCRASQSISGNYLAWYQQKPGQAPRLLIYGASIRAAGIPDRFSGSGSGTDFTLTISRLEPEDFAVYYCQQYGSSPRTFGQGTKVEIK</t>
  </si>
  <si>
    <t>EVQLVETGGGLVQPGGSLKLSCRASGYTFTDYAMHWVRQAPLGLGLYTGGVNYARHFMKSRISITRDNSKNTLYLQMTKVDDTATYFCARRGLFDSDYWGQGTLVTVSS</t>
  </si>
  <si>
    <t>SVTQPPSVSGSTSVGDRVTTCRASQSISSNWLAWYQQFPGTAPKLLIYENSSRPSGVPDRFSGSGSGTDFTLKISRVEAEDVGVYYCLQALSPRFTFGSGTKLEIK</t>
  </si>
  <si>
    <t>QVQLVQSGAEVKKPGSSVKVSCKASGGTFSNYGISWVRQAPGQGLEWMGGIIPILGIANYAQKFQGRVTITADKSTSTAYMELRSLRSDDTAVYYCAREGHAYFHNGLDYWGQGTLVTVSS</t>
  </si>
  <si>
    <t>EIVLTQSPGTLSLSPGERATLSCRASQSVSSSYFAWYQQKPGQAPRLLIYGASSRATGIPDRFSGSGSGTDFTLTISRLEPEDFAVYYCQQYGSSPPATFGQGTKVEIK</t>
  </si>
  <si>
    <t>QVQLVESGGGVVQPGRSLRLSCAASGFTFSSFGMHWVRQAPGKGLEWVAIIWDGSNKYYADSVKGRFTISRDNSKNTLYLQMRAEDTAVYYCALDGGSFDDYWGQGTLVTVSS</t>
  </si>
  <si>
    <t>DIQMTQSPSTLSTSVGDRVTITCRASQSISSWLAWYQQKPGKAPKLLIYKASTLESGVPSRFSGSGSGTEFTLTISSLQPDDFATYYCQHFYGTPITFGPGTKVD</t>
  </si>
  <si>
    <t>EVQLVESGGGLVKPGGSLKVSCAASGFTFSDYSMNWVRQAPGKGLEWVSSITSGYTSIYYADSVKGRFTISRDNAKNSLYLQMNSLRAGDTAVYYCARVSDNFDYWGQGTAVTVSS</t>
  </si>
  <si>
    <t>DIQMTQSPSSLSASVGDRVTITCQASQDIRFYLNWYQQKPGKAPKLLISAASTLQSGVPSRFSGSGSGTDFTLTITSLQPEDFATYYCAGYVPSYTFGPGTKVDIK</t>
  </si>
  <si>
    <t>EVQLQQSGAELVKPGASVKLSCKASGYTFLDYYMYWVKQRPEQGLEWIGRIDPANGNTIYAPKFQDKATLTLTTDTTSSNTAYMQLSSLTSEDSAVYYCAREGNYGYRDLAWFAYWGQGTLVTVSS</t>
  </si>
  <si>
    <t>AIRMTQSPSSLSASVGDTVTITCRASQSISSYLNWYQQKPGKAPKLLIYTASNLESGVPSRFSGSGSGTDYTLTISSLQPEDIATYYCQQYDNPPLTFGGGTKVEIK</t>
  </si>
  <si>
    <t>QVQLQESGPGLVKPSETLSLTCTVSGGSVSSGGYFWSWIRQRPGKGLEWIGHIYYSGTTNYNPSLRSRVTISRDTSKSQFSLKMDSLTSEDTALYYCARQLGLRFDIWGQGTMVTVSS</t>
  </si>
  <si>
    <t>DIQMTQSPSSLSASVGDRVTITCRASQSISSYLNWYQQKPGKAPKLLIYAASSLQSGVPSRFSGSGSGTDFTLTISSLQPEDFATYYCQQSYTTPPTFGQGTKVEIK</t>
  </si>
  <si>
    <t>QVQLVESGGGLVQPGGSLRLSCAASGFNLYSSSIHWVRQAPGKGLEWVARIYPSGATYYADSVKGRFTISADTSKNTAYLQMRAEDTAVYYCARSYYGDDYWGQGTLVTVSS</t>
  </si>
  <si>
    <t>DIQMTQSPSSLSASVGDRVTITCRASQSVSSAVAWYQQKPGKAPKLLIYSASFLYSGVPSRFSGSRSGTDFTLTISSLQPEDFATYYCQQYSYYPFTFGQGTKVEIK</t>
  </si>
  <si>
    <t>bright-moth-reed</t>
  </si>
  <si>
    <t>calm-tiger-flint</t>
  </si>
  <si>
    <t>silver-dove-moss</t>
  </si>
  <si>
    <t>silent-seal-marble</t>
  </si>
  <si>
    <t>radiant-quail-lotus</t>
  </si>
  <si>
    <t>young-fox-flint</t>
  </si>
  <si>
    <t>steady-ant-cloud</t>
  </si>
  <si>
    <t>azure-falcon-cypress</t>
  </si>
  <si>
    <t>calm-moth-ivy</t>
  </si>
  <si>
    <t>young-wolf-cedar</t>
  </si>
  <si>
    <t>silver-raven-granite</t>
  </si>
  <si>
    <t>amber-boar-ice</t>
  </si>
  <si>
    <t>wild-cat-jade</t>
  </si>
  <si>
    <t>violet-ant-onyx</t>
  </si>
  <si>
    <t>young-dove-rose</t>
  </si>
  <si>
    <t>misty-ibis-clay</t>
  </si>
  <si>
    <t>scarlet-panther-opal</t>
  </si>
  <si>
    <t>azure-toad-ice</t>
  </si>
  <si>
    <t>noble-heron-rose</t>
  </si>
  <si>
    <t>solid-fox-crystal</t>
  </si>
  <si>
    <t>wild-crane-lotus</t>
  </si>
  <si>
    <t>mellow-bison-reed</t>
  </si>
  <si>
    <t>misty-lynx-snow</t>
  </si>
  <si>
    <t>green-ant-granite</t>
  </si>
  <si>
    <t>steady-fox-ash</t>
  </si>
  <si>
    <t>strong-eagle-crystal</t>
  </si>
  <si>
    <t>rapid-dove-frost</t>
  </si>
  <si>
    <t>EVQLVESGGGLVQPGGSLRLSCAASGFATVSSNYMSWVRQAPGKGLEWVSVIYSCGSTYYADSVKGRFTISRDNSKNTLYLQMNSLRAEDTAVYYCARYYYDSSRSGYYYYFDYWGQGTLVTVSS</t>
  </si>
  <si>
    <t>sbio-nipahgpg-118</t>
  </si>
  <si>
    <t>sbio-nipahgpg-119</t>
  </si>
  <si>
    <t>DIVLTQSPASLAVSLGQRATISCKASQSVDYDGDSYMHWYQQKPGQPPKLLIYRASNLESGIPARFSGSGSRTDFTLTINPVEADDVATYYCQQSNYPLTFGSGTKVEIK</t>
  </si>
  <si>
    <t>peleke-phi-4 (humanized)</t>
  </si>
  <si>
    <t>EVQLLESGGGLVQPGGSLRLSCAASGFTFSSYAMSWVRQAPGKGLEWVSYISSSSSTIYYADSVKGRFTISRDNAKNSLYLQMNSLRAEDTAVYYCAKYSSYDYDYWGRGTMVTVSS</t>
  </si>
  <si>
    <t>DIQLTQSPSSLSASVGDRVTITCRASQGISSYLNWYQQKPGKAPKLLIYDASSLQSGVPSRFSGSGSGTDFTLTISSLQPEDFATYYCQQFYEWLRTFGQGTRLEIK</t>
  </si>
  <si>
    <t>brisk-vole-plume</t>
  </si>
  <si>
    <t>hollow-hawk-iron</t>
  </si>
  <si>
    <t>misty-quail-pearl</t>
  </si>
  <si>
    <t>gentle-fox-plume</t>
  </si>
  <si>
    <t>silver-quail-maple</t>
  </si>
  <si>
    <t>frozen-boar-ruby</t>
  </si>
  <si>
    <t>small-wolf-oak</t>
  </si>
  <si>
    <t>peleke-1 + AntiBMPNN</t>
  </si>
  <si>
    <t>sbio-nipahgpg-120</t>
  </si>
  <si>
    <t>sbio-nipahgpg-121</t>
  </si>
  <si>
    <t>sbio-nipahgpg-122</t>
  </si>
  <si>
    <t>sbio-nipahgpg-123</t>
  </si>
  <si>
    <t>sbio-nipahgpg-124</t>
  </si>
  <si>
    <t>sbio-nipahgpg-125</t>
  </si>
  <si>
    <t>sbio-nipahgpg-126</t>
  </si>
  <si>
    <t>sbio-nipahgpg-127</t>
  </si>
  <si>
    <t>sbio-nipahgpg-128</t>
  </si>
  <si>
    <t>sbio-nipahgpg-129</t>
  </si>
  <si>
    <t>peleke-phi-4 / 000</t>
  </si>
  <si>
    <t>EVQLVESGGGLVQPGGSLRLSCAASGFNISDSSIHWVRQAPGKGLEWVASISSYSGYTYYADSVKGRFTISADTSKNTAYLQMNSLRAEDTAVYYCARGGRDLFGLDALDYWGQGTLVTVSS</t>
  </si>
  <si>
    <t>EVQLVESGGGLVQPGGSLRLSCAASGFNISSSSIHWVRQAPGKGLEWVASIYSYSGLTYYADSVKGRFTISADTSKNTAYLQMNSLRAEDTAVYYCARGGYYLDGLYALDYWGQGTLVTVSS</t>
  </si>
  <si>
    <t>EVQLVESGGGLVQPGGSLRLSCAASGFNISSSSIHWVRQAPGKGLEWVASIYSYSGATYYADSVKGRFTISADTSKNTAYLQMNSLRAEDTAVYYCARGGNHLDGLYALDYWGQGTLVTVSS</t>
  </si>
  <si>
    <t>EVQLVESGGGLVQPGGSLRLSCAASGFNISSSSIHWVRQAPGKGLEWVASIYSYSGYTYYADSVKGRFTISADTSKNTAYLQMNSLRAEDTAVYYCARGGRYLDGLFALDYWGQGTLVTVSS</t>
  </si>
  <si>
    <t>EVQLVESGGGLVQPGGSLRLSCAASGFNISSSSIHWVRQAPGKGLEWVASISSYSGYTYYADSVKGRFTISADTSKNTAYLQMNSLRAEDTAVYYCARGGSLLRGLSALDYWGQGTLVTVSS</t>
  </si>
  <si>
    <t>EVQLVESGGGLVQPGGSLRLSCAASGFNISDSSIHWVRQAPGKGLEWVASISSYSGYTYYADSVKGRFTISADTSKNTAYLQMNSLRAEDTAVYYCARGGRYLDGLYALDYWGQGTLVTVSS</t>
  </si>
  <si>
    <t>EVQLVESGGGLVQPGGSLRLSCAASGFNISSSSIHWVRQAPGKGLEWVASISSYSGYTYYADSVKGRFTISADTSKNTAYLQMNSLRAEDTAVYYCARGGSYLDGLSALDYWGQGTLVTVSS</t>
  </si>
  <si>
    <t>EVQLVESGGGLVQPGGSLRLSCAASGFNISDSSIHWVRQAPGKGLEWVASIYNYSGYTYYADSVKGRFTISADTSKNTAYLQMNSLRAEDTAVYYCARGGYYLDGLDALDYWGQGTLVTVSS</t>
  </si>
  <si>
    <t>EVQLVESGGGLVQPGGSLRLSCAASGFNISDYSIHWVRQAPGKGLEWVASIYNRSGYTYYADSVKGRFTISADTSKNTAYLQMNSLRAEDTAVYYCARGGYYLDGLYALDYWGQGTLVTVSS</t>
  </si>
  <si>
    <t>EVQLVESGGGLVQPGGSLRLSCAASGFNISSSSIHWVRQAPGKGLEWVASISSYSGYTYYADSVKGRFTISADTSKNTAYLQMNSLRAEDTAVYYCARGGHDLDGLYALDYWGQGTLVTVSS</t>
  </si>
  <si>
    <t>silent-wolf-ember</t>
  </si>
  <si>
    <t>lunar-ox-vine</t>
  </si>
  <si>
    <t>bright-crow-wave</t>
  </si>
  <si>
    <t>frozen-bee-crystal</t>
  </si>
  <si>
    <t>young-bee-orchid</t>
  </si>
  <si>
    <t>wild-boar-quartz</t>
  </si>
  <si>
    <t>steady-hawk-pine</t>
  </si>
  <si>
    <t>wild-shark-clay</t>
  </si>
  <si>
    <t>hollow-orca-rose</t>
  </si>
  <si>
    <t>dark-quail-thorn</t>
  </si>
  <si>
    <t>sbio-nipahgpg-130</t>
  </si>
  <si>
    <t>sbio-nipahgpg-131</t>
  </si>
  <si>
    <t>sbio-nipahgpg-132</t>
  </si>
  <si>
    <t>sbio-nipahgpg-133</t>
  </si>
  <si>
    <t>sbio-nipahgpg-134</t>
  </si>
  <si>
    <t>sbio-nipahgpg-135</t>
  </si>
  <si>
    <t>sbio-nipahgpg-136</t>
  </si>
  <si>
    <t>sbio-nipahgpg-137</t>
  </si>
  <si>
    <t>sbio-nipahgpg-138</t>
  </si>
  <si>
    <t>sbio-nipahgpg-139</t>
  </si>
  <si>
    <t>EVQLVESGGGLVKPGGSLKVSCAASGFTFSSYAMHWVRQAPGKGLEWVSYIWSGADSIGYADSVKGRFTISRDNAKNSLYLQMNSLRAGDTAVYYCARDDDAFDYWGQGTAVTVSS</t>
  </si>
  <si>
    <t>EVQLVESGGGLVKPGGSLKVSCAASGFTFSSYSMHWVRQAPGKGLEWVSSIWSGADSTGYADSVKGRFTISRDNAKNSLYLQMNSLRAGDTAVYYCARDDDAFDYWGQGTAVTVSS</t>
  </si>
  <si>
    <t>EVQLVESGGGLVKPGGSLKVSCAASGFTFSSYAMHWVRQAPGKGLEWVSRIWSGADSTGYADSVKGRFTISRDNAKNSLYLQMNSLRAGDTAVYYCARDDDAFDYWGQGTAVTVSS</t>
  </si>
  <si>
    <t>EVQLVESGGGLVKPGGSLKVSCAASGFTFSSYAMHWVRQAPGKGLEWVSYIWSGADSIGYADSVKGRFTISRDNAKNSLYLQMNSLRAGDTAVYYCARYDDAFDYWGQGTAVTVSS</t>
  </si>
  <si>
    <t>EVQLVESGGGLVKPGGSLKVSCAASGFTFSSYSMHWVRQAPGKGLEWVSRIWSGTDSIGYADSVKGRFTISRDNAKNSLYLQMNSLRAGDTAVYYCARDDDAFDYWGQGTAVTVSS</t>
  </si>
  <si>
    <t>EVQLVESGGGLVKPGGSLKVSCAASGFTFSSYAMHWVRQAPGKGLEWVSYIWSGVDSIGYADSVKGRFTISRDNAKNSLYLQMNSLRAGDTAVYYCARDDDAFDYWGQGTAVTVSS</t>
  </si>
  <si>
    <t>EVQLVESGGGLVKPGGSLKVSCAASGFTFSSFAMHWVRQAPGKGLEWVSYIWSGADSTGYADSVKGRFTISRDNAKNSLYLQMNSLRAGDTAVYYCARDDDAFDYWGQGTAVTVSS</t>
  </si>
  <si>
    <t>EVQLVESGGGLVKPGGSLKVSCAASGFTFSSYSMVWVRQAPGKGLEWVSRIWSGVDSTGYADSVKGRFTISRDNAKNSLYLQMNSLRAGDTAVYYCARDDDAFDYWGQGTAVTVSS</t>
  </si>
  <si>
    <t>EIVMTQSPGTPSLSPGERATLSCRASQSIRSTYLAWYQQKPGQAPRLLIYGASSRATGIPDRFSGSGSGTDFTLTISRLEPEDFAVYYCQQYGRSPSFGQGTKVEIK</t>
  </si>
  <si>
    <t>EVQLVQSGAEVKKRGSSVKVSCKSSGGTFSNYAINWVRQAPGQGLEWMGGIIPILGIANYAQKFQGRVTITTDESTSTAYMELSSLRSEDTAVYYCARGWGREQLAPHPSQYYYYYYGMDVWGQGTTVTVSS</t>
  </si>
  <si>
    <t>m102.3</t>
  </si>
  <si>
    <t>6CMI_HL</t>
  </si>
  <si>
    <t>GGGSGGGSGGG</t>
  </si>
  <si>
    <t>quick-fox-orchid</t>
  </si>
  <si>
    <t>wild-boar-maple</t>
  </si>
  <si>
    <t>radiant-falcon-leaf</t>
  </si>
  <si>
    <t>dark-tiger-pearl</t>
  </si>
  <si>
    <t>silent-deer-oak</t>
  </si>
  <si>
    <t>hollow-gecko-clay</t>
  </si>
  <si>
    <t>sbio-nipahgpg-140</t>
  </si>
  <si>
    <t>sbio-nipahgpg-141</t>
  </si>
  <si>
    <t>sbio-nipahgpg-142</t>
  </si>
  <si>
    <t>sbio-nipahgpg-143</t>
  </si>
  <si>
    <t>sbio-nipahgpg-144</t>
  </si>
  <si>
    <t>sbio-nipahgpg-145</t>
  </si>
  <si>
    <t>sbio-nipahgpg-146</t>
  </si>
  <si>
    <t>sbio-nipahgpg-147</t>
  </si>
  <si>
    <t>sbio-nipahgpg-148</t>
  </si>
  <si>
    <t>sbio-nipahgpg-149</t>
  </si>
  <si>
    <t>EVQLVESGGGLVQPGGSLRLSCAASGFNISYSSIHWVRQAPGKGLEWVASISSYSGSTYYADSVKGRFTISADTSKNTAYLQMNSLRAEDTAVYYCARGGYVPVGWYALDYWGQGTLVTVSS</t>
  </si>
  <si>
    <t>DIQMTQSPSSLSASVGDRVTITCRASQSVSTAVAWYQQKPGKAPKLLIYYASDRYSGVPSRFSGSRSGTDFTLTISSLQPEDFATYYCQQHYNYPLTFGQGTKVEIK</t>
  </si>
  <si>
    <t>DIQMTQSPSSLSASVGDRVTITCRASQSVSDDVAWYQQKPGKAPKLLIYRASDRYFGVPSRFSGSRSGTDFTLTISSLQPEDFATYYCQQYYSYPITFGQGTKVEIK</t>
  </si>
  <si>
    <t>EVQLVESGGGLVQPGGSLRLSCAASGFNISYSSIHWVRQAPGKGLEWVASISSYSGSTYYADSVKGRFTISADTSKNTAYLQMNSLRAEDTAVYYCARGGAVPVGWYALDYWGQGTLVTVSS</t>
  </si>
  <si>
    <t>EVQLVESGGGLVQPGGSLRLSCAASGFNISYSSIHWVRQAPGKGLEWVASISSYSGSTYYADSVKGRFTISADTSKNTAYLQMNSLRAEDTAVYYCARGGDVPNGWYALDYWGQGTLVTVSS</t>
  </si>
  <si>
    <t>DIQMTQSPSSLSASVGDRVTITCRASQSVYTAVAWYQQKPGKAPKLLIYFASDRYSGVPSRFSGSRSGTDFTLTISSLQPEDFATYYCQQHYYYPITFGQGTKVEIK</t>
  </si>
  <si>
    <t>EVQLVESGGGLVQPGGSLRLSCAASGFNISYSSIHWVRQAPGKGLEWVASISSYSGSTYYADSVKGRFTISADTSKNTAYLQMNSLRAEDTAVYYCARGGDVPVGWYALDYWGQGTLVTVSS</t>
  </si>
  <si>
    <t>DIQMTQSPSSLSASVGDRVTITCRASQSVSDAVAWYQQKPGKAPKLLIYYASDRYAGVPSRFSGSRSGTDFTLTISSLQPEDFATYYCQQYYSYPLTFGQGTKVEIK</t>
  </si>
  <si>
    <t>DIQMTQSPSSLSASVGDRVTITCRASQSVYTAVAWYQQKPGKAPKLLIYRASDRYAGVPSRFSGSRSGTDFTLTISSLQPEDFATYYCQQYYYYPLTFGQGTKVEIK</t>
  </si>
  <si>
    <t>DIQMTQSPSSLSASVGDRVTITCRASQSVNTAVAWYQQKPGKAPKLLIYSASDRYFGVPSRFSGSRSGTDFTLTISSLQPEDFATYYCQQHYSYPLTFGQGTKVEIK</t>
  </si>
  <si>
    <t>DIQMTQSPSSLSASVGDRVTITCRASQSVYTAVAWYQQKPGKAPKLLIYSASDRYSGVPSRFSGSRSGTDFTLTISSLQPEDFATYYCQQYASYPITFGQGTKVEIK</t>
  </si>
  <si>
    <t>DIQMTQSPSSLSASVGDRVTITCRASQSVSIAVAWYQQKPGKAPKLLIYSASDRYFGVPSRFSGSRSGTDFTLTISSLQPEDFATYYCQQYYSYPLTFGQGTKVEIK</t>
  </si>
  <si>
    <t>DIQMTQSPSSLSASVGDRVTITCRASQSVYYAVAWYQQKPGKAPKLLIYRASDRYSGVPSRFSGSRSGTDFTLTISSLQPEDFATYYCQQYYSYPLTFGQGTKVEIK</t>
  </si>
  <si>
    <t>DIQMTQSPSSLSASVGDRVTITCRASQSVYTAVAWYQQKPGKAPKLLIYRASDRYFGVPSRFSGSRSGTDFTLTISSLQPEDFATYYCQQYYYYPLTFGQGTKVEIK</t>
  </si>
  <si>
    <t>EVQLVESGGGLVQPGGSLRLSCAASGFNISYSSIHWVRQAPGKGLEWVASISSYSGSTYYADSVKGRFTISADTSKNTAYLQMNSLRAEDTAVYYCARGGDVPVGYYALDYWGQGTLVTVSS</t>
  </si>
  <si>
    <t>EVQLVESGGGLVQPGGSLRLSCAASGFNISSSSIHWVRQAPGKGLEWVASISSSSGSTYYADSVKGRFTISADTSKNTAYLQMNSLRAEDTAVYYCARGGDVPNGWYALDYWGQGTLVTVSS</t>
  </si>
  <si>
    <t>noble-panther-rose</t>
  </si>
  <si>
    <t>small-otter-jade</t>
  </si>
  <si>
    <t>mellow-crow-vine</t>
  </si>
  <si>
    <t>rough-crane-ice</t>
  </si>
  <si>
    <t>gentle-bee-pearl</t>
  </si>
  <si>
    <t>amber-crow-wave</t>
  </si>
  <si>
    <t>vast-zebra-topaz</t>
  </si>
  <si>
    <t>soft-heron-topaz</t>
  </si>
  <si>
    <t>rapid-otter-pearl</t>
  </si>
  <si>
    <t>mellow-hawk-willow</t>
  </si>
  <si>
    <t>sbio-nipahgpg-150</t>
  </si>
  <si>
    <t>sbio-nipahgpg-151</t>
  </si>
  <si>
    <t>sbio-nipahgpg-152</t>
  </si>
  <si>
    <t>sbio-nipahgpg-153</t>
  </si>
  <si>
    <t>sbio-nipahgpg-154</t>
  </si>
  <si>
    <t>sbio-nipahgpg-155</t>
  </si>
  <si>
    <t>sbio-nipahgpg-156</t>
  </si>
  <si>
    <t>sbio-nipahgpg-157</t>
  </si>
  <si>
    <t>sbio-nipahgpg-158</t>
  </si>
  <si>
    <t>sbio-nipahgpg-159</t>
  </si>
  <si>
    <t>EVQLVESGGGLVQPGGSLRLSCAASGFNISYSSIHWVRQAPGKGLEWVASISSYSGYTYYADSVKGRFTISADTSKNTAYLQMNSLRAEDTAVYYCARGGWRPIGSYALDYWGQGTLVTVSS</t>
  </si>
  <si>
    <t>EVQLVESGGGLVQPGGSLRLSCAASGFNISYSSIHWVRQAPGKGLEWVASISSYSGSTYYADSVKGRFTISADTSKNTAYLQMNSLRAEDTAVYYCARGGYRPIGNYALDYWGQGTLVTVSS</t>
  </si>
  <si>
    <t>EVQLVESGGGLVQPGGSLRLSCAASGFNISYYSIHWVRQAPGKGLEWVASISSYSGYTYYADSVKGRFTISADTSKNTAYLQMNSLRAEDTAVYYCARGGDRPSGCYALDYWGQGTLVTVSS</t>
  </si>
  <si>
    <t>EVQLVESGGGLVQPGGSLRLSCAASGFNISYSSIHWVRQAPGKGLEWVASISSYSGYTYYADSVKGRFTISADTSKNTAYLQMNSLRAEDTAVYYCARGGSLPTGCYALDYWGQGTLVTVSS</t>
  </si>
  <si>
    <t>EVQLVESGGGLVQPGGSLRLSCAASGFNISYSSIHWVRQAPGKGLEWVASISSYSGYTYYADSVKGRFTISADTSKNTAYLQMNSLRAEDTAVYYCARGGWYPWGCDALDYWGQGTLVTVSS</t>
  </si>
  <si>
    <t>EVQLVESGGGLVQPGGSLRLSCAASGFNISYSSIHWVRQAPGKGLEWVASISSYSGSTYYADSVKGRFTISADTSKNTAYLQMNSLRAEDTAVYYCARGGSRPWGCYALDYWGQGTLVTVSS</t>
  </si>
  <si>
    <t>EVQLVESGGGLVQPGGSLRLSCAASGFNISYSSIHWVRQAPGKGLEWVASISSYSGSTYYADSVKGRFTISADTSKNTAYLQMNSLRAEDTAVYYCARGGWYPWGNYALDYWGQGTLVTVSS</t>
  </si>
  <si>
    <t>EVQLVESGGGLVQPGGSLRLSCAASGFNISYSSIHWVRQAPGKGLEWVASISSYSGYTYYADSVKGRFTISADTSKNTAYLQMNSLRAEDTAVYYCARGGWRPFGCYALDYWGQGTLVTVSS</t>
  </si>
  <si>
    <t>EVQLVESGGGLVQPGGSLRLSCAASGFNISYSSIHWVRQAPGKGLEWVASISSYSGYTYYADSVKGRFTISADTSKNTAYLQMNSLRAEDTAVYYCARGGWYPLGCYAMDYWGQGTLVTVSS</t>
  </si>
  <si>
    <t>EVQLVESGGGLVQPGGSLRLSCAASGFNISYSSIHWVRQAPGKGLEWVASISSYSGYTYYADSVKGRFTISADTSKNTAYLQMNSLRAEDTAVYYCARGGDRPVGCYALDYWGQGTLVTVSS</t>
  </si>
  <si>
    <t>DIQMTQSPSSLSASVGDRVTITCRASQDVFTAVAWYQQKPGKAPKLLIYFASFLYSGVPSRFSGSRSGTDFTLTISSLQPEDFATYYCQQYSIVPVTFGQGTKVEIK</t>
  </si>
  <si>
    <t>DIQMTQSPSSLSASVGDRVTITCRASQDVNTAVAWYQQKPGKAPKLLIYEASFRYSGVPSRFSGSRSGTDFTLTISSLQPEDFATYYCQQHYEVPITFGQGTKVEIK</t>
  </si>
  <si>
    <t>DIQMTQSPSSLSASVGDRVTITCRASQDVFSAVAWYQQKPGKAPKLLIYSASFLYSGVPSRFSGSRSGTDFTLTISSLQPEDFATYYCQQHYIYPVTFGQGTKVEIK</t>
  </si>
  <si>
    <t>DIQMTQSPSSLSASVGDRVTITCRASQDVLSDVAWYQQKPGKAPKLLIYYASFRYSGVPSRFSGSRSGTDFTLTISSLQPEDFATYYCQQHYVVPVTFGQGTKVEIK</t>
  </si>
  <si>
    <t>DIQMTQSPSSLSASVGDRVTITCRASQDVTSAVAWYQQKPGKAPKLLIYSASFRYSGVPSRFSGSRSGTDFTLTISSLQPEDFATYYCQQHYVVPVTFGQGTKVEIK</t>
  </si>
  <si>
    <t>DIQMTQSPSSLSASVGDRVTITCRASQDVFSAVAWYQQKPGKAPKLLIYYASFLYSGVPSRFSGSRSGTDFTLTISSLQPEDFATYYCQQHSVVPITFGQGTKVEIK</t>
  </si>
  <si>
    <t>DIQMTQSPSSLSASVGDRVTITCRASQDVFSAVAWYQQKPGKAPKLLIYFASFLYSGVPSRFSGSRSGTDFTLTISSLQPEDFATYYCQQHYEVPITFGQGTKVEIK</t>
  </si>
  <si>
    <t>DIQMTQSPSSLSASVGDRVTITCRASQDVDSAVAWYQQKPGKAPKLLIYYASFLYSGVPSRFSGSRSGTDFTLTISSLQPEDFATYYCQQHYVVPVTFGQGTKVEIK</t>
  </si>
  <si>
    <t>DIQMTQSPSSLSASVGDRVTITCRASQDVDSAVAWYQQKPGKAPKLLIYFASSLYSGVPSRFSGSRSGTDFTLTISSLQPEDFATYYCQQHYDAPITFGQGTKVEIK</t>
  </si>
  <si>
    <t>DIQMTQSPSSLSASVGDRVTITCRASQDVDSAVAWYQQKPGKAPKLLIYFASFLYSGVPSRFSGSRSGTDFTLTISSLQPEDFATYYCQQHYDVPITFGQGTKVEIK</t>
  </si>
  <si>
    <t>GGGSGGGSGGGSGGGSGGGS</t>
  </si>
  <si>
    <t>silent-panther-ember</t>
  </si>
  <si>
    <t>golden-bat-ash</t>
  </si>
  <si>
    <t>shy-gecko-topaz</t>
  </si>
  <si>
    <t>vast-yak-reed</t>
  </si>
  <si>
    <t>calm-falcon-ember</t>
  </si>
  <si>
    <t>quiet-quail-onyx</t>
  </si>
  <si>
    <t>lunar-hawk-granite</t>
  </si>
  <si>
    <t>amber-fox-dust</t>
  </si>
  <si>
    <t>noble-owl-lotus</t>
  </si>
  <si>
    <t>gentle-shark-cypress</t>
  </si>
  <si>
    <t>Humanized using Humatch</t>
  </si>
  <si>
    <t>sbio-nipahgpg-160</t>
  </si>
  <si>
    <t>DIQMTQSPSSLSASVGDRVTITCRASQSVYYAVAWYQQKPGKAPKLLIYRASDLYSGVPSRFSGSRSGTDFTLTISSLQPEDFATYYCQQYYSYPLTFGQGTKVEIK</t>
  </si>
  <si>
    <t>EVQLVESGGGLVQPGGSLRLSCAASGFNISYSSIHWVRQAPGKGLEWVASISSYSGSTYYADSVKGRFTISADTSKNTAYLQMNSLRAEDTAVYYCARGGDVPVGWYALDYWGQGTLVTVSSGGGSGGGSGGGSGGGSGGGSDIQMTQSPSSLSASVGDRVTITCRASQSVYYAVAWYQQKPGKAPKLLIYRASDLYSGVPSRFSGSRSGTDFTLTISSLQPEDFATYYCQQYYSYPLTFGQGTKVEIK</t>
  </si>
  <si>
    <t>noble-tiger-lotus</t>
  </si>
  <si>
    <t>score</t>
  </si>
  <si>
    <t>vdw</t>
  </si>
  <si>
    <t>elec</t>
  </si>
  <si>
    <t>desolv</t>
  </si>
  <si>
    <t>bsa</t>
  </si>
  <si>
    <t>total</t>
  </si>
  <si>
    <t>on_ephrin_b2_epitope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</si>
</sst>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24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 Ford" refreshedDate="45991.827188425923" createdVersion="8" refreshedVersion="8" minRefreshableVersion="3" recordCount="159" xr:uid="{C69715DE-2A16-4198-9FD9-FAE4F60B2265}">
  <cacheSource type="worksheet">
    <worksheetSource ref="A1:T2969" sheet="Antibody Candidates"/>
  </cacheSource>
  <cacheFields count="20">
    <cacheField name="antibody_id" numFmtId="0">
      <sharedItems containsBlank="1" count="159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s v="sbio-nipahgpg-084"/>
        <s v="sbio-nipahgpg-085"/>
        <s v="sbio-nipahgpg-086"/>
        <s v="sbio-nipahgpg-087"/>
        <s v="sbio-nipahgpg-088"/>
        <s v="sbio-nipahgpg-089"/>
        <s v="sbio-nipahgpg-090"/>
        <s v="sbio-nipahgpg-091"/>
        <s v="sbio-nipahgpg-092"/>
        <s v="sbio-nipahgpg-093"/>
        <s v="sbio-nipahgpg-094"/>
        <s v="sbio-nipahgpg-095"/>
        <s v="sbio-nipahgpg-096"/>
        <s v="sbio-nipahgpg-097"/>
        <s v="sbio-nipahgpg-098"/>
        <s v="sbio-nipahgpg-099"/>
        <s v="sbio-nipahgpg-100"/>
        <s v="sbio-nipahgpg-101"/>
        <s v="sbio-nipahgpg-102"/>
        <s v="sbio-nipahgpg-103"/>
        <s v="sbio-nipahgpg-104"/>
        <s v="sbio-nipahgpg-105"/>
        <s v="sbio-nipahgpg-106"/>
        <s v="sbio-nipahgpg-107"/>
        <s v="sbio-nipahgpg-108"/>
        <s v="sbio-nipahgpg-109"/>
        <s v="sbio-nipahgpg-110"/>
        <s v="sbio-nipahgpg-111"/>
        <s v="sbio-nipahgpg-112"/>
        <s v="sbio-nipahgpg-113"/>
        <s v="sbio-nipahgpg-114"/>
        <s v="sbio-nipahgpg-115"/>
        <s v="sbio-nipahgpg-116"/>
        <s v="sbio-nipahgpg-117"/>
        <s v="sbio-nipahgpg-118"/>
        <s v="sbio-nipahgpg-119"/>
        <s v="sbio-nipahgpg-120"/>
        <s v="sbio-nipahgpg-121"/>
        <s v="sbio-nipahgpg-122"/>
        <s v="sbio-nipahgpg-123"/>
        <s v="sbio-nipahgpg-124"/>
        <s v="sbio-nipahgpg-125"/>
        <s v="sbio-nipahgpg-126"/>
        <s v="sbio-nipahgpg-127"/>
        <s v="sbio-nipahgpg-128"/>
        <s v="sbio-nipahgpg-129"/>
        <s v="sbio-nipahgpg-130"/>
        <s v="sbio-nipahgpg-131"/>
        <s v="sbio-nipahgpg-132"/>
        <s v="sbio-nipahgpg-133"/>
        <s v="sbio-nipahgpg-134"/>
        <s v="sbio-nipahgpg-135"/>
        <s v="sbio-nipahgpg-136"/>
        <s v="sbio-nipahgpg-137"/>
        <s v="sbio-nipahgpg-138"/>
        <s v="sbio-nipahgpg-139"/>
        <s v="sbio-nipahgpg-140"/>
        <s v="sbio-nipahgpg-141"/>
        <s v="sbio-nipahgpg-142"/>
        <s v="sbio-nipahgpg-143"/>
        <s v="sbio-nipahgpg-144"/>
        <s v="sbio-nipahgpg-145"/>
        <s v="sbio-nipahgpg-146"/>
        <s v="sbio-nipahgpg-147"/>
        <s v="sbio-nipahgpg-148"/>
        <s v="sbio-nipahgpg-149"/>
        <s v="sbio-nipahgpg-150"/>
        <s v="sbio-nipahgpg-151"/>
        <s v="sbio-nipahgpg-152"/>
        <s v="sbio-nipahgpg-153"/>
        <s v="sbio-nipahgpg-154"/>
        <s v="sbio-nipahgpg-155"/>
        <s v="sbio-nipahgpg-156"/>
        <s v="sbio-nipahgpg-157"/>
        <s v="sbio-nipahgpg-158"/>
        <s v="sbio-nipahgpg-159"/>
        <s v="sbio-nipahgpg-160"/>
        <m/>
      </sharedItems>
    </cacheField>
    <cacheField name="method" numFmtId="0">
      <sharedItems containsBlank="1"/>
    </cacheField>
    <cacheField name="model_version" numFmtId="0">
      <sharedItems containsBlank="1" count="11">
        <s v="peleke-phi-4"/>
        <s v="Qwen3-235B-A22B-Instruct-2507"/>
        <s v="peleke-phi-4 / v_48_020"/>
        <s v="peleke-phi-4 / v_48_030"/>
        <s v="v_48_020"/>
        <s v="peleke-mistral-7b-instruct-v0.2"/>
        <s v="GPT-4o"/>
        <s v="GPT-4o /  v_48_030"/>
        <s v="peleke-phi-4 (humanized)"/>
        <s v="peleke-phi-4 / 000"/>
        <m/>
      </sharedItems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4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158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s v="DVQLQESGPGLVKPSQTLSLTCTVSGYSITSDYYWNWIRQFPGNKLEWMGYISYDGSSNYNPSLKNRISITRDNSKNQFFLQLNSVTTEDTATYYCARSCSRRGYAMDYWGQGTSVTVSSGGGSGGGSGGGSGGGSQIVLTQSPAIMSASLGEKVTLTCSASSSVSYMHWYQQKPGTSPKLLIYSCNLLSGVPDRFSGSGSGTDFTLSISNVETEDAATYYCYQYRIRFGGGTKLTVLQ"/>
        <s v="EVQLVESGGGLVQPGGSLRLSCAASGFTFSSYAMSWVRQAPGKGLEWVSSISRSGGSTYYADSVKGRFTISRDNAKNSLYLQMNSLRAEDTAVYYCARSCSSRGYFDYWGQGTLVTVSSGGGSGGGSGGGSGGGSDIVMTQSPDSLAVSLGERATINCRASQSVSSYLAWYQQKPGQSPKLLIYSCNLQSGVPDRFSGSGSGTDFTLTISSLQPEDFATYYCQPYIRFGGGGTKLEIK"/>
        <s v="QVQLQESGPGLVKPSQTLSLTCTVSGFSFSSYAMSWVRQAPGKGLEWVSSISRSGGSTYYADSVKGRFTISRDNAKNSLYLQMNSLRAEDTAVYYCARSCSSRGYLFDYWGQGTLVTVSSGGGSGGGSGGGSGGGSDIVMTQSPDSLAVSLGERATINCRASQSVSSYLAWYQQKPGQSPKLLIYSCNLQSGVPDRFSGSGSGTDFTLTISSLQPEDFATYYCQPYIRFGGGGTKLEIK"/>
        <s v="SIKLTESGPTSVAPGSTLNLTCTVTGDNITSSGWYWWVKQAPDNKLTWIGGIDKNGNTWLNVAYIDRATLTRDPAANTVYLSIRNVTSSDTATYYCAKSSDDNGSYLDVWGQGLKVTVSGGGGSGGGSGGGSGGGSQVKLTQSPKEVTAKIGDTVTLTCTASQPVSTVSWYMQKPGQPPQLLISNNKLVEGVPERFSASGSGTEFTLTIKDVQKEDEAIYYCEVNGQVFGQGTKLTVLE"/>
        <s v="EVQLVESGGGLVQPGGSLRLSCAASGFNVSYSSIHWVRQAPGKGLEWVASIYSYSGYTYYADSVKGRFTISADTSKNTAYLQMNSLRAEDTAVYYCARGWYSYFDYWGQGTLVTVSSGGGSGGGSGGGSGGGSDIQMTQSPSSLSASVGDRVTITCRASQSVSSAVAWYQQKPGKAPKLLIYSASSLYSGVPSRFSGSRSGTDFTLTISSLQPEDFATYYCQQYKYVPVTFGQGTKVEIK"/>
        <s v="QVQLVQSGAEVKKPGSSVKVSCKASGGTFSSYAISWVRQAPGQGLEWMGGIIIFGTANYAQKFQGRVTITADKSTSTAYMELRSEDTAVYYCAREGTTGWDYWGQGTLVTVSSGGGSGGGSGGGSGGGSEIVLTQSPGTLSLSPGERATLSCRASQSVSSSYLAWYQQKPGQAPRLLIYGASSRATGIPDRFSGSGSGTDFTLTISRLEPEDFAVYYCQQYGSSPRTFGQGTKVEIK"/>
        <s v="EVQLVESGGGLVQPGGSLRLSCAASGFNVSYYSIHWVRQAPGKGLEWVASIYSYSGYTSYADSVKGRFTISADTSKNTAYLQMNSLRAEDTAVYYCARYYVYYGAMDYWGQGTLVTVSSGGGSGGGSGGGSGGGSDIQMTQSPSSLSASVGDRVTITCRASQSVSSAVAWYQQKPGKAPKLLIYSASSLYSGVPSRFSGSRSGTDFTLTISSLQPEDFATYYCQQYKYVPVTFGQGTKVEIK"/>
        <s v="EVQLVESGGGLVQPGGSLRLSCAASGFNVSYSSIHWVRQAPGKGLEWVASIYSYSGYTYYADSVKGRFTISADTSKNTAYLQMNSLRAEDTAVYYCARGWVRGSSYWGQGTLVTVSSGGGSGGGSGGGSGGGSDIQMTQSPSSLSASVGDRVTITCRASQSVSSAVAWYQQKPGKAPKLLIYSASSLYSGVPSRFSGSRSGTDFTLTISSLQPEDFATYYCQQYKYVPVTFGQGTKVEIK"/>
        <s v="EVQLVESGGGLVQPGGSLRLSCAASGFNVSYSSIHWVRQAPGKGLEWVASIYSYSGYTNYADSVKGRFTISADTSKNTAYLQMNSLRAEDTAVYYCARYYGGYGGYFDYWGQGTLVTVSSGGGSGGGSGGGSGGGSDIQMTQSPSSLSASVGDRVTITCRASQSVSSAVAWYQQKPGKAPKLLIYSASSLYSGVPSRFSGSRSGTDFTLTISSLQPEDFATYYCQQYKYVPVTFGQGTKVEIK"/>
        <s v="EVQLVESGGGLVQPGGSLRLSCAASGFNVSYYSIHWVRQAPGKGLEWVASIYPYSGYTNYADSVKGRFTISADTSKNTAYLQMNSLRAEDTAVYYCARYYGYWYFDYWGQGTLVTVSSGGGSGGGSGGGSGGGSDIQMTQSPSSLSASVGDRVTITCRASQSVSSAVAWYQQKPGKAPKLLIYSASSLYSGVPSRFSGSRSGTDFTLTISSLQPEDFATYYCQQYKYVPVTFGQGTKVEIK"/>
        <s v="EVQLVESGGGLVQPGGSLRLSCAASGFNVSYSSIHWVRQAPGKGLEWVASIYSYSGYTSYADSVKGRFTISADTSKNTAYLQMNSLRAEDTAVYYCARYYGGYGGWYFDYWGQGTLVTVSSGGGSGGGSGGGSGGGSDIQMTQSPSSLSASVGDRVTITCRASQSVSSAVAWYQQKPGKAPKLLIYSASSLYSGVPSRFSGSRSGTDFTLTISSLQPEDFATYYCQQYKYVPVTFGQGTKVEIK"/>
        <s v="EVQLVESGGGLVQPGGSLRLSCAASGFNVSYYSIHWVRQAPGKGLEWVASISSYYGYTYYADSVKGRFTISADTSKNTAYLQMNSLRAEDTAVYYCARYYGYWYFDYWGQGTLVTVSSGGGSGGGSGGGSGGGSDIQMTQSPSSLSASVGDRVTITCRASQSVSSAVAWYQQKPGKAPKLLIYSASSLYSGVPSRFSGSRSGTDFTLTISSLQPEDFATYYCQQYKYVPVTFGQGTKVEIK"/>
        <s v="EVQLVESGGGLVQPGGSLRLSCAASGFNVSYYSIHWVRQAPGKGLEWVASISSYYGYTYYADSVKGRFTISADTSKNTAYLQMNSLRAEDTAVYYCARYYGTYYGHSYWGQGTLVTVSSGGGSGGGSGGGSGGGSDIQMTQSPSSLSASVGDRVTITCRASQSVSSAVAWYQQKPGKAPKLLIYSASSLYSGVPSRFSGSRSGTDFTLTISSLQPEDFATYYCQQYKYVPVTFGQGTKVEIK"/>
        <s v="EVQLVESGGGLVQPGGSLRLSCAASGFNVSYSSIHWVRQAPGKGLEWVASIYSYSGYTNYADSVKGRFTISADTSKNTAYLQMNSLRAEDTAVYYCARYWYFGYFDYWGQGTLVTVSSGGGSGGGSGGGSGGGSDIQMTQSPSSLSASVGDRVTITCRASQSVSSAVAWYQQKPGKAPKLLIYSASSLYSGVPSRFSGSRSGTDFTLTISSLQPEDFATYYCQQYKYVPVTFGQGTKVEIK"/>
        <s v="EVQLVESGGGLVKPGGSLRLSCAASGFTFRNYAMSWVRQAPGKGLEWVSSISSKSKSTSYADSVKGRFTISRDNAKNSLYLQMNSLRAEDTAVYYCARESGSFSYEGVWGQGTLVTVSSGGGSGGGSGGGSGGGSSVLTQPPSVSGAPGQRVTISCTGSSSNIGAGYDVHWYQQLPGTAPKLLIYDNNKRPSGVPDRFSGSKSGTSASLAITGLQAEDEADYYCQSYDSSLSGLVFGGGTKLTVL"/>
        <s v="EVQLVESGGGLVQPGGSLRLSCAASGFNISSSSIHWVRQAPGKGLEWVASIYYSSGYTHYADSVKGRFTISADTSKNTAYLQMNSLRAEDTAVYYCARWGYWPGQVWLWFAYWGQGTLVTVSGGGSGGGSGGGSGGGSDIQMTQSPSSLSASVGDRVTITCRASQSVSSAVAWYQQKPGKAPKLLIYSASSLYSGVPSRFSGSRSGTDFTLTISSLQPEDFATYYCQQSSSSLITFGQGTKVEIK"/>
        <s v="QVQLVQSGAEVKKPGSSVKVSCKSSGGTSNNYAISWVRQAPGQGLEWMGGIIPILGIANYAQKFQGRVTITADKSTSTAYMELSSLRSEDTAVYYCAREDAVVDYWGQGTLVTVSSGGGSGGGSGGGSGGGSDIQMTQSPSTLSASVGDRVTITCRASQGISSWLAWYQQKPGKAPKLLIYKASSLESGVPSRFSGSGSGTEFTLTISSLQPDDFATYYCQQYNSYPLTFGQGTKVQVK"/>
        <s v="EVQLVESGGGLVQPGGSLRLSCAASGFNVSSSSIHWVRQAPGKGLEWVASISSYYGYTYYADSVKGRFTISADTSKNTAYLQMNSLRAEDTAVYYCARHWGYCSWFAYWGQGTLVTVSSGGGSGGGSGGGSGGGSDIQMTQSPSSLSASVGDRVTITCRASQSVSSAVAWYQQKPGKAPKLLIYSASSLYSGVPSRFSGSRSGTDFTLTISSLQPEDFATYYCQQYKYVPVTFGQGTKVEIK"/>
        <s v="EVQLVESGGGLVQPGGSLRLSCAASGFNISSSSIHWVRQAPGKGLEWVASIYSYSGYTSYADSVKGRFTISADTSKNTAYLQMNSLRAEDTAVYYCARGSHYFGYFDYWGQGTLVTVSSGGGSGGGSGGGSGGGSDIQMTQSPSSLSASVGDRVTITCRASQSVSSAVAWYQQKPGKAPKLLIYSASSLYSGVPSRFSGSRSGTDFTLTISSLQPEDFATYYCQQSSSSLITFGQGTKVEIK"/>
        <s v="QVQLQESGPGLVKPSQTLSLTCTVSGGSISSGDYYWIRQHPGKGLEWIGYIYYSGSTDYNPSLKSRVTISVDTSKNQFSLKVTAADTAVYYCARTWFGSDYWGQGTLVTVSSGGGSGGGSGGGSGGGSDIQMTQSPSSLSASVGDRVTITCRASQGISNYLAWYQQKPGKAPKLLIYAASTLQSGVPSRFSGSGSGTDFTLTISSLQPEDFATYYCQQAHSFPYTFGGGTKLEIK"/>
        <s v="EVQLVESGGGLVQPGGSLRLSCAASGFTFSSYWMNWVRQAPGKGLEWVAFIRYDGGNKYYADSVKGRFTISRDNSKNTLYLQMNSLRAEDTAVYYCARWSYSGGSGSYYVYFDYWGQGTLVTVSGGGSGGGSGGGSGGGSSVLTQPPSVSGAPGQRVTISCTGSSSNIGAGYDVHWYQQLPGTAPKLLIYGNSNRPSGVPDRFSGSKSGTSASLAITGLQAEDEADYYCQSYDSSLSGSVFGGGTKLTVL"/>
        <s v="QVQLVQSGAEVKKPGASVKVSCKASGYTFTNYYIHWVRQAPGQGLEWMGWIYPGGNTNYAQKFQGRVTMTRDTSISTAYMELSRLRSDDTAVYYCARVRTEFDYWGQGTLVTVSSGGGSGGGSGGGSGGGSDIVMTQSPSSLAMSAGAETITCRSSQSVHSNGYLNWYQQKPGQPPKLLIYWASTRESGVPDRFTGSGSGTDFTLTITNVQSEDLAEYFCQQYSSYPLTFGAGTKLELR"/>
        <s v="QVQLQESGPGLVKPSETLSLTCTVSGGSVSSGGYFWSWIRQPPGKGLEWIGYVSGSGSTNYNPSLKSRVTISVDTSKNQFSLKLSSVTAADTAVYYCARWDVWISDYWGQGTLVTVSSGGGSGGGSGGGSGGGSEIVLTQSPATLSLSPGERATLSCRASQSVSSYLAWYQQKPGQAPRLLIYDASNRATGIPARFSGSGSGTDFTLTISSLEPEDFAVYYCQHSWDQPPWTFGQGTKVEIK"/>
        <s v="QVQLQESGPGLVKPSQTLSLTCTVTGSSITSGYWNWIRQFPGNKLEWMGYISYSGTITYNPSLKSRISITRDTSKNQFFLQLNSVTTEDTATYYCARVYDGFYDYWGQGTLVTVSSGGGSGGGSGGGSGGGSDIVMTQSPSSLSASVGDRVTITCRASQGISSWLAWYQQKPGKAPKLLIYKASSLESGVPSRFSGSGSGTEFTLTISSLQPDDFATYYCQQYNSYPLTFGGGTKVEIK"/>
        <s v="QVQLVESGGGVVQPGRSLRLSCAASGFTFSNYAMHWVRQAPGKGLEWVAVISYNSGNPYADSVKGRFTISRDNSKNTLYLQMRVEDTAVYYCSRTTIGYGGDIWGNMFDYWGQGTLVTVSSGGGSGGGSGGGSGGGSDIVMTQSPATLSVSPGDRATLSCRASQSISTNLAWYQQKPGQAPRLLIYTASTLESGVPSRFSGSGSGTEFTLTISNLQSEDFATYFCQQYSAPLTFGGGTKVEIK"/>
        <s v="EVQLVESGGGLVQPGGSLRLSCAASGFASSSSNYVHWVRQAPGKGLEWVATIYPYSSSEYAASVQGRFTISRDDSKNTLYLQMNSLRGEDTAVYYCARYGYYSSRSGYGYYFNYWGQGTLVTVSSGGGSGGGSGGGSDIVMTQSPASLAVSLGQRATISCRASESVDSYGNSFLAWYQQKPGQPPKLLIYWASTRQSGVPARFSGSGSGTDFTLNIHPVEEEDAATYYCQQHNYPLTFGAGTKLEIK"/>
        <s v="EVQLVESGAEVKKPGSSVKVSCKASGGPFTSYVISWVRQAPGQGLEWMGRIIPIRGTTYAQKFQGRVTITADKSTSTAYMELRSEDTAVYYCARGSHVFGYYDYWGQGTLVTVSSGGGSGGGSGGGSGGGSEIVLTQSPGTLSLSPGERATLSCRASQSISGNYLAWYQQKPGQAPRLLIYGASIRAAGIPDRFSGSGSGTDFTLTISRLEPEDFAVYYCQQYGSSPRTFGQGTKVEIK"/>
        <s v="EVQLVETGGGLVQPGGSLKLSCRASGYTFTDYAMHWVRQAPLGLGLYTGGVNYARHFMKSRISITRDNSKNTLYLQMTKVDDTATYFCARRGLFDSDYWGQGTLVTVSSGGGSGGGSGGGSGGGSSVTQPPSVSGSTSVGDRVTTCRASQSISSNWLAWYQQFPGTAPKLLIYENSSRPSGVPDRFSGSGSGTDFTLKISRVEAEDVGVYYCLQALSPRFTFGSGTKLEIK"/>
        <s v="QVQLVQSGAEVKKPGSSVKVSCKASGGTFSNYGISWVRQAPGQGLEWMGGIIPILGIANYAQKFQGRVTITADKSTSTAYMELRSLRSDDTAVYYCAREGHAYFHNGLDYWGQGTLVTVSSGGGSGGGSGGGSGGGSEIVLTQSPGTLSLSPGERATLSCRASQSVSSSYFAWYQQKPGQAPRLLIYGASSRATGIPDRFSGSGSGTDFTLTISRLEPEDFAVYYCQQYGSSPPATFGQGTKVEIK"/>
        <s v="QVQLVESGGGVVQPGRSLRLSCAASGFTFSSFGMHWVRQAPGKGLEWVAIIWDGSNKYYADSVKGRFTISRDNSKNTLYLQMRAEDTAVYYCALDGGSFDDYWGQGTLVTVSSGGGSGGGSGGGSGGGSDIQMTQSPSTLSTSVGDRVTITCRASQSISSWLAWYQQKPGKAPKLLIYKASTLESGVPSRFSGSGSGTEFTLTISSLQPDDFATYYCQHFYGTPITFGPGTKVD"/>
        <s v="EVQLVESGGGLVKPGGSLKVSCAASGFTFSDYSMNWVRQAPGKGLEWVSSITSGYTSIYYADSVKGRFTISRDNAKNSLYLQMNSLRAGDTAVYYCARVSDNFDYWGQGTAVTVSSGGGSGGGSGGGSGGGSDIQMTQSPSSLSASVGDRVTITCQASQDIRFYLNWYQQKPGKAPKLLISAASTLQSGVPSRFSGSGSGTDFTLTITSLQPEDFATYYCAGYVPSYTFGPGTKVDIK"/>
        <s v="EVQLQQSGAELVKPGASVKLSCKASGYTFLDYYMYWVKQRPEQGLEWIGRIDPANGNTIYAPKFQDKATLTLTTDTTSSNTAYMQLSSLTSEDSAVYYCAREGNYGYRDLAWFAYWGQGTLVTVSSGGGSGGGSGGGSGGGSAIRMTQSPSSLSASVGDTVTITCRASQSISSYLNWYQQKPGKAPKLLIYTASNLESGVPSRFSGSGSGTDYTLTISSLQPEDIATYYCQQYDNPPLTFGGGTKVEIK"/>
        <s v="QVQLQESGPGLVKPSETLSLTCTVSGGSVSSGGYFWSWIRQRPGKGLEWIGHIYYSGTTNYNPSLRSRVTISRDTSKSQFSLKMDSLTSEDTALYYCARQLGLRFDIWGQGTMVTVSSGGGSGGGSGGGSGGGSDIQMTQSPSSLSASVGDRVTITCRASQSISSYLNWYQQKPGKAPKLLIYAASSLQSGVPSRFSGSGSGTDFTLTISSLQPEDFATYYCQQSYTTPPTFGQGTKVEIK"/>
        <s v="QVQLVESGGGLVQPGGSLRLSCAASGFNLYSSSIHWVRQAPGKGLEWVARIYPSGATYYADSVKGRFTISADTSKNTAYLQMRAEDTAVYYCARSYYGDDYWGQGTLVTVSSGGGSGGGSGGGSGGGSDIQMTQSPSSLSASVGDRVTITCRASQSVSSAVAWYQQKPGKAPKLLIYSASFLYSGVPSRFSGSRSGTDFTLTISSLQPEDFATYYCQQYSYYPFTFGQGTKVEIK"/>
        <s v="EVQLLESGGGLVQPGGSLRLSCAASGFTFSSYAMSWVRQAPGKGLEWVSYISSSSSTIYYADSVKGRFTISRDNAKNSLYLQMNSLRAEDTAVYYCAKYSSYDYDYWGRGTMVTVSSGGGSGGGSGGGSGGGSDIQLTQSPSSLSASVGDRVTITCRASQGISSYLNWYQQKPGKAPKLLIYDASSLQSGVPSRFSGSGSGTDFTLTISSLQPEDFATYYCQQFYEWLRTFGQGTRLEIK"/>
        <s v="EVQLVESGGGLVQPGGSLRLSCAASGFATVSSNYMSWVRQAPGKGLEWVSVIYSCGSTYYADSVKGRFTISRDNSKNTLYLQMNSLRAEDTAVYYCARYYYDSSRSGYYYYFDYWGQGTLVTVSSGGGSGGGSGGGSDIVLTQSPASLAVSLGQRATISCKASQSVDYDGDSYMHWYQQKPGQPPKLLIYRASNLESGIPARFSGSGSRTDFTLTINPVEADDVATYYCQQSNYPLTFGSGTKVEIK"/>
        <s v="EVQLVESGGGLVQPGGSLRLSCAASGFNISDSSIHWVRQAPGKGLEWVASISSYSGYTYYADSVKGRFTISADTSKNTAYLQMNSLRAEDTAVYYCARGGRDLFGLDALDYWGQGTLVTVSSGGGSGGGSGGGSDIQMTQSPSSLSASVGDRVTITCRASQSVSSAVAWYQQKPGKAPKLLIYSASSLYSGVPSRFSGSRSGTDFTLTISSLQPEDFATYYCQQYKYVPVTFGQGTKVEIK"/>
        <s v="EVQLVESGGGLVQPGGSLRLSCAASGFNISSSSIHWVRQAPGKGLEWVASIYSYSGLTYYADSVKGRFTISADTSKNTAYLQMNSLRAEDTAVYYCARGGYYLDGLYALDYWGQGTLVTVSSGGGSGGGSGGGSDIQMTQSPSSLSASVGDRVTITCRASQSVSSAVAWYQQKPGKAPKLLIYSASSLYSGVPSRFSGSRSGTDFTLTISSLQPEDFATYYCQQYKYVPVTFGQGTKVEIK"/>
        <s v="EVQLVESGGGLVQPGGSLRLSCAASGFNISSSSIHWVRQAPGKGLEWVASIYSYSGATYYADSVKGRFTISADTSKNTAYLQMNSLRAEDTAVYYCARGGNHLDGLYALDYWGQGTLVTVSSGGGSGGGSGGGSDIQMTQSPSSLSASVGDRVTITCRASQSVSSAVAWYQQKPGKAPKLLIYSASSLYSGVPSRFSGSRSGTDFTLTISSLQPEDFATYYCQQYKYVPVTFGQGTKVEIK"/>
        <s v="EVQLVESGGGLVQPGGSLRLSCAASGFNISSSSIHWVRQAPGKGLEWVASIYSYSGYTYYADSVKGRFTISADTSKNTAYLQMNSLRAEDTAVYYCARGGRYLDGLFALDYWGQGTLVTVSSGGGSGGGSGGGSDIQMTQSPSSLSASVGDRVTITCRASQSVSSAVAWYQQKPGKAPKLLIYSASSLYSGVPSRFSGSRSGTDFTLTISSLQPEDFATYYCQQYKYVPVTFGQGTKVEIK"/>
        <s v="EVQLVESGGGLVQPGGSLRLSCAASGFNISSSSIHWVRQAPGKGLEWVASISSYSGYTYYADSVKGRFTISADTSKNTAYLQMNSLRAEDTAVYYCARGGSLLRGLSALDYWGQGTLVTVSSGGGSGGGSGGGSDIQMTQSPSSLSASVGDRVTITCRASQSVSSAVAWYQQKPGKAPKLLIYSASSLYSGVPSRFSGSRSGTDFTLTISSLQPEDFATYYCQQYKYVPVTFGQGTKVEIK"/>
        <s v="EVQLVESGGGLVQPGGSLRLSCAASGFNISDSSIHWVRQAPGKGLEWVASISSYSGYTYYADSVKGRFTISADTSKNTAYLQMNSLRAEDTAVYYCARGGRYLDGLYALDYWGQGTLVTVSSGGGSGGGSGGGSDIQMTQSPSSLSASVGDRVTITCRASQSVSSAVAWYQQKPGKAPKLLIYSASSLYSGVPSRFSGSRSGTDFTLTISSLQPEDFATYYCQQYKYVPVTFGQGTKVEIK"/>
        <s v="EVQLVESGGGLVQPGGSLRLSCAASGFNISSSSIHWVRQAPGKGLEWVASISSYSGYTYYADSVKGRFTISADTSKNTAYLQMNSLRAEDTAVYYCARGGSYLDGLSALDYWGQGTLVTVSSGGGSGGGSGGGSDIQMTQSPSSLSASVGDRVTITCRASQSVSSAVAWYQQKPGKAPKLLIYSASSLYSGVPSRFSGSRSGTDFTLTISSLQPEDFATYYCQQYKYVPVTFGQGTKVEIK"/>
        <s v="EVQLVESGGGLVQPGGSLRLSCAASGFNISDSSIHWVRQAPGKGLEWVASIYNYSGYTYYADSVKGRFTISADTSKNTAYLQMNSLRAEDTAVYYCARGGYYLDGLDALDYWGQGTLVTVSSGGGSGGGSGGGSDIQMTQSPSSLSASVGDRVTITCRASQSVSSAVAWYQQKPGKAPKLLIYSASSLYSGVPSRFSGSRSGTDFTLTISSLQPEDFATYYCQQYKYVPVTFGQGTKVEIK"/>
        <s v="EVQLVESGGGLVQPGGSLRLSCAASGFNISDYSIHWVRQAPGKGLEWVASIYNRSGYTYYADSVKGRFTISADTSKNTAYLQMNSLRAEDTAVYYCARGGYYLDGLYALDYWGQGTLVTVSSGGGSGGGSGGGSDIQMTQSPSSLSASVGDRVTITCRASQSVSSAVAWYQQKPGKAPKLLIYSASSLYSGVPSRFSGSRSGTDFTLTISSLQPEDFATYYCQQYKYVPVTFGQGTKVEIK"/>
        <s v="EVQLVESGGGLVQPGGSLRLSCAASGFNISSSSIHWVRQAPGKGLEWVASISSYSGYTYYADSVKGRFTISADTSKNTAYLQMNSLRAEDTAVYYCARGGHDLDGLYALDYWGQGTLVTVSSGGGSGGGSGGGSDIQMTQSPSSLSASVGDRVTITCRASQSVSSAVAWYQQKPGKAPKLLIYSASSLYSGVPSRFSGSRSGTDFTLTISSLQPEDFATYYCQQYKYVPVTFGQGTKVEIK"/>
        <s v="EVQLVESGGGLVKPGGSLKVSCAASGFTFSSYAMHWVRQAPGKGLEWVSYIWSGADSIGYADSVKGRFTISRDNAKNSLYLQMNSLRAGDTAVYYCARDDDAFDYWGQGTAVTVSSGGGSGGGSGGGSDIQMTQSPSSLSASVGDRVTITCQASQDIRFYLNWYQQKPGKAPKLLISAASTLQSGVPSRFSGSGSGTDFTLTITSLQPEDFATYYCAGYVPSYTFGPGTKVDIK"/>
        <s v="EVQLVESGGGLVKPGGSLKVSCAASGFTFSSYSMHWVRQAPGKGLEWVSSIWSGADSTGYADSVKGRFTISRDNAKNSLYLQMNSLRAGDTAVYYCARDDDAFDYWGQGTAVTVSSGGGSGGGSGGGSDIQMTQSPSSLSASVGDRVTITCQASQDIRFYLNWYQQKPGKAPKLLISAASTLQSGVPSRFSGSGSGTDFTLTITSLQPEDFATYYCAGYVPSYTFGPGTKVDIK"/>
        <s v="EVQLVESGGGLVKPGGSLKVSCAASGFTFSSYAMHWVRQAPGKGLEWVSRIWSGADSTGYADSVKGRFTISRDNAKNSLYLQMNSLRAGDTAVYYCARDDDAFDYWGQGTAVTVSSGGGSGGGSGGGSDIQMTQSPSSLSASVGDRVTITCQASQDIRFYLNWYQQKPGKAPKLLISAASTLQSGVPSRFSGSGSGTDFTLTITSLQPEDFATYYCAGYVPSYTFGPGTKVDIK"/>
        <s v="EVQLVESGGGLVKPGGSLKVSCAASGFTFSSYAMHWVRQAPGKGLEWVSYIWSGADSIGYADSVKGRFTISRDNAKNSLYLQMNSLRAGDTAVYYCARYDDAFDYWGQGTAVTVSSGGGSGGGSGGGSDIQMTQSPSSLSASVGDRVTITCQASQDIRFYLNWYQQKPGKAPKLLISAASTLQSGVPSRFSGSGSGTDFTLTITSLQPEDFATYYCAGYVPSYTFGPGTKVDIK"/>
        <s v="EVQLVESGGGLVKPGGSLKVSCAASGFTFSSYSMHWVRQAPGKGLEWVSRIWSGTDSIGYADSVKGRFTISRDNAKNSLYLQMNSLRAGDTAVYYCARDDDAFDYWGQGTAVTVSSGGGSGGGSGGGSDIQMTQSPSSLSASVGDRVTITCQASQDIRFYLNWYQQKPGKAPKLLISAASTLQSGVPSRFSGSGSGTDFTLTITSLQPEDFATYYCAGYVPSYTFGPGTKVDIK"/>
        <s v="EVQLVESGGGLVKPGGSLKVSCAASGFTFSSYAMHWVRQAPGKGLEWVSYIWSGVDSIGYADSVKGRFTISRDNAKNSLYLQMNSLRAGDTAVYYCARDDDAFDYWGQGTAVTVSSGGGSGGGSGGGSDIQMTQSPSSLSASVGDRVTITCQASQDIRFYLNWYQQKPGKAPKLLISAASTLQSGVPSRFSGSGSGTDFTLTITSLQPEDFATYYCAGYVPSYTFGPGTKVDIK"/>
        <s v="EVQLVESGGGLVKPGGSLKVSCAASGFTFSSFAMHWVRQAPGKGLEWVSYIWSGADSTGYADSVKGRFTISRDNAKNSLYLQMNSLRAGDTAVYYCARDDDAFDYWGQGTAVTVSSGGGSGGGSGGGSDIQMTQSPSSLSASVGDRVTITCQASQDIRFYLNWYQQKPGKAPKLLISAASTLQSGVPSRFSGSGSGTDFTLTITSLQPEDFATYYCAGYVPSYTFGPGTKVDIK"/>
        <s v="EVQLVESGGGLVKPGGSLKVSCAASGFTFSSYSMVWVRQAPGKGLEWVSRIWSGVDSTGYADSVKGRFTISRDNAKNSLYLQMNSLRAGDTAVYYCARDDDAFDYWGQGTAVTVSSGGGSGGGSGGGSDIQMTQSPSSLSASVGDRVTITCQASQDIRFYLNWYQQKPGKAPKLLISAASTLQSGVPSRFSGSGSGTDFTLTITSLQPEDFATYYCAGYVPSYTFGPGTKVDIK"/>
        <s v="EVQLVESGGGLVQPGGSLRLSCAASGFNISYSSIHWVRQAPGKGLEWVASISSYSGSTYYADSVKGRFTISADTSKNTAYLQMNSLRAEDTAVYYCARGGYVPVGWYALDYWGQGTLVTVSSGGGSGGGSGGGSGGGSDIQMTQSPSSLSASVGDRVTITCRASQSVSTAVAWYQQKPGKAPKLLIYYASDRYSGVPSRFSGSRSGTDFTLTISSLQPEDFATYYCQQHYNYPLTFGQGTKVEIK"/>
        <s v="EVQLVESGGGLVQPGGSLRLSCAASGFNISYSSIHWVRQAPGKGLEWVASISSYSGSTYYADSVKGRFTISADTSKNTAYLQMNSLRAEDTAVYYCARGGAVPVGWYALDYWGQGTLVTVSSGGGSGGGSGGGSGGGSDIQMTQSPSSLSASVGDRVTITCRASQSVSDDVAWYQQKPGKAPKLLIYRASDRYFGVPSRFSGSRSGTDFTLTISSLQPEDFATYYCQQYYSYPITFGQGTKVEIK"/>
        <s v="EVQLVESGGGLVQPGGSLRLSCAASGFNISYSSIHWVRQAPGKGLEWVASISSYSGSTYYADSVKGRFTISADTSKNTAYLQMNSLRAEDTAVYYCARGGDVPNGWYALDYWGQGTLVTVSSGGGSGGGSGGGSGGGSDIQMTQSPSSLSASVGDRVTITCRASQSVYTAVAWYQQKPGKAPKLLIYFASDRYSGVPSRFSGSRSGTDFTLTISSLQPEDFATYYCQQHYYYPITFGQGTKVEIK"/>
        <s v="EVQLVESGGGLVQPGGSLRLSCAASGFNISYSSIHWVRQAPGKGLEWVASISSYSGSTYYADSVKGRFTISADTSKNTAYLQMNSLRAEDTAVYYCARGGDVPVGWYALDYWGQGTLVTVSSGGGSGGGSGGGSGGGSDIQMTQSPSSLSASVGDRVTITCRASQSVSDAVAWYQQKPGKAPKLLIYYASDRYAGVPSRFSGSRSGTDFTLTISSLQPEDFATYYCQQYYSYPLTFGQGTKVEIK"/>
        <s v="EVQLVESGGGLVQPGGSLRLSCAASGFNISSSSIHWVRQAPGKGLEWVASISSSSGSTYYADSVKGRFTISADTSKNTAYLQMNSLRAEDTAVYYCARGGDVPNGWYALDYWGQGTLVTVSSGGGSGGGSGGGSGGGSDIQMTQSPSSLSASVGDRVTITCRASQSVYTAVAWYQQKPGKAPKLLIYRASDRYAGVPSRFSGSRSGTDFTLTISSLQPEDFATYYCQQYYYYPLTFGQGTKVEIK"/>
        <s v="EVQLVESGGGLVQPGGSLRLSCAASGFNISYSSIHWVRQAPGKGLEWVASISSYSGSTYYADSVKGRFTISADTSKNTAYLQMNSLRAEDTAVYYCARGGDVPVGYYALDYWGQGTLVTVSSGGGSGGGSGGGSGGGSDIQMTQSPSSLSASVGDRVTITCRASQSVNTAVAWYQQKPGKAPKLLIYSASDRYFGVPSRFSGSRSGTDFTLTISSLQPEDFATYYCQQHYSYPLTFGQGTKVEIK"/>
        <s v="EVQLVESGGGLVQPGGSLRLSCAASGFNISYSSIHWVRQAPGKGLEWVASISSYSGSTYYADSVKGRFTISADTSKNTAYLQMNSLRAEDTAVYYCARGGDVPNGWYALDYWGQGTLVTVSSGGGSGGGSGGGSGGGSDIQMTQSPSSLSASVGDRVTITCRASQSVYTAVAWYQQKPGKAPKLLIYSASDRYSGVPSRFSGSRSGTDFTLTISSLQPEDFATYYCQQYASYPITFGQGTKVEIK"/>
        <s v="EVQLVESGGGLVQPGGSLRLSCAASGFNISYSSIHWVRQAPGKGLEWVASISSYSGSTYYADSVKGRFTISADTSKNTAYLQMNSLRAEDTAVYYCARGGAVPVGWYALDYWGQGTLVTVSSGGGSGGGSGGGSGGGSDIQMTQSPSSLSASVGDRVTITCRASQSVSIAVAWYQQKPGKAPKLLIYSASDRYFGVPSRFSGSRSGTDFTLTISSLQPEDFATYYCQQYYSYPLTFGQGTKVEIK"/>
        <s v="EVQLVESGGGLVQPGGSLRLSCAASGFNISYSSIHWVRQAPGKGLEWVASISSYSGSTYYADSVKGRFTISADTSKNTAYLQMNSLRAEDTAVYYCARGGDVPVGWYALDYWGQGTLVTVSSGGGSGGGSGGGSGGGSDIQMTQSPSSLSASVGDRVTITCRASQSVYYAVAWYQQKPGKAPKLLIYRASDRYSGVPSRFSGSRSGTDFTLTISSLQPEDFATYYCQQYYSYPLTFGQGTKVEIK"/>
        <s v="EVQLVESGGGLVQPGGSLRLSCAASGFNISYSSIHWVRQAPGKGLEWVASISSYSGSTYYADSVKGRFTISADTSKNTAYLQMNSLRAEDTAVYYCARGGYVPVGWYALDYWGQGTLVTVSSGGGSGGGSGGGSGGGSDIQMTQSPSSLSASVGDRVTITCRASQSVYTAVAWYQQKPGKAPKLLIYRASDRYFGVPSRFSGSRSGTDFTLTISSLQPEDFATYYCQQYYYYPLTFGQGTKVEIK"/>
        <s v="EVQLVESGGGLVQPGGSLRLSCAASGFNISYSSIHWVRQAPGKGLEWVASISSYSGYTYYADSVKGRFTISADTSKNTAYLQMNSLRAEDTAVYYCARGGWRPIGSYALDYWGQGTLVTVSSGGGSGGGSGGGSGGGSGGGSDIQMTQSPSSLSASVGDRVTITCRASQDVFSAVAWYQQKPGKAPKLLIYYASFLYSGVPSRFSGSRSGTDFTLTISSLQPEDFATYYCQQHSVVPITFGQGTKVEIK"/>
        <s v="EVQLVESGGGLVQPGGSLRLSCAASGFNISYSSIHWVRQAPGKGLEWVASISSYSGSTYYADSVKGRFTISADTSKNTAYLQMNSLRAEDTAVYYCARGGYRPIGNYALDYWGQGTLVTVSSGGGSGGGSGGGSGGGSGGGSDIQMTQSPSSLSASVGDRVTITCRASQDVDSAVAWYQQKPGKAPKLLIYYASFLYSGVPSRFSGSRSGTDFTLTISSLQPEDFATYYCQQHYVVPVTFGQGTKVEIK"/>
        <s v="EVQLVESGGGLVQPGGSLRLSCAASGFNISYYSIHWVRQAPGKGLEWVASISSYSGYTYYADSVKGRFTISADTSKNTAYLQMNSLRAEDTAVYYCARGGDRPSGCYALDYWGQGTLVTVSSGGGSGGGSGGGSGGGSGGGSDIQMTQSPSSLSASVGDRVTITCRASQDVFSAVAWYQQKPGKAPKLLIYFASFLYSGVPSRFSGSRSGTDFTLTISSLQPEDFATYYCQQHYEVPITFGQGTKVEIK"/>
        <s v="EVQLVESGGGLVQPGGSLRLSCAASGFNISYSSIHWVRQAPGKGLEWVASISSYSGYTYYADSVKGRFTISADTSKNTAYLQMNSLRAEDTAVYYCARGGSLPTGCYALDYWGQGTLVTVSSGGGSGGGSGGGSGGGSGGGSDIQMTQSPSSLSASVGDRVTITCRASQDVDSAVAWYQQKPGKAPKLLIYFASSLYSGVPSRFSGSRSGTDFTLTISSLQPEDFATYYCQQHYDAPITFGQGTKVEIK"/>
        <s v="EVQLVESGGGLVQPGGSLRLSCAASGFNISYSSIHWVRQAPGKGLEWVASISSYSGYTYYADSVKGRFTISADTSKNTAYLQMNSLRAEDTAVYYCARGGWYPWGCDALDYWGQGTLVTVSSGGGSGGGSGGGSGGGSGGGSDIQMTQSPSSLSASVGDRVTITCRASQDVDSAVAWYQQKPGKAPKLLIYFASFLYSGVPSRFSGSRSGTDFTLTISSLQPEDFATYYCQQHYDVPITFGQGTKVEIK"/>
        <s v="EVQLVESGGGLVQPGGSLRLSCAASGFNISYSSIHWVRQAPGKGLEWVASISSYSGYTYYADSVKGRFTISADTSKNTAYLQMNSLRAEDTAVYYCARGGDRPVGCYALDYWGQGTLVTVSSGGGSGGGSGGGSGGGSGGGSDIQMTQSPSSLSASVGDRVTITCRASQDVTSAVAWYQQKPGKAPKLLIYSASFRYSGVPSRFSGSRSGTDFTLTISSLQPEDFATYYCQQHYVVPVTFGQGTKVEIK"/>
        <s v="EVQLVESGGGLVQPGGSLRLSCAASGFNISYSSIHWVRQAPGKGLEWVASISSYSGYTYYADSVKGRFTISADTSKNTAYLQMNSLRAEDTAVYYCARGGWYPLGCYAMDYWGQGTLVTVSSGGGSGGGSGGGSGGGSGGGSDIQMTQSPSSLSASVGDRVTITCRASQDVLSDVAWYQQKPGKAPKLLIYYASFRYSGVPSRFSGSRSGTDFTLTISSLQPEDFATYYCQQHYVVPVTFGQGTKVEIK"/>
        <s v="EVQLVESGGGLVQPGGSLRLSCAASGFNISYSSIHWVRQAPGKGLEWVASISSYSGYTYYADSVKGRFTISADTSKNTAYLQMNSLRAEDTAVYYCARGGWRPFGCYALDYWGQGTLVTVSSGGGSGGGSGGGSGGGSGGGSDIQMTQSPSSLSASVGDRVTITCRASQDVFSAVAWYQQKPGKAPKLLIYSASFLYSGVPSRFSGSRSGTDFTLTISSLQPEDFATYYCQQHYIYPVTFGQGTKVEIK"/>
        <s v="EVQLVESGGGLVQPGGSLRLSCAASGFNISYSSIHWVRQAPGKGLEWVASISSYSGSTYYADSVKGRFTISADTSKNTAYLQMNSLRAEDTAVYYCARGGWYPWGNYALDYWGQGTLVTVSSGGGSGGGSGGGSGGGSGGGSDIQMTQSPSSLSASVGDRVTITCRASQDVNTAVAWYQQKPGKAPKLLIYEASFRYSGVPSRFSGSRSGTDFTLTISSLQPEDFATYYCQQHYEVPITFGQGTKVEIK"/>
        <s v="EVQLVESGGGLVQPGGSLRLSCAASGFNISYSSIHWVRQAPGKGLEWVASISSYSGSTYYADSVKGRFTISADTSKNTAYLQMNSLRAEDTAVYYCARGGSRPWGCYALDYWGQGTLVTVSSGGGSGGGSGGGSGGGSGGGSDIQMTQSPSSLSASVGDRVTITCRASQDVFTAVAWYQQKPGKAPKLLIYFASFLYSGVPSRFSGSRSGTDFTLTISSLQPEDFATYYCQQYSIVPVTFGQGTKVEIK"/>
        <s v="EVQLVESGGGLVQPGGSLRLSCAASGFNISYSSIHWVRQAPGKGLEWVASISSYSGSTYYADSVKGRFTISADTSKNTAYLQMNSLRAEDTAVYYCARGGDVPVGWYALDYWGQGTLVTVSSGGGSGGGSGGGSGGGSGGGSDIQMTQSPSSLSASVGDRVTITCRASQSVYYAVAWYQQKPGKAPKLLIYRASDLYSGVPSRFSGSRSGTDFTLTISSLQPEDFATYYCQQYYSYPLTFGQGTKVEIK"/>
        <m/>
        <s v="EVQLVESGGGLVQPGGSLRLSCAASGFNISYSSIHWVRQAPGKGLEWVASISSYSGSTYYADSVKGRFTISADTSKNTAYLQMNSLRAEDTAVYYCARGGDVPVGWYALDYWGQGTLVTVSSGGGSGGGSGGGSGGGSGGGSDIQMTQSPSSLSASVGDRVTITCRASQSVYYAVAWYQQKPGKAPKLLIYRASDRYSGVPSRFSGSRSGTDFTLTISSLQPEDFATYYCQQYYSYPLTFGQGTKVEIK" u="1"/>
      </sharedItems>
    </cacheField>
    <cacheField name="len_franken_chain" numFmtId="0">
      <sharedItems containsString="0" containsBlank="1" containsNumber="1" containsInteger="1" minValue="231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Blank="1" containsMixedTypes="1" containsNumber="1" minValue="0" maxValue="0.572295"/>
    </cacheField>
    <cacheField name="max_ipsae" numFmtId="0">
      <sharedItems containsBlank="1" containsMixedTypes="1" containsNumber="1" minValue="0" maxValue="0.73576600000000003"/>
    </cacheField>
    <cacheField name="submitted_to_comp" numFmtId="0">
      <sharedItems containsNonDate="0" containsDate="1" containsString="0" containsBlank="1" minDate="2023-11-12T00:00:00" maxDate="2025-12-01T00:00:00" count="21"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5T00:00:00"/>
        <m/>
        <d v="2025-11-16T00:00:00"/>
        <d v="2025-11-17T00:00:00"/>
        <d v="2025-11-18T00:00:00"/>
        <d v="2025-11-22T00:00:00"/>
        <d v="2025-11-26T00:00:00"/>
        <d v="2025-11-28T00:00:00"/>
        <d v="2025-11-29T00:00:00"/>
        <d v="2025-11-30T00:00:00"/>
        <d v="2025-11-23T00:00:00" u="1"/>
        <d v="2025-11-21T00:00:00" u="1"/>
        <d v="2025-11-14T00:00:00" u="1"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x v="0"/>
    <s v="peleke-1"/>
    <x v="0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5.3039999999999997E-3"/>
    <n v="2.5982999999999999E-2"/>
    <x v="0"/>
  </r>
  <r>
    <x v="1"/>
    <s v="peleke-1"/>
    <x v="0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2459999999999998E-3"/>
    <x v="1"/>
  </r>
  <r>
    <x v="2"/>
    <s v="peleke-1"/>
    <x v="0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4.7468000000000003E-2"/>
    <n v="9.3658000000000005E-2"/>
    <x v="1"/>
  </r>
  <r>
    <x v="3"/>
    <s v="peleke-1"/>
    <x v="0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1.2938E-2"/>
    <n v="5.7574E-2"/>
    <x v="1"/>
  </r>
  <r>
    <x v="4"/>
    <s v="peleke-1"/>
    <x v="0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0559999999999997E-3"/>
    <x v="1"/>
  </r>
  <r>
    <x v="5"/>
    <s v="General LLM"/>
    <x v="1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0"/>
    <x v="1"/>
  </r>
  <r>
    <x v="6"/>
    <s v="peleke-1 + ProteinMPNN"/>
    <x v="2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0"/>
    <n v="0"/>
    <x v="0"/>
  </r>
  <r>
    <x v="7"/>
    <s v="peleke-1 + ProteinMPNN"/>
    <x v="2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s v="peleke-1 + ProteinMPNN"/>
    <x v="2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"/>
    <n v="0"/>
    <x v="0"/>
  </r>
  <r>
    <x v="9"/>
    <s v="peleke-1 + ProteinMPNN"/>
    <x v="2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.222529"/>
    <n v="0.346188"/>
    <x v="0"/>
  </r>
  <r>
    <x v="10"/>
    <s v="peleke-1 + ProteinMPNN"/>
    <x v="2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s v="peleke-1 + ProteinMPNN"/>
    <x v="2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s v="peleke-1 + ProteinMPNN"/>
    <x v="2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0"/>
    <n v="0"/>
    <x v="0"/>
  </r>
  <r>
    <x v="13"/>
    <s v="peleke-1 + ProteinMPNN"/>
    <x v="3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e v="#N/A"/>
    <e v="#N/A"/>
    <x v="1"/>
  </r>
  <r>
    <x v="14"/>
    <s v="peleke-1 + ProteinMPNN"/>
    <x v="3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9.9030000000000003E-3"/>
    <n v="2.6096000000000001E-2"/>
    <x v="0"/>
  </r>
  <r>
    <x v="15"/>
    <s v="peleke-1 + ProteinMPNN"/>
    <x v="3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s v="peleke-1 + ProteinMPNN"/>
    <x v="3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s v="peleke-1 + ProteinMPNN"/>
    <x v="3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5.0000000000000001E-3"/>
    <n v="5.3550000000000004E-3"/>
    <x v="2"/>
  </r>
  <r>
    <x v="18"/>
    <s v="peleke-1 + ProteinMPNN"/>
    <x v="3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5.1789999999999996E-3"/>
    <n v="9.8119999999999995E-3"/>
    <x v="2"/>
  </r>
  <r>
    <x v="19"/>
    <s v="peleke-1 + ProteinMPNN"/>
    <x v="3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.28534100000000001"/>
    <n v="0.38202399999999997"/>
    <x v="2"/>
  </r>
  <r>
    <x v="20"/>
    <s v="peleke-1 + ProteinMPNN"/>
    <x v="3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0"/>
    <x v="2"/>
  </r>
  <r>
    <x v="21"/>
    <s v="ProteinMPNN"/>
    <x v="4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s v="ProteinMPNN"/>
    <x v="4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"/>
    <n v="0"/>
    <x v="0"/>
  </r>
  <r>
    <x v="23"/>
    <s v="ProteinMPNN"/>
    <x v="4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5.104E-3"/>
    <n v="5.104E-3"/>
    <x v="0"/>
  </r>
  <r>
    <x v="24"/>
    <s v="ProteinMPNN"/>
    <x v="4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1330000000000004E-3"/>
    <n v="1.3644E-2"/>
    <x v="2"/>
  </r>
  <r>
    <x v="25"/>
    <s v="ProteinMPNN"/>
    <x v="4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.55087299999999995"/>
    <n v="0.73576600000000003"/>
    <x v="2"/>
  </r>
  <r>
    <x v="26"/>
    <s v="ProteinMPNN"/>
    <x v="4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0"/>
    <n v="0"/>
    <x v="2"/>
  </r>
  <r>
    <x v="27"/>
    <s v="ProteinMPNN"/>
    <x v="4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"/>
    <n v="5.1970000000000002E-3"/>
    <x v="0"/>
  </r>
  <r>
    <x v="28"/>
    <s v="ProteinMPNN"/>
    <x v="4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214564"/>
    <n v="0.35564200000000001"/>
    <x v="0"/>
  </r>
  <r>
    <x v="29"/>
    <s v="peleke-1"/>
    <x v="5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1"/>
    <n v="4.9880000000000002E-3"/>
    <n v="2.6955E-2"/>
    <x v="3"/>
  </r>
  <r>
    <x v="30"/>
    <s v="peleke-1"/>
    <x v="5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1"/>
    <n v="8.5369999999999994E-3"/>
    <n v="3.8865999999999998E-2"/>
    <x v="3"/>
  </r>
  <r>
    <x v="31"/>
    <s v="peleke-1"/>
    <x v="5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1"/>
    <n v="0.29099799999999998"/>
    <n v="0.37256800000000001"/>
    <x v="3"/>
  </r>
  <r>
    <x v="32"/>
    <s v="peleke-1"/>
    <x v="5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1"/>
    <n v="0"/>
    <n v="5.372E-3"/>
    <x v="3"/>
  </r>
  <r>
    <x v="33"/>
    <s v="peleke-1"/>
    <x v="5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1"/>
    <n v="0"/>
    <n v="5.6839999999999998E-3"/>
    <x v="3"/>
  </r>
  <r>
    <x v="34"/>
    <s v="peleke-1"/>
    <x v="5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1"/>
    <n v="5.4289999999999998E-3"/>
    <n v="6.0312999999999999E-2"/>
    <x v="3"/>
  </r>
  <r>
    <x v="35"/>
    <s v="peleke-1"/>
    <x v="5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1"/>
    <n v="7.3824000000000001E-2"/>
    <n v="0.14274700000000001"/>
    <x v="3"/>
  </r>
  <r>
    <x v="36"/>
    <s v="peleke-1"/>
    <x v="5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1"/>
    <n v="0"/>
    <n v="5.7530000000000003E-3"/>
    <x v="3"/>
  </r>
  <r>
    <x v="37"/>
    <s v="peleke-1"/>
    <x v="5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1"/>
    <n v="0"/>
    <n v="5.0790000000000002E-3"/>
    <x v="3"/>
  </r>
  <r>
    <x v="38"/>
    <s v="peleke-1"/>
    <x v="5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1"/>
    <n v="5.6490000000000004E-3"/>
    <n v="1.4251E-2"/>
    <x v="3"/>
  </r>
  <r>
    <x v="39"/>
    <s v="peleke-1"/>
    <x v="5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1"/>
    <n v="0"/>
    <n v="5.3359999999999996E-3"/>
    <x v="4"/>
  </r>
  <r>
    <x v="40"/>
    <s v="peleke-1"/>
    <x v="5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1"/>
    <n v="0"/>
    <n v="0"/>
    <x v="4"/>
  </r>
  <r>
    <x v="41"/>
    <s v="peleke-1"/>
    <x v="5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1"/>
    <n v="0"/>
    <n v="0"/>
    <x v="4"/>
  </r>
  <r>
    <x v="42"/>
    <s v="peleke-1"/>
    <x v="5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1"/>
    <n v="0"/>
    <n v="5.7590000000000002E-3"/>
    <x v="4"/>
  </r>
  <r>
    <x v="43"/>
    <s v="peleke-1"/>
    <x v="5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1"/>
    <n v="0"/>
    <n v="5.1970000000000002E-3"/>
    <x v="4"/>
  </r>
  <r>
    <x v="44"/>
    <s v="peleke-1"/>
    <x v="5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1"/>
    <n v="5.5849999999999997E-3"/>
    <n v="5.5849999999999997E-3"/>
    <x v="4"/>
  </r>
  <r>
    <x v="45"/>
    <s v="peleke-1"/>
    <x v="5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1"/>
    <n v="0"/>
    <n v="1.9698E-2"/>
    <x v="4"/>
  </r>
  <r>
    <x v="46"/>
    <s v="peleke-1"/>
    <x v="5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1"/>
    <n v="0"/>
    <n v="0"/>
    <x v="4"/>
  </r>
  <r>
    <x v="47"/>
    <s v="peleke-1"/>
    <x v="5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1"/>
    <m/>
    <m/>
    <x v="4"/>
  </r>
  <r>
    <x v="48"/>
    <s v="peleke-1"/>
    <x v="5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1"/>
    <n v="0"/>
    <n v="0"/>
    <x v="4"/>
  </r>
  <r>
    <x v="49"/>
    <s v="peleke-1"/>
    <x v="0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1"/>
    <n v="0.54889900000000003"/>
    <n v="0.65651000000000004"/>
    <x v="5"/>
  </r>
  <r>
    <x v="50"/>
    <s v="peleke-1"/>
    <x v="0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1"/>
    <n v="5.4320000000000002E-3"/>
    <n v="2.4593E-2"/>
    <x v="5"/>
  </r>
  <r>
    <x v="51"/>
    <s v="peleke-1"/>
    <x v="0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1"/>
    <n v="0.13125000000000001"/>
    <n v="0.22309999999999999"/>
    <x v="5"/>
  </r>
  <r>
    <x v="52"/>
    <s v="peleke-1"/>
    <x v="0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1"/>
    <n v="0"/>
    <n v="4.986E-3"/>
    <x v="6"/>
  </r>
  <r>
    <x v="53"/>
    <s v="peleke-1"/>
    <x v="0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1"/>
    <n v="5.679E-3"/>
    <n v="5.7196999999999998E-2"/>
    <x v="6"/>
  </r>
  <r>
    <x v="54"/>
    <s v="peleke-1"/>
    <x v="0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1"/>
    <n v="0"/>
    <n v="5.3839999999999999E-3"/>
    <x v="6"/>
  </r>
  <r>
    <x v="55"/>
    <s v="peleke-1"/>
    <x v="0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1"/>
    <n v="0"/>
    <n v="0"/>
    <x v="7"/>
  </r>
  <r>
    <x v="56"/>
    <s v="peleke-1"/>
    <x v="0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1"/>
    <n v="6.9049999999999997E-3"/>
    <n v="7.6717999999999995E-2"/>
    <x v="7"/>
  </r>
  <r>
    <x v="57"/>
    <s v="peleke-1"/>
    <x v="0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1"/>
    <n v="0.16498099999999999"/>
    <n v="0.26647999999999999"/>
    <x v="8"/>
  </r>
  <r>
    <x v="58"/>
    <s v="peleke-1"/>
    <x v="0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1"/>
    <n v="0"/>
    <n v="1.0189999999999999E-2"/>
    <x v="8"/>
  </r>
  <r>
    <x v="59"/>
    <s v="peleke-1"/>
    <x v="0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1"/>
    <n v="0"/>
    <n v="5.0220000000000004E-3"/>
    <x v="5"/>
  </r>
  <r>
    <x v="60"/>
    <s v="peleke-1"/>
    <x v="0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1"/>
    <n v="0"/>
    <n v="1.2418E-2"/>
    <x v="5"/>
  </r>
  <r>
    <x v="61"/>
    <s v="peleke-1"/>
    <x v="0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1"/>
    <n v="0.13139000000000001"/>
    <n v="0.20833399999999999"/>
    <x v="5"/>
  </r>
  <r>
    <x v="62"/>
    <s v="peleke-1"/>
    <x v="0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1"/>
    <n v="0"/>
    <n v="5.0930000000000003E-3"/>
    <x v="6"/>
  </r>
  <r>
    <x v="63"/>
    <s v="peleke-1"/>
    <x v="0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1"/>
    <n v="0"/>
    <n v="0"/>
    <x v="6"/>
  </r>
  <r>
    <x v="64"/>
    <s v="peleke-1"/>
    <x v="0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1"/>
    <n v="5.4320000000000002E-3"/>
    <n v="3.7756999999999999E-2"/>
    <x v="6"/>
  </r>
  <r>
    <x v="65"/>
    <s v="peleke-1"/>
    <x v="0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1"/>
    <n v="0"/>
    <n v="5.1409999999999997E-3"/>
    <x v="7"/>
  </r>
  <r>
    <x v="66"/>
    <s v="peleke-1"/>
    <x v="0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1"/>
    <n v="5.9430000000000004E-3"/>
    <n v="8.7933999999999998E-2"/>
    <x v="7"/>
  </r>
  <r>
    <x v="67"/>
    <s v="peleke-1"/>
    <x v="0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1"/>
    <n v="0"/>
    <n v="5.2589999999999998E-3"/>
    <x v="9"/>
  </r>
  <r>
    <x v="68"/>
    <s v="peleke-1"/>
    <x v="0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1"/>
    <n v="0"/>
    <n v="0"/>
    <x v="8"/>
  </r>
  <r>
    <x v="69"/>
    <s v="peleke-1"/>
    <x v="0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1"/>
    <n v="0"/>
    <n v="5.0299999999999997E-3"/>
    <x v="5"/>
  </r>
  <r>
    <x v="70"/>
    <s v="peleke-1"/>
    <x v="0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1"/>
    <n v="5.0870000000000004E-3"/>
    <n v="4.0273000000000003E-2"/>
    <x v="5"/>
  </r>
  <r>
    <x v="71"/>
    <s v="peleke-1"/>
    <x v="0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1"/>
    <n v="0"/>
    <n v="5.0660000000000002E-3"/>
    <x v="5"/>
  </r>
  <r>
    <x v="72"/>
    <s v="peleke-1"/>
    <x v="0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1"/>
    <n v="0"/>
    <n v="0"/>
    <x v="6"/>
  </r>
  <r>
    <x v="73"/>
    <s v="peleke-1"/>
    <x v="0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1"/>
    <n v="4.8799999999999998E-3"/>
    <n v="4.8799999999999998E-3"/>
    <x v="6"/>
  </r>
  <r>
    <x v="74"/>
    <s v="peleke-1"/>
    <x v="0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1"/>
    <n v="0"/>
    <n v="5.3730000000000002E-3"/>
    <x v="6"/>
  </r>
  <r>
    <x v="75"/>
    <s v="peleke-1"/>
    <x v="0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1"/>
    <n v="0"/>
    <n v="0"/>
    <x v="7"/>
  </r>
  <r>
    <x v="76"/>
    <s v="peleke-1"/>
    <x v="0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1"/>
    <n v="0"/>
    <n v="4.8869999999999999E-3"/>
    <x v="7"/>
  </r>
  <r>
    <x v="77"/>
    <s v="peleke-1"/>
    <x v="0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1"/>
    <n v="8.0009999999999994E-3"/>
    <n v="0.10431"/>
    <x v="9"/>
  </r>
  <r>
    <x v="78"/>
    <s v="peleke-1"/>
    <x v="0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1"/>
    <n v="0.26539499999999999"/>
    <n v="0.41420200000000001"/>
    <x v="9"/>
  </r>
  <r>
    <x v="79"/>
    <s v="peleke-1"/>
    <x v="0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1"/>
    <n v="0.22428600000000001"/>
    <n v="0.32534800000000003"/>
    <x v="5"/>
  </r>
  <r>
    <x v="80"/>
    <s v="peleke-1"/>
    <x v="0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1"/>
    <n v="0"/>
    <n v="5.3290000000000004E-3"/>
    <x v="6"/>
  </r>
  <r>
    <x v="81"/>
    <s v="General LLM"/>
    <x v="6"/>
    <n v="0.7"/>
    <s v="base"/>
    <m/>
    <s v="nipah_gpG_compout"/>
    <m/>
    <s v="DVQLQESGPGLVKPSQTLSLTCTVSGYSITSDYYWNWIRQFPGNKLEWMGYISYDGSSNYNPSLKNRISITRDNSKNQFFLQLNSVTTEDTATYYCARSCSRRGYAMDYWGQGTSVTVSS"/>
    <s v="QIVLTQSPAIMSASLGEKVTLTCSASSSVSYMHWYQQKPGTSPKLLIYSCNLLSGVPDRFSGSGSGTDFTLSISNVETEDAATYYCYQYRIRFGGGTKLTVLQ"/>
    <b v="1"/>
    <s v="GGGSGGGSGGGSGGGS"/>
    <x v="81"/>
    <n v="239"/>
    <b v="1"/>
    <b v="0"/>
    <b v="1"/>
    <n v="0"/>
    <n v="5.1529999999999996E-3"/>
    <x v="7"/>
  </r>
  <r>
    <x v="82"/>
    <s v="General LLM"/>
    <x v="6"/>
    <n v="0.1"/>
    <s v="base"/>
    <m/>
    <s v="nipah_gpG_compout"/>
    <m/>
    <s v="EVQLVESGGGLVQPGGSLRLSCAASGFTFSSYAMSWVRQAPGKGLEWVSSISRSGGSTYYADSVKGRFTISRDNAKNSLYLQMNSLRAEDTAVYYCARSCSSRGYFDYWGQGTLVTVSS"/>
    <s v="DIVMTQSPDSLAVSLGERATINCRASQSVSSYLAWYQQKPGQSPKLLIYSCNLQSGVPDRFSGSGSGTDFTLTISSLQPEDFATYYCQPYIRFGGGGTKLEIK"/>
    <b v="1"/>
    <s v="GGGSGGGSGGGSGGGS"/>
    <x v="82"/>
    <n v="238"/>
    <b v="1"/>
    <b v="0"/>
    <b v="1"/>
    <n v="0"/>
    <n v="5.2469999999999999E-3"/>
    <x v="7"/>
  </r>
  <r>
    <x v="83"/>
    <s v="General LLM"/>
    <x v="6"/>
    <n v="0.9"/>
    <s v="base"/>
    <m/>
    <s v="nipah_gpG_compout"/>
    <m/>
    <s v="QVQLQESGPGLVKPSQTLSLTCTVSGFSFSSYAMSWVRQAPGKGLEWVSSISRSGGSTYYADSVKGRFTISRDNAKNSLYLQMNSLRAEDTAVYYCARSCSSRGYLFDYWGQGTLVTVSS"/>
    <s v="DIVMTQSPDSLAVSLGERATINCRASQSVSSYLAWYQQKPGQSPKLLIYSCNLQSGVPDRFSGSGSGTDFTLTISSLQPEDFATYYCQPYIRFGGGGTKLEIK"/>
    <b v="1"/>
    <s v="GGGSGGGSGGGSGGGS"/>
    <x v="83"/>
    <n v="239"/>
    <b v="1"/>
    <b v="0"/>
    <b v="1"/>
    <n v="0"/>
    <n v="5.4089999999999997E-3"/>
    <x v="7"/>
  </r>
  <r>
    <x v="84"/>
    <s v="General LLM + ProteinMPNN"/>
    <x v="7"/>
    <n v="0.2"/>
    <s v="derivative"/>
    <s v="sbio-nipahgpg-084"/>
    <s v="nipah_gpG_compout"/>
    <m/>
    <s v="SIKLTESGPTSVAPGSTLNLTCTVTGDNITSSGWYWWVKQAPDNKLTWIGGIDKNGNTWLNVAYIDRATLTRDPAANTVYLSIRNVTSSDTATYYCAKSSDDNGSYLDVWGQGLKVTVSG"/>
    <s v="QVKLTQSPKEVTAKIGDTVTLTCTASQPVSTVSWYMQKPGQPPQLLISNNKLVEGVPERFSASGSGTEFTLTIKDVQKEDEAIYYCEVNGQVFGQGTKLTVLE"/>
    <b v="1"/>
    <s v="GGGSGGGSGGGSGGGS"/>
    <x v="84"/>
    <n v="239"/>
    <b v="1"/>
    <b v="0"/>
    <b v="1"/>
    <n v="0.169797"/>
    <n v="0.25293399999999999"/>
    <x v="7"/>
  </r>
  <r>
    <x v="85"/>
    <s v="peleke-1"/>
    <x v="0"/>
    <n v="0.1"/>
    <s v="base"/>
    <m/>
    <s v="nipah_gpG_compout"/>
    <m/>
    <s v="EVQLVESGGGLVQPGGSLRLSCAASGFNVSYSSIHWVRQAPGKGLEWVASIYSYSGYTYYADSVKGRFTISADTSKNTAYLQMNSLRAEDTAVYYCARGWYSYFDYWGQGTLVTVSS"/>
    <s v="DIQMTQSPSSLSASVGDRVTITCRASQSVSSAVAWYQQKPGKAPKLLIYSASSLYSGVPSRFSGSRSGTDFTLTISSLQPEDFATYYCQQYKYVPVTFGQGTKVEIK"/>
    <b v="1"/>
    <s v="GGGSGGGSGGGSGGGS"/>
    <x v="85"/>
    <n v="240"/>
    <b v="1"/>
    <b v="0"/>
    <b v="1"/>
    <n v="0"/>
    <n v="5.3860000000000002E-3"/>
    <x v="8"/>
  </r>
  <r>
    <x v="86"/>
    <s v="peleke-1"/>
    <x v="0"/>
    <n v="0.1"/>
    <s v="base"/>
    <m/>
    <s v="nipah_gpG_compout"/>
    <m/>
    <s v="QVQLVQSGAEVKKPGSSVKVSCKASGGTFSSYAISWVRQAPGQGLEWMGGIIIFGTANYAQKFQGRVTITADKSTSTAYMELRSEDTAVYYCAREGTTGWDYWGQGTLVTVSS"/>
    <s v="EIVLTQSPGTLSLSPGERATLSCRASQSVSSSYLAWYQQKPGQAPRLLIYGASSRATGIPDRFSGSGSGTDFTLTISRLEPEDFAVYYCQQYGSSPRTFGQGTKVEIK"/>
    <b v="1"/>
    <s v="GGGSGGGSGGGSGGGS"/>
    <x v="86"/>
    <n v="237"/>
    <b v="1"/>
    <b v="0"/>
    <b v="1"/>
    <n v="0"/>
    <n v="5.1520000000000003E-3"/>
    <x v="9"/>
  </r>
  <r>
    <x v="87"/>
    <s v="peleke-1"/>
    <x v="0"/>
    <n v="0.1"/>
    <s v="base"/>
    <m/>
    <s v="nipah_gpG_compout"/>
    <m/>
    <s v="EVQLVESGGGLVQPGGSLRLSCAASGFNVSYYSIHWVRQAPGKGLEWVASIYSYSGYTSYADSVKGRFTISADTSKNTAYLQMNSLRAEDTAVYYCARYYVYYGAMDYWGQGTLVTVSS"/>
    <s v="DIQMTQSPSSLSASVGDRVTITCRASQSVSSAVAWYQQKPGKAPKLLIYSASSLYSGVPSRFSGSRSGTDFTLTISSLQPEDFATYYCQQYKYVPVTFGQGTKVEIK"/>
    <b v="1"/>
    <s v="GGGSGGGSGGGSGGGS"/>
    <x v="87"/>
    <n v="242"/>
    <b v="1"/>
    <b v="0"/>
    <b v="1"/>
    <n v="0"/>
    <n v="5.2599999999999999E-3"/>
    <x v="9"/>
  </r>
  <r>
    <x v="88"/>
    <s v="peleke-1"/>
    <x v="0"/>
    <n v="0.1"/>
    <s v="base"/>
    <m/>
    <s v="nipah_gpG_compout"/>
    <m/>
    <s v="EVQLVESGGGLVQPGGSLRLSCAASGFNVSYSSIHWVRQAPGKGLEWVASIYSYSGYTYYADSVKGRFTISADTSKNTAYLQMNSLRAEDTAVYYCARGWVRGSSYWGQGTLVTVSS"/>
    <s v="DIQMTQSPSSLSASVGDRVTITCRASQSVSSAVAWYQQKPGKAPKLLIYSASSLYSGVPSRFSGSRSGTDFTLTISSLQPEDFATYYCQQYKYVPVTFGQGTKVEIK"/>
    <b v="1"/>
    <s v="GGGSGGGSGGGSGGGS"/>
    <x v="88"/>
    <n v="240"/>
    <b v="1"/>
    <b v="0"/>
    <b v="1"/>
    <n v="0.25166500000000003"/>
    <n v="0.40871299999999999"/>
    <x v="9"/>
  </r>
  <r>
    <x v="89"/>
    <s v="peleke-1"/>
    <x v="0"/>
    <n v="0.1"/>
    <s v="base"/>
    <m/>
    <s v="nipah_gpG_compout"/>
    <m/>
    <s v="EVQLVESGGGLVQPGGSLRLSCAASGFNVSYSSIHWVRQAPGKGLEWVASIYSYSGYTNYADSVKGRFTISADTSKNTAYLQMNSLRAEDTAVYYCARYYGGYGGYFDYWGQGTLVTVSS"/>
    <s v="DIQMTQSPSSLSASVGDRVTITCRASQSVSSAVAWYQQKPGKAPKLLIYSASSLYSGVPSRFSGSRSGTDFTLTISSLQPEDFATYYCQQYKYVPVTFGQGTKVEIK"/>
    <b v="1"/>
    <s v="GGGSGGGSGGGSGGGS"/>
    <x v="89"/>
    <n v="243"/>
    <b v="1"/>
    <b v="0"/>
    <b v="1"/>
    <n v="0"/>
    <n v="4.888E-3"/>
    <x v="8"/>
  </r>
  <r>
    <x v="90"/>
    <s v="peleke-1"/>
    <x v="0"/>
    <n v="0.1"/>
    <s v="base"/>
    <m/>
    <s v="nipah_gpG_compout"/>
    <m/>
    <s v="EVQLVESGGGLVQPGGSLRLSCAASGFNVSYYSIHWVRQAPGKGLEWVASIYPYSGYTNYADSVKGRFTISADTSKNTAYLQMNSLRAEDTAVYYCARYYGYWYFDYWGQGTLVTVSS"/>
    <s v="DIQMTQSPSSLSASVGDRVTITCRASQSVSSAVAWYQQKPGKAPKLLIYSASSLYSGVPSRFSGSRSGTDFTLTISSLQPEDFATYYCQQYKYVPVTFGQGTKVEIK"/>
    <b v="1"/>
    <s v="GGGSGGGSGGGSGGGS"/>
    <x v="90"/>
    <n v="241"/>
    <b v="1"/>
    <b v="0"/>
    <b v="1"/>
    <n v="0"/>
    <n v="5.4039999999999999E-3"/>
    <x v="8"/>
  </r>
  <r>
    <x v="91"/>
    <s v="peleke-1"/>
    <x v="0"/>
    <n v="0.1"/>
    <s v="base"/>
    <m/>
    <s v="nipah_gpG_compout"/>
    <m/>
    <s v="EVQLVESGGGLVQPGGSLRLSCAASGFNVSYSSIHWVRQAPGKGLEWVASIYSYSGYTSYADSVKGRFTISADTSKNTAYLQMNSLRAEDTAVYYCARYYGGYGGWYFDYWGQGTLVTVSS"/>
    <s v="DIQMTQSPSSLSASVGDRVTITCRASQSVSSAVAWYQQKPGKAPKLLIYSASSLYSGVPSRFSGSRSGTDFTLTISSLQPEDFATYYCQQYKYVPVTFGQGTKVEIK"/>
    <b v="1"/>
    <s v="GGGSGGGSGGGSGGGS"/>
    <x v="91"/>
    <n v="244"/>
    <b v="1"/>
    <b v="0"/>
    <b v="1"/>
    <n v="4.7809999999999997E-3"/>
    <n v="1.0769000000000001E-2"/>
    <x v="8"/>
  </r>
  <r>
    <x v="92"/>
    <s v="peleke-1"/>
    <x v="0"/>
    <n v="0.1"/>
    <s v="base"/>
    <m/>
    <s v="nipah_gpG_compout"/>
    <m/>
    <s v="EVQLVESGGGLVQPGGSLRLSCAASGFNVSYYSIHWVRQAPGKGLEWVASISSYYGYTYYADSVKGRFTISADTSKNTAYLQMNSLRAEDTAVYYCARYYGYWYFDYWGQGTLVTVSS"/>
    <s v="DIQMTQSPSSLSASVGDRVTITCRASQSVSSAVAWYQQKPGKAPKLLIYSASSLYSGVPSRFSGSRSGTDFTLTISSLQPEDFATYYCQQYKYVPVTFGQGTKVEIK"/>
    <b v="1"/>
    <s v="GGGSGGGSGGGSGGGS"/>
    <x v="92"/>
    <n v="241"/>
    <b v="1"/>
    <b v="0"/>
    <b v="1"/>
    <n v="0"/>
    <n v="5.1809999999999998E-3"/>
    <x v="8"/>
  </r>
  <r>
    <x v="93"/>
    <s v="peleke-1"/>
    <x v="0"/>
    <n v="0.1"/>
    <s v="base"/>
    <m/>
    <s v="nipah_gpG_compout"/>
    <m/>
    <s v="EVQLVESGGGLVQPGGSLRLSCAASGFNVSYYSIHWVRQAPGKGLEWVASISSYYGYTYYADSVKGRFTISADTSKNTAYLQMNSLRAEDTAVYYCARYYGTYYGHSYWGQGTLVTVSS"/>
    <s v="DIQMTQSPSSLSASVGDRVTITCRASQSVSSAVAWYQQKPGKAPKLLIYSASSLYSGVPSRFSGSRSGTDFTLTISSLQPEDFATYYCQQYKYVPVTFGQGTKVEIK"/>
    <b v="1"/>
    <s v="GGGSGGGSGGGSGGGS"/>
    <x v="93"/>
    <n v="242"/>
    <b v="1"/>
    <b v="0"/>
    <b v="1"/>
    <n v="0"/>
    <n v="5.0010000000000002E-3"/>
    <x v="8"/>
  </r>
  <r>
    <x v="94"/>
    <s v="peleke-1"/>
    <x v="0"/>
    <n v="0.1"/>
    <s v="base"/>
    <m/>
    <s v="nipah_gpG_compout"/>
    <m/>
    <s v="EVQLVESGGGLVQPGGSLRLSCAASGFNVSYSSIHWVRQAPGKGLEWVASIYSYSGYTNYADSVKGRFTISADTSKNTAYLQMNSLRAEDTAVYYCARYWYFGYFDYWGQGTLVTVSS"/>
    <s v="DIQMTQSPSSLSASVGDRVTITCRASQSVSSAVAWYQQKPGKAPKLLIYSASSLYSGVPSRFSGSRSGTDFTLTISSLQPEDFATYYCQQYKYVPVTFGQGTKVEIK"/>
    <b v="1"/>
    <s v="GGGSGGGSGGGSGGGS"/>
    <x v="94"/>
    <n v="241"/>
    <b v="1"/>
    <b v="0"/>
    <b v="1"/>
    <n v="5.2069999999999998E-3"/>
    <n v="3.3148999999999998E-2"/>
    <x v="8"/>
  </r>
  <r>
    <x v="95"/>
    <s v="peleke-1"/>
    <x v="0"/>
    <n v="0.6"/>
    <s v="base"/>
    <m/>
    <s v="nipah_gpG_compout"/>
    <m/>
    <s v="EVQLVESGGGLVKPGGSLRLSCAASGFTFRNYAMSWVRQAPGKGLEWVSSISSKSKSTSYADSVKGRFTISRDNAKNSLYLQMNSLRAEDTAVYYCARESGSFSYEGVWGQGTLVTVSS"/>
    <s v="SVLTQPPSVSGAPGQRVTISCTGSSSNIGAGYDVHWYQQLPGTAPKLLIYDNNKRPSGVPDRFSGSKSGTSASLAITGLQAEDEADYYCQSYDSSLSGLVFGGGTKLTVL"/>
    <b v="1"/>
    <s v="GGGSGGGSGGGSGGGS"/>
    <x v="95"/>
    <n v="245"/>
    <b v="1"/>
    <b v="0"/>
    <b v="1"/>
    <n v="0"/>
    <n v="4.9690000000000003E-3"/>
    <x v="9"/>
  </r>
  <r>
    <x v="96"/>
    <s v="peleke-1"/>
    <x v="0"/>
    <n v="0.6"/>
    <s v="base"/>
    <m/>
    <s v="nipah_gpG_compout"/>
    <m/>
    <s v="EVQLVESGGGLVQPGGSLRLSCAASGFNISSSSIHWVRQAPGKGLEWVASIYYSSGYTHYADSVKGRFTISADTSKNTAYLQMNSLRAEDTAVYYCARWGYWPGQVWLWFAYWGQGTLVTVS"/>
    <s v="DIQMTQSPSSLSASVGDRVTITCRASQSVSSAVAWYQQKPGKAPKLLIYSASSLYSGVPSRFSGSRSGTDFTLTISSLQPEDFATYYCQQSSSSLITFGQGTKVEIK"/>
    <b v="1"/>
    <s v="GGGSGGGSGGGSGGGS"/>
    <x v="96"/>
    <n v="245"/>
    <b v="1"/>
    <b v="0"/>
    <b v="1"/>
    <n v="0.307058"/>
    <n v="0.42117900000000003"/>
    <x v="9"/>
  </r>
  <r>
    <x v="97"/>
    <s v="peleke-1"/>
    <x v="0"/>
    <n v="0.6"/>
    <s v="base"/>
    <m/>
    <s v="nipah_gpG_compout"/>
    <m/>
    <s v="QVQLVQSGAEVKKPGSSVKVSCKSSGGTSNNYAISWVRQAPGQGLEWMGGIIPILGIANYAQKFQGRVTITADKSTSTAYMELSSLRSEDTAVYYCAREDAVVDYWGQGTLVTVSS"/>
    <s v="DIQMTQSPSTLSASVGDRVTITCRASQGISSWLAWYQQKPGKAPKLLIYKASSLESGVPSRFSGSGSGTEFTLTISSLQPDDFATYYCQQYNSYPLTFGQGTKVQVK"/>
    <b v="1"/>
    <s v="GGGSGGGSGGGSGGGS"/>
    <x v="97"/>
    <n v="239"/>
    <b v="1"/>
    <b v="0"/>
    <b v="1"/>
    <n v="5.2290000000000001E-3"/>
    <n v="6.1022E-2"/>
    <x v="10"/>
  </r>
  <r>
    <x v="98"/>
    <s v="peleke-1"/>
    <x v="0"/>
    <n v="0.6"/>
    <s v="base"/>
    <m/>
    <s v="nipah_gpG_compout"/>
    <m/>
    <s v="EVQLVESGGGLVQPGGSLRLSCAASGFNVSSSSIHWVRQAPGKGLEWVASISSYYGYTYYADSVKGRFTISADTSKNTAYLQMNSLRAEDTAVYYCARHWGYCSWFAYWGQGTLVTVSS"/>
    <s v="DIQMTQSPSSLSASVGDRVTITCRASQSVSSAVAWYQQKPGKAPKLLIYSASSLYSGVPSRFSGSRSGTDFTLTISSLQPEDFATYYCQQYKYVPVTFGQGTKVEIK"/>
    <b v="1"/>
    <s v="GGGSGGGSGGGSGGGS"/>
    <x v="98"/>
    <n v="242"/>
    <b v="1"/>
    <b v="0"/>
    <b v="1"/>
    <n v="0"/>
    <n v="5.176E-3"/>
    <x v="8"/>
  </r>
  <r>
    <x v="99"/>
    <s v="peleke-1"/>
    <x v="0"/>
    <n v="0.6"/>
    <s v="base"/>
    <m/>
    <s v="nipah_gpG_compout"/>
    <m/>
    <s v="EVQLVESGGGLVQPGGSLRLSCAASGFNISSSSIHWVRQAPGKGLEWVASIYSYSGYTSYADSVKGRFTISADTSKNTAYLQMNSLRAEDTAVYYCARGSHYFGYFDYWGQGTLVTVSS"/>
    <s v="DIQMTQSPSSLSASVGDRVTITCRASQSVSSAVAWYQQKPGKAPKLLIYSASSLYSGVPSRFSGSRSGTDFTLTISSLQPEDFATYYCQQSSSSLITFGQGTKVEIK"/>
    <b v="1"/>
    <s v="GGGSGGGSGGGSGGGS"/>
    <x v="99"/>
    <n v="242"/>
    <b v="1"/>
    <b v="0"/>
    <b v="1"/>
    <n v="0"/>
    <n v="5.4390000000000003E-3"/>
    <x v="8"/>
  </r>
  <r>
    <x v="100"/>
    <s v="peleke-1"/>
    <x v="0"/>
    <n v="0.6"/>
    <s v="base"/>
    <m/>
    <s v="nipah_gpG_compout"/>
    <m/>
    <s v="QVQLQESGPGLVKPSQTLSLTCTVSGGSISSGDYYWIRQHPGKGLEWIGYIYYSGSTDYNPSLKSRVTISVDTSKNQFSLKVTAADTAVYYCARTWFGSDYWGQGTLVTVSS"/>
    <s v="DIQMTQSPSSLSASVGDRVTITCRASQGISNYLAWYQQKPGKAPKLLIYAASTLQSGVPSRFSGSGSGTDFTLTISSLQPEDFATYYCQQAHSFPYTFGGGTKLEIK"/>
    <b v="1"/>
    <s v="GGGSGGGSGGGSGGGS"/>
    <x v="100"/>
    <n v="235"/>
    <b v="1"/>
    <b v="0"/>
    <b v="1"/>
    <n v="0"/>
    <n v="5.2649999999999997E-3"/>
    <x v="10"/>
  </r>
  <r>
    <x v="101"/>
    <s v="peleke-1"/>
    <x v="0"/>
    <n v="0.6"/>
    <s v="base"/>
    <m/>
    <s v="nipah_gpG_compout"/>
    <m/>
    <s v="EVQLVESGGGLVQPGGSLRLSCAASGFTFSSYWMNWVRQAPGKGLEWVAFIRYDGGNKYYADSVKGRFTISRDNSKNTLYLQMNSLRAEDTAVYYCARWSYSGGSGSYYVYFDYWGQGTLVTVS"/>
    <s v="SVLTQPPSVSGAPGQRVTISCTGSSSNIGAGYDVHWYQQLPGTAPKLLIYGNSNRPSGVPDRFSGSKSGTSASLAITGLQAEDEADYYCQSYDSSLSGSVFGGGTKLTVL"/>
    <b v="1"/>
    <s v="GGGSGGGSGGGSGGGS"/>
    <x v="101"/>
    <n v="250"/>
    <b v="1"/>
    <b v="0"/>
    <b v="1"/>
    <n v="0"/>
    <n v="5.385E-3"/>
    <x v="10"/>
  </r>
  <r>
    <x v="102"/>
    <s v="peleke-1"/>
    <x v="0"/>
    <n v="0.6"/>
    <s v="base"/>
    <m/>
    <s v="nipah_gpG_compout"/>
    <m/>
    <s v="QVQLVQSGAEVKKPGASVKVSCKASGYTFTNYYIHWVRQAPGQGLEWMGWIYPGGNTNYAQKFQGRVTMTRDTSISTAYMELSRLRSDDTAVYYCARVRTEFDYWGQGTLVTVSS"/>
    <s v="DIVMTQSPSSLAMSAGAETITCRSSQSVHSNGYLNWYQQKPGQPPKLLIYWASTRESGVPDRFTGSGSGTDFTLTITNVQSEDLAEYFCQQYSSYPLTFGAGTKLELR"/>
    <b v="1"/>
    <s v="GGGSGGGSGGGSGGGS"/>
    <x v="102"/>
    <n v="239"/>
    <b v="1"/>
    <b v="0"/>
    <b v="1"/>
    <n v="0"/>
    <n v="5.3680000000000004E-3"/>
    <x v="10"/>
  </r>
  <r>
    <x v="103"/>
    <s v="peleke-1"/>
    <x v="0"/>
    <n v="0.6"/>
    <s v="base"/>
    <m/>
    <s v="nipah_gpG_compout"/>
    <m/>
    <s v="QVQLQESGPGLVKPSETLSLTCTVSGGSVSSGGYFWSWIRQPPGKGLEWIGYVSGSGSTNYNPSLKSRVTISVDTSKNQFSLKLSSVTAADTAVYYCARWDVWISDYWGQGTLVTVSS"/>
    <s v="EIVLTQSPATLSLSPGERATLSCRASQSVSSYLAWYQQKPGQAPRLLIYDASNRATGIPARFSGSGSGTDFTLTISSLEPEDFAVYYCQHSWDQPPWTFGQGTKVEIK"/>
    <b v="1"/>
    <s v="GGGSGGGSGGGSGGGS"/>
    <x v="103"/>
    <n v="242"/>
    <b v="1"/>
    <b v="0"/>
    <b v="1"/>
    <n v="0"/>
    <n v="1.5878E-2"/>
    <x v="10"/>
  </r>
  <r>
    <x v="104"/>
    <s v="peleke-1"/>
    <x v="0"/>
    <n v="0.6"/>
    <s v="base"/>
    <m/>
    <s v="nipah_gpG_compout"/>
    <m/>
    <s v="QVQLQESGPGLVKPSQTLSLTCTVTGSSITSGYWNWIRQFPGNKLEWMGYISYSGTITYNPSLKSRISITRDTSKNQFFLQLNSVTTEDTATYYCARVYDGFYDYWGQGTLVTVSS"/>
    <s v="DIVMTQSPSSLSASVGDRVTITCRASQGISSWLAWYQQKPGKAPKLLIYKASSLESGVPSRFSGSGSGTEFTLTISSLQPDDFATYYCQQYNSYPLTFGGGTKVEIK"/>
    <b v="1"/>
    <s v="GGGSGGGSGGGSGGGS"/>
    <x v="104"/>
    <n v="239"/>
    <b v="1"/>
    <b v="0"/>
    <b v="1"/>
    <n v="0"/>
    <n v="0"/>
    <x v="10"/>
  </r>
  <r>
    <x v="105"/>
    <s v="peleke-1"/>
    <x v="0"/>
    <n v="0.9"/>
    <s v="base"/>
    <m/>
    <s v="nipah_gpG_compout"/>
    <m/>
    <s v="QVQLVESGGGVVQPGRSLRLSCAASGFTFSNYAMHWVRQAPGKGLEWVAVISYNSGNPYADSVKGRFTISRDNSKNTLYLQMRVEDTAVYYCSRTTIGYGGDIWGNMFDYWGQGTLVTVSS"/>
    <s v="DIVMTQSPATLSVSPGDRATLSCRASQSISTNLAWYQQKPGQAPRLLIYTASTLESGVPSRFSGSGSGTEFTLTISNLQSEDFATYFCQQYSAPLTFGGGTKVEIK"/>
    <b v="1"/>
    <s v="GGGSGGGSGGGSGGGS"/>
    <x v="105"/>
    <n v="243"/>
    <b v="1"/>
    <b v="0"/>
    <b v="1"/>
    <n v="0"/>
    <n v="5.5960000000000003E-3"/>
    <x v="9"/>
  </r>
  <r>
    <x v="106"/>
    <s v="peleke-1"/>
    <x v="0"/>
    <n v="0.9"/>
    <s v="base"/>
    <m/>
    <s v="nipah_gpG_compout"/>
    <m/>
    <s v="EVQLVESGGGLVQPGGSLRLSCAASGFASSSSNYVHWVRQAPGKGLEWVATIYPYSSSEYAASVQGRFTISRDDSKNTLYLQMNSLRGEDTAVYYCARYGYYSSRSGYGYYFNYWGQGTLVTVSS"/>
    <s v="DIVMTQSPASLAVSLGQRATISCRASESVDSYGNSFLAWYQQKPGQPPKLLIYWASTRQSGVPARFSGSGSGTDFTLNIHPVEEEDAATYYCQQHNYPLTFGAGTKLEIK"/>
    <b v="1"/>
    <s v="GGGSGGGSGGGS"/>
    <x v="106"/>
    <n v="247"/>
    <b v="1"/>
    <b v="0"/>
    <b v="1"/>
    <n v="0.51522000000000001"/>
    <n v="0.575318"/>
    <x v="9"/>
  </r>
  <r>
    <x v="107"/>
    <s v="peleke-1"/>
    <x v="0"/>
    <n v="0.9"/>
    <s v="base"/>
    <m/>
    <s v="nipah_gpG_compout"/>
    <m/>
    <s v="EVQLVESGAEVKKPGSSVKVSCKASGGPFTSYVISWVRQAPGQGLEWMGRIIPIRGTTYAQKFQGRVTITADKSTSTAYMELRSEDTAVYYCARGSHVFGYYDYWGQGTLVTVSS"/>
    <s v="EIVLTQSPGTLSLSPGERATLSCRASQSISGNYLAWYQQKPGQAPRLLIYGASIRAAGIPDRFSGSGSGTDFTLTISRLEPEDFAVYYCQQYGSSPRTFGQGTKVEIK"/>
    <b v="1"/>
    <s v="GGGSGGGSGGGSGGGS"/>
    <x v="107"/>
    <n v="239"/>
    <b v="1"/>
    <b v="0"/>
    <b v="1"/>
    <n v="0"/>
    <n v="0"/>
    <x v="10"/>
  </r>
  <r>
    <x v="108"/>
    <s v="peleke-1"/>
    <x v="0"/>
    <n v="0.9"/>
    <s v="base"/>
    <m/>
    <s v="nipah_gpG_compout"/>
    <m/>
    <s v="EVQLVETGGGLVQPGGSLKLSCRASGYTFTDYAMHWVRQAPLGLGLYTGGVNYARHFMKSRISITRDNSKNTLYLQMTKVDDTATYFCARRGLFDSDYWGQGTLVTVSS"/>
    <s v="SVTQPPSVSGSTSVGDRVTTCRASQSISSNWLAWYQQFPGTAPKLLIYENSSRPSGVPDRFSGSGSGTDFTLKISRVEAEDVGVYYCLQALSPRFTFGSGTKLEIK"/>
    <b v="1"/>
    <s v="GGGSGGGSGGGSGGGS"/>
    <x v="108"/>
    <n v="231"/>
    <b v="1"/>
    <b v="0"/>
    <b v="1"/>
    <n v="0"/>
    <n v="0"/>
    <x v="10"/>
  </r>
  <r>
    <x v="109"/>
    <s v="peleke-1"/>
    <x v="0"/>
    <n v="0.9"/>
    <s v="base"/>
    <m/>
    <s v="nipah_gpG_compout"/>
    <m/>
    <s v="QVQLVQSGAEVKKPGSSVKVSCKASGGTFSNYGISWVRQAPGQGLEWMGGIIPILGIANYAQKFQGRVTITADKSTSTAYMELRSLRSDDTAVYYCAREGHAYFHNGLDYWGQGTLVTVSS"/>
    <s v="EIVLTQSPGTLSLSPGERATLSCRASQSVSSSYFAWYQQKPGQAPRLLIYGASSRATGIPDRFSGSGSGTDFTLTISRLEPEDFAVYYCQQYGSSPPATFGQGTKVEIK"/>
    <b v="1"/>
    <s v="GGGSGGGSGGGSGGGS"/>
    <x v="109"/>
    <n v="246"/>
    <b v="1"/>
    <b v="0"/>
    <b v="1"/>
    <n v="5.1460000000000004E-3"/>
    <n v="2.6327E-2"/>
    <x v="10"/>
  </r>
  <r>
    <x v="110"/>
    <s v="peleke-1"/>
    <x v="0"/>
    <n v="0.9"/>
    <s v="base"/>
    <m/>
    <s v="nipah_gpG_compout"/>
    <m/>
    <s v="QVQLVESGGGVVQPGRSLRLSCAASGFTFSSFGMHWVRQAPGKGLEWVAIIWDGSNKYYADSVKGRFTISRDNSKNTLYLQMRAEDTAVYYCALDGGSFDDYWGQGTLVTVSS"/>
    <s v="DIQMTQSPSTLSTSVGDRVTITCRASQSISSWLAWYQQKPGKAPKLLIYKASTLESGVPSRFSGSGSGTEFTLTISSLQPDDFATYYCQHFYGTPITFGPGTKVD"/>
    <b v="1"/>
    <s v="GGGSGGGSGGGSGGGS"/>
    <x v="110"/>
    <n v="234"/>
    <b v="1"/>
    <b v="0"/>
    <b v="1"/>
    <n v="0.15404200000000001"/>
    <n v="0.23156599999999999"/>
    <x v="10"/>
  </r>
  <r>
    <x v="111"/>
    <s v="peleke-1"/>
    <x v="0"/>
    <n v="0.9"/>
    <s v="base"/>
    <m/>
    <s v="nipah_gpG_compout"/>
    <m/>
    <s v="EVQLVESGGGLVKPGGSLKVSCAASGFTFSDYSMNWVRQAPGKGLEWVSSITSGYTSIYYADSVKGRFTISRDNAKNSLYLQMNSLRAGDTAVYYCARVSDNFDYWGQGTAVTVSS"/>
    <s v="DIQMTQSPSSLSASVGDRVTITCQASQDIRFYLNWYQQKPGKAPKLLISAASTLQSGVPSRFSGSGSGTDFTLTITSLQPEDFATYYCAGYVPSYTFGPGTKVDIK"/>
    <b v="1"/>
    <s v="GGGSGGGSGGGSGGGS"/>
    <x v="111"/>
    <n v="238"/>
    <b v="1"/>
    <b v="0"/>
    <b v="1"/>
    <n v="0"/>
    <n v="0"/>
    <x v="11"/>
  </r>
  <r>
    <x v="112"/>
    <s v="peleke-1"/>
    <x v="0"/>
    <n v="0.9"/>
    <s v="base"/>
    <m/>
    <s v="nipah_gpG_compout"/>
    <m/>
    <s v="EVQLQQSGAELVKPGASVKLSCKASGYTFLDYYMYWVKQRPEQGLEWIGRIDPANGNTIYAPKFQDKATLTLTTDTTSSNTAYMQLSSLTSEDSAVYYCAREGNYGYRDLAWFAYWGQGTLVTVSS"/>
    <s v="AIRMTQSPSSLSASVGDTVTITCRASQSISSYLNWYQQKPGKAPKLLIYTASNLESGVPSRFSGSGSGTDYTLTISSLQPEDIATYYCQQYDNPPLTFGGGTKVEIK"/>
    <b v="1"/>
    <s v="GGGSGGGSGGGSGGGS"/>
    <x v="112"/>
    <n v="249"/>
    <b v="1"/>
    <b v="0"/>
    <b v="1"/>
    <n v="5.705E-3"/>
    <n v="4.4477999999999997E-2"/>
    <x v="11"/>
  </r>
  <r>
    <x v="113"/>
    <s v="peleke-1"/>
    <x v="0"/>
    <n v="0.9"/>
    <s v="base"/>
    <m/>
    <s v="nipah_gpG_compout"/>
    <m/>
    <s v="QVQLQESGPGLVKPSETLSLTCTVSGGSVSSGGYFWSWIRQRPGKGLEWIGHIYYSGTTNYNPSLRSRVTISRDTSKSQFSLKMDSLTSEDTALYYCARQLGLRFDIWGQGTMVTVSS"/>
    <s v="DIQMTQSPSSLSASVGDRVTITCRASQSISSYLNWYQQKPGKAPKLLIYAASSLQSGVPSRFSGSGSGTDFTLTISSLQPEDFATYYCQQSYTTPPTFGQGTKVEIK"/>
    <b v="1"/>
    <s v="GGGSGGGSGGGSGGGS"/>
    <x v="113"/>
    <n v="241"/>
    <b v="1"/>
    <b v="0"/>
    <b v="1"/>
    <n v="0"/>
    <n v="0"/>
    <x v="11"/>
  </r>
  <r>
    <x v="114"/>
    <s v="peleke-1"/>
    <x v="0"/>
    <n v="0.9"/>
    <s v="base"/>
    <m/>
    <s v="nipah_gpG_compout"/>
    <m/>
    <s v="QVQLVESGGGLVQPGGSLRLSCAASGFNLYSSSIHWVRQAPGKGLEWVARIYPSGATYYADSVKGRFTISADTSKNTAYLQMRAEDTAVYYCARSYYGDDYWGQGTLVTVSS"/>
    <s v="DIQMTQSPSSLSASVGDRVTITCRASQSVSSAVAWYQQKPGKAPKLLIYSASFLYSGVPSRFSGSRSGTDFTLTISSLQPEDFATYYCQQYSYYPFTFGQGTKVEIK"/>
    <b v="1"/>
    <s v="GGGSGGGSGGGSGGGS"/>
    <x v="114"/>
    <n v="235"/>
    <b v="1"/>
    <b v="0"/>
    <b v="1"/>
    <n v="0"/>
    <n v="2.3538E-2"/>
    <x v="11"/>
  </r>
  <r>
    <x v="115"/>
    <s v="peleke-1"/>
    <x v="8"/>
    <n v="0.7"/>
    <s v="derivative"/>
    <s v="sbio-nipahgpg-081"/>
    <s v="nipah_gpG_compout"/>
    <m/>
    <s v="EVQLLESGGGLVQPGGSLRLSCAASGFTFSSYAMSWVRQAPGKGLEWVSYISSSSSTIYYADSVKGRFTISRDNAKNSLYLQMNSLRAEDTAVYYCAKYSSYDYDYWGRGTMVTVSS"/>
    <s v="DIQLTQSPSSLSASVGDRVTITCRASQGISSYLNWYQQKPGKAPKLLIYDASSLQSGVPSRFSGSGSGTDFTLTISSLQPEDFATYYCQQFYEWLRTFGQGTRLEIK"/>
    <b v="1"/>
    <s v="GGGSGGGSGGGSGGGS"/>
    <x v="115"/>
    <n v="240"/>
    <b v="1"/>
    <b v="0"/>
    <b v="1"/>
    <n v="0"/>
    <n v="0"/>
    <x v="11"/>
  </r>
  <r>
    <x v="116"/>
    <s v="peleke-1"/>
    <x v="8"/>
    <n v="0.9"/>
    <s v="derivative"/>
    <s v="sbio-nipahgpg-109"/>
    <s v="nipah_gpG_compout"/>
    <m/>
    <s v="EVQLVESGGGLVQPGGSLRLSCAASGFATVSSNYMSWVRQAPGKGLEWVSVIYSCGSTYYADSVKGRFTISRDNSKNTLYLQMNSLRAEDTAVYYCARYYYDSSRSGYYYYFDYWGQGTLVTVSS"/>
    <s v="DIVLTQSPASLAVSLGQRATISCKASQSVDYDGDSYMHWYQQKPGQPPKLLIYRASNLESGIPARFSGSGSRTDFTLTINPVEADDVATYYCQQSNYPLTFGSGTKVEIK"/>
    <b v="1"/>
    <s v="GGGSGGGSGGGS"/>
    <x v="116"/>
    <n v="247"/>
    <b v="1"/>
    <b v="0"/>
    <b v="1"/>
    <n v="0"/>
    <n v="5.1120000000000002E-3"/>
    <x v="11"/>
  </r>
  <r>
    <x v="117"/>
    <s v="peleke-1 + AntiBMPNN"/>
    <x v="9"/>
    <n v="0.2"/>
    <s v="derivative"/>
    <s v="sbio-nipahgpg-055"/>
    <s v="nipah_gpG_compout"/>
    <m/>
    <s v="EVQLVESGGGLVQPGGSLRLSCAASGFNISDSSIHWVRQAPGKGLEWVASISSYSGYTYYADSVKGRFTISADTSKNTAYLQMNSLRAEDTAVYYCARGGRDLFGLDALDYWGQGTLVTVSS"/>
    <s v="DIQMTQSPSSLSASVGDRVTITCRASQSVSSAVAWYQQKPGKAPKLLIYSASSLYSGVPSRFSGSRSGTDFTLTISSLQPEDFATYYCQQYKYVPVTFGQGTKVEIK"/>
    <b v="1"/>
    <s v="GGGSGGGSGGGS"/>
    <x v="117"/>
    <n v="241"/>
    <b v="1"/>
    <b v="0"/>
    <b v="1"/>
    <n v="0"/>
    <n v="0"/>
    <x v="12"/>
  </r>
  <r>
    <x v="118"/>
    <s v="peleke-1 + AntiBMPNN"/>
    <x v="9"/>
    <n v="0.2"/>
    <s v="derivative"/>
    <s v="sbio-nipahgpg-055"/>
    <s v="nipah_gpG_compout"/>
    <m/>
    <s v="EVQLVESGGGLVQPGGSLRLSCAASGFNISSSSIHWVRQAPGKGLEWVASIYSYSGLTYYADSVKGRFTISADTSKNTAYLQMNSLRAEDTAVYYCARGGYYLDGLYALDYWGQGTLVTVSS"/>
    <s v="DIQMTQSPSSLSASVGDRVTITCRASQSVSSAVAWYQQKPGKAPKLLIYSASSLYSGVPSRFSGSRSGTDFTLTISSLQPEDFATYYCQQYKYVPVTFGQGTKVEIK"/>
    <b v="1"/>
    <s v="GGGSGGGSGGGS"/>
    <x v="118"/>
    <n v="241"/>
    <b v="1"/>
    <b v="0"/>
    <b v="1"/>
    <n v="0"/>
    <n v="5.5250000000000004E-3"/>
    <x v="12"/>
  </r>
  <r>
    <x v="119"/>
    <s v="peleke-1 + AntiBMPNN"/>
    <x v="9"/>
    <n v="0.2"/>
    <s v="derivative"/>
    <s v="sbio-nipahgpg-055"/>
    <s v="nipah_gpG_compout"/>
    <m/>
    <s v="EVQLVESGGGLVQPGGSLRLSCAASGFNISSSSIHWVRQAPGKGLEWVASIYSYSGATYYADSVKGRFTISADTSKNTAYLQMNSLRAEDTAVYYCARGGNHLDGLYALDYWGQGTLVTVSS"/>
    <s v="DIQMTQSPSSLSASVGDRVTITCRASQSVSSAVAWYQQKPGKAPKLLIYSASSLYSGVPSRFSGSRSGTDFTLTISSLQPEDFATYYCQQYKYVPVTFGQGTKVEIK"/>
    <b v="1"/>
    <s v="GGGSGGGSGGGS"/>
    <x v="119"/>
    <n v="241"/>
    <b v="1"/>
    <b v="0"/>
    <b v="1"/>
    <n v="5.3680000000000004E-3"/>
    <n v="8.0700000000000008E-3"/>
    <x v="12"/>
  </r>
  <r>
    <x v="120"/>
    <s v="peleke-1 + AntiBMPNN"/>
    <x v="9"/>
    <n v="0.2"/>
    <s v="derivative"/>
    <s v="sbio-nipahgpg-055"/>
    <s v="nipah_gpG_compout"/>
    <m/>
    <s v="EVQLVESGGGLVQPGGSLRLSCAASGFNISSSSIHWVRQAPGKGLEWVASIYSYSGYTYYADSVKGRFTISADTSKNTAYLQMNSLRAEDTAVYYCARGGRYLDGLFALDYWGQGTLVTVSS"/>
    <s v="DIQMTQSPSSLSASVGDRVTITCRASQSVSSAVAWYQQKPGKAPKLLIYSASSLYSGVPSRFSGSRSGTDFTLTISSLQPEDFATYYCQQYKYVPVTFGQGTKVEIK"/>
    <b v="1"/>
    <s v="GGGSGGGSGGGS"/>
    <x v="120"/>
    <n v="241"/>
    <b v="1"/>
    <b v="0"/>
    <b v="1"/>
    <n v="0"/>
    <n v="5.1799999999999997E-3"/>
    <x v="12"/>
  </r>
  <r>
    <x v="121"/>
    <s v="peleke-1 + AntiBMPNN"/>
    <x v="9"/>
    <n v="0.2"/>
    <s v="derivative"/>
    <s v="sbio-nipahgpg-055"/>
    <s v="nipah_gpG_compout"/>
    <m/>
    <s v="EVQLVESGGGLVQPGGSLRLSCAASGFNISSSSIHWVRQAPGKGLEWVASISSYSGYTYYADSVKGRFTISADTSKNTAYLQMNSLRAEDTAVYYCARGGSLLRGLSALDYWGQGTLVTVSS"/>
    <s v="DIQMTQSPSSLSASVGDRVTITCRASQSVSSAVAWYQQKPGKAPKLLIYSASSLYSGVPSRFSGSRSGTDFTLTISSLQPEDFATYYCQQYKYVPVTFGQGTKVEIK"/>
    <b v="1"/>
    <s v="GGGSGGGSGGGS"/>
    <x v="121"/>
    <n v="241"/>
    <b v="1"/>
    <b v="0"/>
    <b v="1"/>
    <n v="0.18029500000000001"/>
    <n v="0.30336600000000002"/>
    <x v="12"/>
  </r>
  <r>
    <x v="122"/>
    <s v="peleke-1 + AntiBMPNN"/>
    <x v="9"/>
    <n v="0.2"/>
    <s v="derivative"/>
    <s v="sbio-nipahgpg-055"/>
    <s v="nipah_gpG_compout"/>
    <m/>
    <s v="EVQLVESGGGLVQPGGSLRLSCAASGFNISDSSIHWVRQAPGKGLEWVASISSYSGYTYYADSVKGRFTISADTSKNTAYLQMNSLRAEDTAVYYCARGGRYLDGLYALDYWGQGTLVTVSS"/>
    <s v="DIQMTQSPSSLSASVGDRVTITCRASQSVSSAVAWYQQKPGKAPKLLIYSASSLYSGVPSRFSGSRSGTDFTLTISSLQPEDFATYYCQQYKYVPVTFGQGTKVEIK"/>
    <b v="1"/>
    <s v="GGGSGGGSGGGS"/>
    <x v="122"/>
    <n v="241"/>
    <b v="1"/>
    <b v="0"/>
    <b v="1"/>
    <n v="7.4260000000000003E-3"/>
    <n v="8.3528000000000005E-2"/>
    <x v="12"/>
  </r>
  <r>
    <x v="123"/>
    <s v="peleke-1 + AntiBMPNN"/>
    <x v="9"/>
    <n v="0.2"/>
    <s v="derivative"/>
    <s v="sbio-nipahgpg-055"/>
    <s v="nipah_gpG_compout"/>
    <m/>
    <s v="EVQLVESGGGLVQPGGSLRLSCAASGFNISSSSIHWVRQAPGKGLEWVASISSYSGYTYYADSVKGRFTISADTSKNTAYLQMNSLRAEDTAVYYCARGGSYLDGLSALDYWGQGTLVTVSS"/>
    <s v="DIQMTQSPSSLSASVGDRVTITCRASQSVSSAVAWYQQKPGKAPKLLIYSASSLYSGVPSRFSGSRSGTDFTLTISSLQPEDFATYYCQQYKYVPVTFGQGTKVEIK"/>
    <b v="1"/>
    <s v="GGGSGGGSGGGS"/>
    <x v="123"/>
    <n v="241"/>
    <b v="1"/>
    <b v="0"/>
    <b v="1"/>
    <n v="0.17149800000000001"/>
    <n v="0.26701000000000003"/>
    <x v="12"/>
  </r>
  <r>
    <x v="124"/>
    <s v="peleke-1 + AntiBMPNN"/>
    <x v="9"/>
    <n v="0.2"/>
    <s v="derivative"/>
    <s v="sbio-nipahgpg-055"/>
    <s v="nipah_gpG_compout"/>
    <m/>
    <s v="EVQLVESGGGLVQPGGSLRLSCAASGFNISDSSIHWVRQAPGKGLEWVASIYNYSGYTYYADSVKGRFTISADTSKNTAYLQMNSLRAEDTAVYYCARGGYYLDGLDALDYWGQGTLVTVSS"/>
    <s v="DIQMTQSPSSLSASVGDRVTITCRASQSVSSAVAWYQQKPGKAPKLLIYSASSLYSGVPSRFSGSRSGTDFTLTISSLQPEDFATYYCQQYKYVPVTFGQGTKVEIK"/>
    <b v="1"/>
    <s v="GGGSGGGSGGGS"/>
    <x v="124"/>
    <n v="241"/>
    <b v="1"/>
    <b v="0"/>
    <b v="1"/>
    <n v="0"/>
    <n v="0"/>
    <x v="12"/>
  </r>
  <r>
    <x v="125"/>
    <s v="peleke-1 + AntiBMPNN"/>
    <x v="9"/>
    <n v="0.2"/>
    <s v="derivative"/>
    <s v="sbio-nipahgpg-055"/>
    <s v="nipah_gpG_compout"/>
    <m/>
    <s v="EVQLVESGGGLVQPGGSLRLSCAASGFNISDYSIHWVRQAPGKGLEWVASIYNRSGYTYYADSVKGRFTISADTSKNTAYLQMNSLRAEDTAVYYCARGGYYLDGLYALDYWGQGTLVTVSS"/>
    <s v="DIQMTQSPSSLSASVGDRVTITCRASQSVSSAVAWYQQKPGKAPKLLIYSASSLYSGVPSRFSGSRSGTDFTLTISSLQPEDFATYYCQQYKYVPVTFGQGTKVEIK"/>
    <b v="1"/>
    <s v="GGGSGGGSGGGS"/>
    <x v="125"/>
    <n v="241"/>
    <b v="1"/>
    <b v="0"/>
    <b v="1"/>
    <n v="2.2391000000000001E-2"/>
    <n v="0.1115"/>
    <x v="12"/>
  </r>
  <r>
    <x v="126"/>
    <s v="peleke-1 + AntiBMPNN"/>
    <x v="9"/>
    <n v="0.2"/>
    <s v="derivative"/>
    <s v="sbio-nipahgpg-055"/>
    <s v="nipah_gpG_compout"/>
    <m/>
    <s v="EVQLVESGGGLVQPGGSLRLSCAASGFNISSSSIHWVRQAPGKGLEWVASISSYSGYTYYADSVKGRFTISADTSKNTAYLQMNSLRAEDTAVYYCARGGHDLDGLYALDYWGQGTLVTVSS"/>
    <s v="DIQMTQSPSSLSASVGDRVTITCRASQSVSSAVAWYQQKPGKAPKLLIYSASSLYSGVPSRFSGSRSGTDFTLTISSLQPEDFATYYCQQYKYVPVTFGQGTKVEIK"/>
    <b v="1"/>
    <s v="GGGSGGGSGGGS"/>
    <x v="126"/>
    <n v="241"/>
    <b v="1"/>
    <b v="0"/>
    <b v="1"/>
    <n v="0"/>
    <n v="5.4780000000000002E-3"/>
    <x v="12"/>
  </r>
  <r>
    <x v="127"/>
    <s v="peleke-1 + AntiBMPNN"/>
    <x v="9"/>
    <n v="0.2"/>
    <s v="derivative"/>
    <s v="sbio-nipahgpg-114"/>
    <s v="nipah_gpG_compout"/>
    <m/>
    <s v="EVQLVESGGGLVKPGGSLKVSCAASGFTFSSYAMHWVRQAPGKGLEWVSYIWSGADSIGYADSVKGRFTISRDNAKNSLYLQMNSLRAGDTAVYYCARDDDAFDYWGQGTAVTVSS"/>
    <s v="DIQMTQSPSSLSASVGDRVTITCQASQDIRFYLNWYQQKPGKAPKLLISAASTLQSGVPSRFSGSGSGTDFTLTITSLQPEDFATYYCAGYVPSYTFGPGTKVDIK"/>
    <b v="1"/>
    <s v="GGGSGGGSGGGS"/>
    <x v="127"/>
    <n v="234"/>
    <b v="1"/>
    <b v="0"/>
    <b v="1"/>
    <n v="0"/>
    <n v="5.176E-3"/>
    <x v="13"/>
  </r>
  <r>
    <x v="128"/>
    <s v="peleke-1 + AntiBMPNN"/>
    <x v="9"/>
    <n v="0.2"/>
    <s v="derivative"/>
    <s v="sbio-nipahgpg-114"/>
    <s v="nipah_gpG_compout"/>
    <m/>
    <s v="EVQLVESGGGLVKPGGSLKVSCAASGFTFSSYSMHWVRQAPGKGLEWVSSIWSGADSTGYADSVKGRFTISRDNAKNSLYLQMNSLRAGDTAVYYCARDDDAFDYWGQGTAVTVSS"/>
    <s v="DIQMTQSPSSLSASVGDRVTITCQASQDIRFYLNWYQQKPGKAPKLLISAASTLQSGVPSRFSGSGSGTDFTLTITSLQPEDFATYYCAGYVPSYTFGPGTKVDIK"/>
    <b v="1"/>
    <s v="GGGSGGGSGGGS"/>
    <x v="128"/>
    <n v="234"/>
    <b v="1"/>
    <b v="0"/>
    <b v="1"/>
    <n v="0"/>
    <n v="5.2830000000000004E-3"/>
    <x v="13"/>
  </r>
  <r>
    <x v="129"/>
    <s v="peleke-1 + AntiBMPNN"/>
    <x v="9"/>
    <n v="0.2"/>
    <s v="derivative"/>
    <s v="sbio-nipahgpg-114"/>
    <s v="nipah_gpG_compout"/>
    <m/>
    <s v="EVQLVESGGGLVKPGGSLKVSCAASGFTFSSYAMHWVRQAPGKGLEWVSRIWSGADSTGYADSVKGRFTISRDNAKNSLYLQMNSLRAGDTAVYYCARDDDAFDYWGQGTAVTVSS"/>
    <s v="DIQMTQSPSSLSASVGDRVTITCQASQDIRFYLNWYQQKPGKAPKLLISAASTLQSGVPSRFSGSGSGTDFTLTITSLQPEDFATYYCAGYVPSYTFGPGTKVDIK"/>
    <b v="1"/>
    <s v="GGGSGGGSGGGS"/>
    <x v="129"/>
    <n v="234"/>
    <b v="1"/>
    <b v="0"/>
    <b v="1"/>
    <n v="0"/>
    <n v="0"/>
    <x v="13"/>
  </r>
  <r>
    <x v="130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1"/>
    <n v="0"/>
    <n v="4.9849999999999998E-3"/>
    <x v="8"/>
  </r>
  <r>
    <x v="131"/>
    <s v="peleke-1 + AntiBMPNN"/>
    <x v="9"/>
    <n v="0.2"/>
    <s v="derivative"/>
    <s v="sbio-nipahgpg-114"/>
    <s v="nipah_gpG_compout"/>
    <m/>
    <s v="EVQLVESGGGLVKPGGSLKVSCAASGFTFSSYSMHWVRQAPGKGLEWVSRIWSGTDSIGYADSVKGRFTISRDNAKNSLYLQMNSLRAGDTAVYYCARDDDAFDYWGQGTAVTVSS"/>
    <s v="DIQMTQSPSSLSASVGDRVTITCQASQDIRFYLNWYQQKPGKAPKLLISAASTLQSGVPSRFSGSGSGTDFTLTITSLQPEDFATYYCAGYVPSYTFGPGTKVDIK"/>
    <b v="1"/>
    <s v="GGGSGGGSGGGS"/>
    <x v="131"/>
    <n v="234"/>
    <b v="1"/>
    <b v="0"/>
    <b v="1"/>
    <n v="0"/>
    <n v="0"/>
    <x v="13"/>
  </r>
  <r>
    <x v="132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1"/>
    <n v="0.34179700000000002"/>
    <n v="0.49543900000000002"/>
    <x v="8"/>
  </r>
  <r>
    <x v="133"/>
    <s v="peleke-1 + AntiBMPNN"/>
    <x v="9"/>
    <n v="0.2"/>
    <s v="derivative"/>
    <s v="sbio-nipahgpg-114"/>
    <s v="nipah_gpG_compout"/>
    <m/>
    <s v="EVQLVESGGGLVKPGGSLKVSCAASGFTFSSFAMHWVRQAPGKGLEWVSYIWSGADSTGYADSVKGRFTISRDNAKNSLYLQMNSLRAGDTAVYYCARDDDAFDYWGQGTAVTVSS"/>
    <s v="DIQMTQSPSSLSASVGDRVTITCQASQDIRFYLNWYQQKPGKAPKLLISAASTLQSGVPSRFSGSGSGTDFTLTITSLQPEDFATYYCAGYVPSYTFGPGTKVDIK"/>
    <b v="1"/>
    <s v="GGGSGGGSGGGS"/>
    <x v="133"/>
    <n v="234"/>
    <b v="1"/>
    <b v="0"/>
    <b v="1"/>
    <n v="0"/>
    <n v="0"/>
    <x v="13"/>
  </r>
  <r>
    <x v="134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1"/>
    <n v="0.19351199999999999"/>
    <n v="0.28335399999999999"/>
    <x v="8"/>
  </r>
  <r>
    <x v="135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1"/>
    <n v="0"/>
    <n v="0"/>
    <x v="8"/>
  </r>
  <r>
    <x v="136"/>
    <s v="peleke-1 + AntiBMPNN"/>
    <x v="9"/>
    <n v="0.2"/>
    <s v="derivative"/>
    <s v="sbio-nipahgpg-114"/>
    <s v="nipah_gpG_compout"/>
    <m/>
    <s v="EVQLVESGGGLVKPGGSLKVSCAASGFTFSSYSMVWVRQAPGKGLEWVSRIWSGVDSTGYADSVKGRFTISRDNAKNSLYLQMNSLRAGDTAVYYCARDDDAFDYWGQGTAVTVSS"/>
    <s v="DIQMTQSPSSLSASVGDRVTITCQASQDIRFYLNWYQQKPGKAPKLLISAASTLQSGVPSRFSGSGSGTDFTLTITSLQPEDFATYYCAGYVPSYTFGPGTKVDIK"/>
    <b v="1"/>
    <s v="GGGSGGGSGGGS"/>
    <x v="134"/>
    <n v="234"/>
    <b v="1"/>
    <b v="0"/>
    <b v="1"/>
    <n v="0"/>
    <n v="5.0699999999999999E-3"/>
    <x v="13"/>
  </r>
  <r>
    <x v="137"/>
    <s v="peleke-1 + AntiBMPNN"/>
    <x v="9"/>
    <n v="0.2"/>
    <s v="derivative"/>
    <s v="sbio-nipahgpg-120"/>
    <s v="nipah_gpG_compout"/>
    <m/>
    <s v="EVQLVESGGGLVQPGGSLRLSCAASGFNISYSSIHWVRQAPGKGLEWVASISSYSGSTYYADSVKGRFTISADTSKNTAYLQMNSLRAEDTAVYYCARGGYVPVGWYALDYWGQGTLVTVSS"/>
    <s v="DIQMTQSPSSLSASVGDRVTITCRASQSVSTAVAWYQQKPGKAPKLLIYYASDRYSGVPSRFSGSRSGTDFTLTISSLQPEDFATYYCQQHYNYPLTFGQGTKVEIK"/>
    <b v="1"/>
    <s v="GGGSGGGSGGGSGGGS"/>
    <x v="135"/>
    <n v="245"/>
    <b v="1"/>
    <b v="0"/>
    <b v="1"/>
    <n v="6.0330000000000002E-3"/>
    <n v="5.5789999999999999E-2"/>
    <x v="14"/>
  </r>
  <r>
    <x v="138"/>
    <s v="peleke-1 + AntiBMPNN"/>
    <x v="9"/>
    <n v="0.2"/>
    <s v="derivative"/>
    <s v="sbio-nipahgpg-120"/>
    <s v="nipah_gpG_compout"/>
    <m/>
    <s v="EVQLVESGGGLVQPGGSLRLSCAASGFNISYSSIHWVRQAPGKGLEWVASISSYSGSTYYADSVKGRFTISADTSKNTAYLQMNSLRAEDTAVYYCARGGAVPVGWYALDYWGQGTLVTVSS"/>
    <s v="DIQMTQSPSSLSASVGDRVTITCRASQSVSDDVAWYQQKPGKAPKLLIYRASDRYFGVPSRFSGSRSGTDFTLTISSLQPEDFATYYCQQYYSYPITFGQGTKVEIK"/>
    <b v="1"/>
    <s v="GGGSGGGSGGGSGGGS"/>
    <x v="136"/>
    <n v="245"/>
    <b v="1"/>
    <b v="0"/>
    <b v="1"/>
    <n v="0"/>
    <n v="0"/>
    <x v="14"/>
  </r>
  <r>
    <x v="139"/>
    <s v="peleke-1 + AntiBMPNN"/>
    <x v="9"/>
    <n v="0.2"/>
    <s v="derivative"/>
    <s v="sbio-nipahgpg-120"/>
    <s v="nipah_gpG_compout"/>
    <m/>
    <s v="EVQLVESGGGLVQPGGSLRLSCAASGFNISYSSIHWVRQAPGKGLEWVASISSYSGSTYYADSVKGRFTISADTSKNTAYLQMNSLRAEDTAVYYCARGGDVPNGWYALDYWGQGTLVTVSS"/>
    <s v="DIQMTQSPSSLSASVGDRVTITCRASQSVYTAVAWYQQKPGKAPKLLIYFASDRYSGVPSRFSGSRSGTDFTLTISSLQPEDFATYYCQQHYYYPITFGQGTKVEIK"/>
    <b v="1"/>
    <s v="GGGSGGGSGGGSGGGS"/>
    <x v="137"/>
    <n v="245"/>
    <b v="1"/>
    <b v="0"/>
    <b v="1"/>
    <n v="6.2603000000000006E-2"/>
    <n v="0.12244099999999999"/>
    <x v="14"/>
  </r>
  <r>
    <x v="140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WYALDYWGQGTLVTVSS"/>
    <s v="DIQMTQSPSSLSASVGDRVTITCRASQSVSDAVAWYQQKPGKAPKLLIYYASDRYAGVPSRFSGSRSGTDFTLTISSLQPEDFATYYCQQYYSYPLTFGQGTKVEIK"/>
    <b v="1"/>
    <s v="GGGSGGGSGGGSGGGS"/>
    <x v="138"/>
    <n v="245"/>
    <b v="1"/>
    <b v="0"/>
    <b v="1"/>
    <n v="0.23727899999999999"/>
    <n v="0.36869000000000002"/>
    <x v="14"/>
  </r>
  <r>
    <x v="141"/>
    <s v="peleke-1 + AntiBMPNN"/>
    <x v="9"/>
    <n v="0.2"/>
    <s v="derivative"/>
    <s v="sbio-nipahgpg-120"/>
    <s v="nipah_gpG_compout"/>
    <m/>
    <s v="EVQLVESGGGLVQPGGSLRLSCAASGFNISSSSIHWVRQAPGKGLEWVASISSSSGSTYYADSVKGRFTISADTSKNTAYLQMNSLRAEDTAVYYCARGGDVPNGWYALDYWGQGTLVTVSS"/>
    <s v="DIQMTQSPSSLSASVGDRVTITCRASQSVYTAVAWYQQKPGKAPKLLIYRASDRYAGVPSRFSGSRSGTDFTLTISSLQPEDFATYYCQQYYYYPLTFGQGTKVEIK"/>
    <b v="1"/>
    <s v="GGGSGGGSGGGSGGGS"/>
    <x v="139"/>
    <n v="245"/>
    <b v="1"/>
    <b v="0"/>
    <b v="1"/>
    <n v="0"/>
    <n v="1.976E-2"/>
    <x v="14"/>
  </r>
  <r>
    <x v="142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YYALDYWGQGTLVTVSS"/>
    <s v="DIQMTQSPSSLSASVGDRVTITCRASQSVNTAVAWYQQKPGKAPKLLIYSASDRYFGVPSRFSGSRSGTDFTLTISSLQPEDFATYYCQQHYSYPLTFGQGTKVEIK"/>
    <b v="1"/>
    <s v="GGGSGGGSGGGSGGGS"/>
    <x v="140"/>
    <n v="245"/>
    <b v="1"/>
    <b v="0"/>
    <b v="1"/>
    <n v="0"/>
    <n v="5.0769999999999999E-3"/>
    <x v="14"/>
  </r>
  <r>
    <x v="143"/>
    <s v="peleke-1 + AntiBMPNN"/>
    <x v="9"/>
    <n v="0.2"/>
    <s v="derivative"/>
    <s v="sbio-nipahgpg-120"/>
    <s v="nipah_gpG_compout"/>
    <m/>
    <s v="EVQLVESGGGLVQPGGSLRLSCAASGFNISYSSIHWVRQAPGKGLEWVASISSYSGSTYYADSVKGRFTISADTSKNTAYLQMNSLRAEDTAVYYCARGGDVPNGWYALDYWGQGTLVTVSS"/>
    <s v="DIQMTQSPSSLSASVGDRVTITCRASQSVYTAVAWYQQKPGKAPKLLIYSASDRYSGVPSRFSGSRSGTDFTLTISSLQPEDFATYYCQQYASYPITFGQGTKVEIK"/>
    <b v="1"/>
    <s v="GGGSGGGSGGGSGGGS"/>
    <x v="141"/>
    <n v="245"/>
    <b v="1"/>
    <b v="0"/>
    <b v="1"/>
    <n v="0"/>
    <n v="5.5199999999999997E-3"/>
    <x v="14"/>
  </r>
  <r>
    <x v="144"/>
    <s v="peleke-1 + AntiBMPNN"/>
    <x v="9"/>
    <n v="0.2"/>
    <s v="derivative"/>
    <s v="sbio-nipahgpg-120"/>
    <s v="nipah_gpG_compout"/>
    <m/>
    <s v="EVQLVESGGGLVQPGGSLRLSCAASGFNISYSSIHWVRQAPGKGLEWVASISSYSGSTYYADSVKGRFTISADTSKNTAYLQMNSLRAEDTAVYYCARGGAVPVGWYALDYWGQGTLVTVSS"/>
    <s v="DIQMTQSPSSLSASVGDRVTITCRASQSVSIAVAWYQQKPGKAPKLLIYSASDRYFGVPSRFSGSRSGTDFTLTISSLQPEDFATYYCQQYYSYPLTFGQGTKVEIK"/>
    <b v="1"/>
    <s v="GGGSGGGSGGGSGGGS"/>
    <x v="142"/>
    <n v="245"/>
    <b v="1"/>
    <b v="0"/>
    <b v="1"/>
    <n v="5.6620000000000004E-3"/>
    <n v="9.3252000000000002E-2"/>
    <x v="14"/>
  </r>
  <r>
    <x v="145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WYALDYWGQGTLVTVSS"/>
    <s v="DIQMTQSPSSLSASVGDRVTITCRASQSVYYAVAWYQQKPGKAPKLLIYRASDRYSGVPSRFSGSRSGTDFTLTISSLQPEDFATYYCQQYYSYPLTFGQGTKVEIK"/>
    <b v="1"/>
    <s v="GGGSGGGSGGGSGGGS"/>
    <x v="143"/>
    <n v="245"/>
    <b v="1"/>
    <b v="0"/>
    <b v="1"/>
    <n v="0.53020900000000004"/>
    <n v="0.60767899999999997"/>
    <x v="14"/>
  </r>
  <r>
    <x v="146"/>
    <s v="peleke-1 + AntiBMPNN"/>
    <x v="9"/>
    <n v="0.2"/>
    <s v="derivative"/>
    <s v="sbio-nipahgpg-120"/>
    <s v="nipah_gpG_compout"/>
    <m/>
    <s v="EVQLVESGGGLVQPGGSLRLSCAASGFNISYSSIHWVRQAPGKGLEWVASISSYSGSTYYADSVKGRFTISADTSKNTAYLQMNSLRAEDTAVYYCARGGYVPVGWYALDYWGQGTLVTVSS"/>
    <s v="DIQMTQSPSSLSASVGDRVTITCRASQSVYTAVAWYQQKPGKAPKLLIYRASDRYFGVPSRFSGSRSGTDFTLTISSLQPEDFATYYCQQYYYYPLTFGQGTKVEIK"/>
    <b v="1"/>
    <s v="GGGSGGGSGGGSGGGS"/>
    <x v="144"/>
    <n v="245"/>
    <b v="1"/>
    <b v="0"/>
    <b v="1"/>
    <n v="0.18842400000000001"/>
    <n v="0.29170499999999999"/>
    <x v="14"/>
  </r>
  <r>
    <x v="147"/>
    <s v="peleke-1 + AntiBMPNN"/>
    <x v="9"/>
    <n v="0.4"/>
    <s v="derivative"/>
    <s v="sbio-nipahgpg-148"/>
    <s v="nipah_gpG_compout"/>
    <m/>
    <s v="EVQLVESGGGLVQPGGSLRLSCAASGFNISYSSIHWVRQAPGKGLEWVASISSYSGYTYYADSVKGRFTISADTSKNTAYLQMNSLRAEDTAVYYCARGGWRPIGSYALDYWGQGTLVTVSS"/>
    <s v="DIQMTQSPSSLSASVGDRVTITCRASQDVFSAVAWYQQKPGKAPKLLIYYASFLYSGVPSRFSGSRSGTDFTLTISSLQPEDFATYYCQQHSVVPITFGQGTKVEIK"/>
    <b v="1"/>
    <s v="GGGSGGGSGGGSGGGSGGGS"/>
    <x v="145"/>
    <n v="249"/>
    <b v="1"/>
    <b v="0"/>
    <b v="1"/>
    <n v="0.19544600000000001"/>
    <n v="0.27416499999999999"/>
    <x v="15"/>
  </r>
  <r>
    <x v="148"/>
    <s v="peleke-1 + AntiBMPNN"/>
    <x v="9"/>
    <n v="0.4"/>
    <s v="derivative"/>
    <s v="sbio-nipahgpg-148"/>
    <s v="nipah_gpG_compout"/>
    <m/>
    <s v="EVQLVESGGGLVQPGGSLRLSCAASGFNISYSSIHWVRQAPGKGLEWVASISSYSGSTYYADSVKGRFTISADTSKNTAYLQMNSLRAEDTAVYYCARGGYRPIGNYALDYWGQGTLVTVSS"/>
    <s v="DIQMTQSPSSLSASVGDRVTITCRASQDVDSAVAWYQQKPGKAPKLLIYYASFLYSGVPSRFSGSRSGTDFTLTISSLQPEDFATYYCQQHYVVPVTFGQGTKVEIK"/>
    <b v="1"/>
    <s v="GGGSGGGSGGGSGGGSGGGS"/>
    <x v="146"/>
    <n v="249"/>
    <b v="1"/>
    <b v="0"/>
    <b v="1"/>
    <n v="0"/>
    <n v="5.4689999999999999E-3"/>
    <x v="15"/>
  </r>
  <r>
    <x v="149"/>
    <s v="peleke-1 + AntiBMPNN"/>
    <x v="9"/>
    <n v="0.4"/>
    <s v="derivative"/>
    <s v="sbio-nipahgpg-148"/>
    <s v="nipah_gpG_compout"/>
    <m/>
    <s v="EVQLVESGGGLVQPGGSLRLSCAASGFNISYYSIHWVRQAPGKGLEWVASISSYSGYTYYADSVKGRFTISADTSKNTAYLQMNSLRAEDTAVYYCARGGDRPSGCYALDYWGQGTLVTVSS"/>
    <s v="DIQMTQSPSSLSASVGDRVTITCRASQDVFSAVAWYQQKPGKAPKLLIYFASFLYSGVPSRFSGSRSGTDFTLTISSLQPEDFATYYCQQHYEVPITFGQGTKVEIK"/>
    <b v="1"/>
    <s v="GGGSGGGSGGGSGGGSGGGS"/>
    <x v="147"/>
    <n v="249"/>
    <b v="1"/>
    <b v="0"/>
    <b v="1"/>
    <n v="0"/>
    <n v="5.169E-3"/>
    <x v="15"/>
  </r>
  <r>
    <x v="150"/>
    <s v="peleke-1 + AntiBMPNN"/>
    <x v="9"/>
    <n v="0.4"/>
    <s v="derivative"/>
    <s v="sbio-nipahgpg-148"/>
    <s v="nipah_gpG_compout"/>
    <m/>
    <s v="EVQLVESGGGLVQPGGSLRLSCAASGFNISYSSIHWVRQAPGKGLEWVASISSYSGYTYYADSVKGRFTISADTSKNTAYLQMNSLRAEDTAVYYCARGGSLPTGCYALDYWGQGTLVTVSS"/>
    <s v="DIQMTQSPSSLSASVGDRVTITCRASQDVDSAVAWYQQKPGKAPKLLIYFASSLYSGVPSRFSGSRSGTDFTLTISSLQPEDFATYYCQQHYDAPITFGQGTKVEIK"/>
    <b v="1"/>
    <s v="GGGSGGGSGGGSGGGSGGGS"/>
    <x v="148"/>
    <n v="249"/>
    <b v="1"/>
    <b v="0"/>
    <b v="1"/>
    <n v="0"/>
    <n v="0"/>
    <x v="15"/>
  </r>
  <r>
    <x v="151"/>
    <s v="peleke-1 + AntiBMPNN"/>
    <x v="9"/>
    <n v="0.4"/>
    <s v="derivative"/>
    <s v="sbio-nipahgpg-148"/>
    <s v="nipah_gpG_compout"/>
    <m/>
    <s v="EVQLVESGGGLVQPGGSLRLSCAASGFNISYSSIHWVRQAPGKGLEWVASISSYSGYTYYADSVKGRFTISADTSKNTAYLQMNSLRAEDTAVYYCARGGWYPWGCDALDYWGQGTLVTVSS"/>
    <s v="DIQMTQSPSSLSASVGDRVTITCRASQDVDSAVAWYQQKPGKAPKLLIYFASFLYSGVPSRFSGSRSGTDFTLTISSLQPEDFATYYCQQHYDVPITFGQGTKVEIK"/>
    <b v="1"/>
    <s v="GGGSGGGSGGGSGGGSGGGS"/>
    <x v="149"/>
    <n v="249"/>
    <b v="1"/>
    <b v="0"/>
    <b v="1"/>
    <n v="0.572295"/>
    <n v="0.62021400000000004"/>
    <x v="15"/>
  </r>
  <r>
    <x v="152"/>
    <s v="peleke-1 + AntiBMPNN"/>
    <x v="9"/>
    <n v="0.4"/>
    <s v="derivative"/>
    <s v="sbio-nipahgpg-148"/>
    <s v="nipah_gpG_compout"/>
    <m/>
    <s v="EVQLVESGGGLVQPGGSLRLSCAASGFNISYSSIHWVRQAPGKGLEWVASISSYSGYTYYADSVKGRFTISADTSKNTAYLQMNSLRAEDTAVYYCARGGDRPVGCYALDYWGQGTLVTVSS"/>
    <s v="DIQMTQSPSSLSASVGDRVTITCRASQDVTSAVAWYQQKPGKAPKLLIYSASFRYSGVPSRFSGSRSGTDFTLTISSLQPEDFATYYCQQHYVVPVTFGQGTKVEIK"/>
    <b v="1"/>
    <s v="GGGSGGGSGGGSGGGSGGGS"/>
    <x v="150"/>
    <n v="249"/>
    <b v="1"/>
    <b v="0"/>
    <b v="1"/>
    <n v="3.0435E-2"/>
    <n v="6.3978999999999994E-2"/>
    <x v="15"/>
  </r>
  <r>
    <x v="153"/>
    <s v="peleke-1 + AntiBMPNN"/>
    <x v="9"/>
    <n v="0.4"/>
    <s v="derivative"/>
    <s v="sbio-nipahgpg-148"/>
    <s v="nipah_gpG_compout"/>
    <m/>
    <s v="EVQLVESGGGLVQPGGSLRLSCAASGFNISYSSIHWVRQAPGKGLEWVASISSYSGYTYYADSVKGRFTISADTSKNTAYLQMNSLRAEDTAVYYCARGGWYPLGCYAMDYWGQGTLVTVSS"/>
    <s v="DIQMTQSPSSLSASVGDRVTITCRASQDVLSDVAWYQQKPGKAPKLLIYYASFRYSGVPSRFSGSRSGTDFTLTISSLQPEDFATYYCQQHYVVPVTFGQGTKVEIK"/>
    <b v="1"/>
    <s v="GGGSGGGSGGGSGGGSGGGS"/>
    <x v="151"/>
    <n v="249"/>
    <b v="1"/>
    <b v="0"/>
    <b v="1"/>
    <n v="0"/>
    <n v="4.908E-3"/>
    <x v="15"/>
  </r>
  <r>
    <x v="154"/>
    <s v="peleke-1 + AntiBMPNN"/>
    <x v="9"/>
    <n v="0.4"/>
    <s v="derivative"/>
    <s v="sbio-nipahgpg-148"/>
    <s v="nipah_gpG_compout"/>
    <m/>
    <s v="EVQLVESGGGLVQPGGSLRLSCAASGFNISYSSIHWVRQAPGKGLEWVASISSYSGYTYYADSVKGRFTISADTSKNTAYLQMNSLRAEDTAVYYCARGGWRPFGCYALDYWGQGTLVTVSS"/>
    <s v="DIQMTQSPSSLSASVGDRVTITCRASQDVFSAVAWYQQKPGKAPKLLIYSASFLYSGVPSRFSGSRSGTDFTLTISSLQPEDFATYYCQQHYIYPVTFGQGTKVEIK"/>
    <b v="1"/>
    <s v="GGGSGGGSGGGSGGGSGGGS"/>
    <x v="152"/>
    <n v="249"/>
    <b v="1"/>
    <b v="0"/>
    <b v="1"/>
    <n v="4.2744999999999998E-2"/>
    <n v="0.14049900000000001"/>
    <x v="15"/>
  </r>
  <r>
    <x v="155"/>
    <s v="peleke-1 + AntiBMPNN"/>
    <x v="9"/>
    <n v="0.4"/>
    <s v="derivative"/>
    <s v="sbio-nipahgpg-148"/>
    <s v="nipah_gpG_compout"/>
    <m/>
    <s v="EVQLVESGGGLVQPGGSLRLSCAASGFNISYSSIHWVRQAPGKGLEWVASISSYSGSTYYADSVKGRFTISADTSKNTAYLQMNSLRAEDTAVYYCARGGWYPWGNYALDYWGQGTLVTVSS"/>
    <s v="DIQMTQSPSSLSASVGDRVTITCRASQDVNTAVAWYQQKPGKAPKLLIYEASFRYSGVPSRFSGSRSGTDFTLTISSLQPEDFATYYCQQHYEVPITFGQGTKVEIK"/>
    <b v="1"/>
    <s v="GGGSGGGSGGGSGGGSGGGS"/>
    <x v="153"/>
    <n v="249"/>
    <b v="1"/>
    <b v="0"/>
    <b v="1"/>
    <n v="0"/>
    <n v="1.0083E-2"/>
    <x v="15"/>
  </r>
  <r>
    <x v="156"/>
    <s v="peleke-1 + AntiBMPNN"/>
    <x v="9"/>
    <n v="0.4"/>
    <s v="derivative"/>
    <s v="sbio-nipahgpg-148"/>
    <s v="nipah_gpG_compout"/>
    <m/>
    <s v="EVQLVESGGGLVQPGGSLRLSCAASGFNISYSSIHWVRQAPGKGLEWVASISSYSGSTYYADSVKGRFTISADTSKNTAYLQMNSLRAEDTAVYYCARGGSRPWGCYALDYWGQGTLVTVSS"/>
    <s v="DIQMTQSPSSLSASVGDRVTITCRASQDVFTAVAWYQQKPGKAPKLLIYFASFLYSGVPSRFSGSRSGTDFTLTISSLQPEDFATYYCQQYSIVPVTFGQGTKVEIK"/>
    <b v="1"/>
    <s v="GGGSGGGSGGGSGGGSGGGS"/>
    <x v="154"/>
    <n v="249"/>
    <b v="1"/>
    <b v="0"/>
    <b v="1"/>
    <n v="0"/>
    <n v="4.7800000000000004E-3"/>
    <x v="15"/>
  </r>
  <r>
    <x v="157"/>
    <s v="peleke-1 + AntiBMPNN"/>
    <x v="9"/>
    <n v="0.2"/>
    <s v="derivative"/>
    <s v="sbio-nipahgpg-148"/>
    <s v="nipah_gpG_compout"/>
    <n v="4"/>
    <s v="EVQLVESGGGLVQPGGSLRLSCAASGFNISYSSIHWVRQAPGKGLEWVASISSYSGSTYYADSVKGRFTISADTSKNTAYLQMNSLRAEDTAVYYCARGGDVPVGWYALDYWGQGTLVTVSS"/>
    <s v="DIQMTQSPSSLSASVGDRVTITCRASQSVYYAVAWYQQKPGKAPKLLIYRASDLYSGVPSRFSGSRSGTDFTLTISSLQPEDFATYYCQQYYSYPLTFGQGTKVEIK"/>
    <b v="1"/>
    <s v="GGGSGGGSGGGSGGGSGGGS"/>
    <x v="155"/>
    <n v="249"/>
    <b v="1"/>
    <b v="0"/>
    <b v="0"/>
    <m/>
    <m/>
    <x v="16"/>
  </r>
  <r>
    <x v="158"/>
    <m/>
    <x v="10"/>
    <m/>
    <m/>
    <m/>
    <m/>
    <m/>
    <m/>
    <m/>
    <m/>
    <m/>
    <x v="156"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4" firstHeaderRow="0" firstDataRow="0" firstDataCol="3" rowPageCount="1" colPageCount="1"/>
  <pivotFields count="20">
    <pivotField axis="axisRow" compact="0" outline="0" showAll="0" defaultSubtotal="0">
      <items count="1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5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</items>
    </pivotField>
    <pivotField compact="0" outline="0" showAll="0" defaultSubtotal="0"/>
    <pivotField axis="axisRow" compact="0" outline="0" showAll="0" defaultSubtotal="0">
      <items count="11">
        <item x="6"/>
        <item x="7"/>
        <item x="5"/>
        <item x="0"/>
        <item x="2"/>
        <item x="3"/>
        <item x="1"/>
        <item x="4"/>
        <item x="10"/>
        <item x="8"/>
        <item x="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58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56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m="1" x="157"/>
        <item x="15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21">
        <item h="1" x="8"/>
        <item h="1" x="0"/>
        <item h="1" x="1"/>
        <item h="1" x="2"/>
        <item h="1" x="3"/>
        <item h="1" x="4"/>
        <item h="1" x="5"/>
        <item h="1" m="1" x="20"/>
        <item h="1" x="6"/>
        <item h="1" m="1" x="19"/>
        <item h="1" x="7"/>
        <item h="1" x="9"/>
        <item h="1" x="10"/>
        <item h="1" x="11"/>
        <item h="1" m="1" x="18"/>
        <item h="1" x="12"/>
        <item h="1" m="1" x="17"/>
        <item h="1" x="13"/>
        <item h="1" x="14"/>
        <item h="1" x="15"/>
        <item x="16"/>
      </items>
    </pivotField>
  </pivotFields>
  <rowFields count="3">
    <field x="0"/>
    <field x="2"/>
    <field x="12"/>
  </rowFields>
  <rowItems count="1">
    <i>
      <x v="158"/>
      <x v="10"/>
      <x v="157"/>
    </i>
  </rowItems>
  <colItems count="1">
    <i/>
  </colItems>
  <pageFields count="1">
    <pageField fld="19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59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W160" sqref="W160"/>
    </sheetView>
  </sheetViews>
  <sheetFormatPr defaultColWidth="9.140625" defaultRowHeight="15" x14ac:dyDescent="0.25"/>
  <cols>
    <col min="1" max="1" width="17.85546875" style="1" customWidth="1"/>
    <col min="2" max="2" width="22.42578125" style="1" bestFit="1" customWidth="1"/>
    <col min="3" max="3" width="14.7109375" style="2" customWidth="1"/>
    <col min="4" max="4" width="11.7109375" style="4" customWidth="1"/>
    <col min="5" max="5" width="11.7109375" style="1" customWidth="1"/>
    <col min="6" max="6" width="18.42578125" style="1" bestFit="1" customWidth="1"/>
    <col min="7" max="7" width="19.42578125" style="1" bestFit="1" customWidth="1"/>
    <col min="8" max="8" width="8.7109375" style="1" bestFit="1" customWidth="1"/>
    <col min="9" max="9" width="54" style="2" customWidth="1"/>
    <col min="10" max="10" width="46.42578125" style="2" customWidth="1"/>
    <col min="11" max="11" width="16" style="1" customWidth="1"/>
    <col min="12" max="12" width="12" style="2" customWidth="1"/>
    <col min="13" max="13" width="71.28515625" style="2" customWidth="1"/>
    <col min="14" max="14" width="17.42578125" style="4" bestFit="1" customWidth="1"/>
    <col min="15" max="15" width="17.42578125" style="1" customWidth="1"/>
    <col min="16" max="16" width="19.85546875" style="1" bestFit="1" customWidth="1"/>
    <col min="17" max="17" width="27.85546875" style="1" bestFit="1" customWidth="1"/>
    <col min="18" max="19" width="12" style="4" bestFit="1" customWidth="1"/>
    <col min="20" max="20" width="23.7109375" style="4" bestFit="1" customWidth="1"/>
    <col min="21" max="21" width="22.42578125" style="2" bestFit="1" customWidth="1"/>
    <col min="22" max="22" width="22.42578125" style="4" bestFit="1" customWidth="1"/>
    <col min="23" max="23" width="21.140625" style="1" bestFit="1" customWidth="1"/>
    <col min="24" max="16384" width="9.140625" style="1"/>
  </cols>
  <sheetData>
    <row r="1" spans="1:23" s="3" customFormat="1" x14ac:dyDescent="0.25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194</v>
      </c>
      <c r="V1" s="7" t="s">
        <v>195</v>
      </c>
      <c r="W1" s="3" t="s">
        <v>664</v>
      </c>
    </row>
    <row r="2" spans="1:23" ht="75" x14ac:dyDescent="0.25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 t="shared" ref="M2:M33" si="0"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 t="shared" ref="N2:N33" si="1">LEN(M2)</f>
        <v>246</v>
      </c>
      <c r="O2" s="1" t="b">
        <f t="shared" ref="O2:O33" si="2">IF(N2&lt;=250,TRUE,FALSE)</f>
        <v>1</v>
      </c>
      <c r="P2" s="1" t="b">
        <f>TRUE()</f>
        <v>1</v>
      </c>
      <c r="Q2" s="1" t="b">
        <f>TRUE()</f>
        <v>1</v>
      </c>
      <c r="R2" s="4">
        <v>5.3039999999999997E-3</v>
      </c>
      <c r="S2" s="4">
        <v>2.5982999999999999E-2</v>
      </c>
      <c r="T2" s="10">
        <v>45968</v>
      </c>
      <c r="U2" s="2" t="s">
        <v>215</v>
      </c>
      <c r="V2" s="4">
        <v>0</v>
      </c>
      <c r="W2" s="1" t="b">
        <f t="shared" ref="W2:W65" si="3">IF(V2&lt;=250,TRUE,FALSE)</f>
        <v>1</v>
      </c>
    </row>
    <row r="3" spans="1:23" ht="60" x14ac:dyDescent="0.25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si="0"/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 t="shared" si="1"/>
        <v>240</v>
      </c>
      <c r="O3" s="1" t="b">
        <f t="shared" si="2"/>
        <v>1</v>
      </c>
      <c r="P3" s="1" t="b">
        <f>TRUE()</f>
        <v>1</v>
      </c>
      <c r="Q3" s="1" t="b">
        <f>TRUE()</f>
        <v>1</v>
      </c>
      <c r="R3" s="4">
        <v>0</v>
      </c>
      <c r="S3" s="4">
        <v>5.2459999999999998E-3</v>
      </c>
      <c r="T3" s="10">
        <v>45969</v>
      </c>
      <c r="U3" s="2" t="s">
        <v>205</v>
      </c>
      <c r="V3" s="4">
        <v>0.25329299999999999</v>
      </c>
      <c r="W3" s="1" t="b">
        <v>1</v>
      </c>
    </row>
    <row r="4" spans="1:23" ht="60" x14ac:dyDescent="0.25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 t="shared" si="1"/>
        <v>239</v>
      </c>
      <c r="O4" s="1" t="b">
        <f t="shared" si="2"/>
        <v>1</v>
      </c>
      <c r="P4" s="1" t="b">
        <f>TRUE()</f>
        <v>1</v>
      </c>
      <c r="Q4" s="1" t="b">
        <f>TRUE()</f>
        <v>1</v>
      </c>
      <c r="R4" s="4">
        <v>4.7468000000000003E-2</v>
      </c>
      <c r="S4" s="4">
        <v>9.3658000000000005E-2</v>
      </c>
      <c r="T4" s="10">
        <v>45969</v>
      </c>
      <c r="U4" s="2" t="s">
        <v>208</v>
      </c>
      <c r="V4" s="4">
        <v>0.530196</v>
      </c>
      <c r="W4" s="1" t="b">
        <v>0</v>
      </c>
    </row>
    <row r="5" spans="1:23" ht="60" x14ac:dyDescent="0.25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 t="shared" si="1"/>
        <v>240</v>
      </c>
      <c r="O5" s="1" t="b">
        <f t="shared" si="2"/>
        <v>1</v>
      </c>
      <c r="P5" s="1" t="b">
        <f>TRUE()</f>
        <v>1</v>
      </c>
      <c r="Q5" s="1" t="b">
        <f>TRUE()</f>
        <v>1</v>
      </c>
      <c r="R5" s="4">
        <v>1.2938E-2</v>
      </c>
      <c r="S5" s="4">
        <v>5.7574E-2</v>
      </c>
      <c r="T5" s="10">
        <v>45969</v>
      </c>
      <c r="U5" s="2" t="s">
        <v>206</v>
      </c>
      <c r="V5" s="4">
        <v>0.233075</v>
      </c>
      <c r="W5" s="1" t="b">
        <v>0</v>
      </c>
    </row>
    <row r="6" spans="1:23" ht="60" x14ac:dyDescent="0.25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 t="shared" si="1"/>
        <v>238</v>
      </c>
      <c r="O6" s="1" t="b">
        <f t="shared" si="2"/>
        <v>1</v>
      </c>
      <c r="P6" s="1" t="b">
        <f>TRUE()</f>
        <v>1</v>
      </c>
      <c r="Q6" s="1" t="b">
        <f>TRUE()</f>
        <v>1</v>
      </c>
      <c r="R6" s="4">
        <v>0</v>
      </c>
      <c r="S6" s="4">
        <v>5.0559999999999997E-3</v>
      </c>
      <c r="T6" s="10">
        <v>45969</v>
      </c>
      <c r="U6" s="2" t="s">
        <v>207</v>
      </c>
      <c r="V6" s="4">
        <v>0</v>
      </c>
      <c r="W6" s="1" t="b">
        <v>0</v>
      </c>
    </row>
    <row r="7" spans="1:23" ht="75" x14ac:dyDescent="0.25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 t="shared" si="1"/>
        <v>247</v>
      </c>
      <c r="O7" s="1" t="b">
        <f t="shared" si="2"/>
        <v>1</v>
      </c>
      <c r="P7" s="1" t="b">
        <f>TRUE()</f>
        <v>1</v>
      </c>
      <c r="Q7" s="1" t="b">
        <f>TRUE()</f>
        <v>1</v>
      </c>
      <c r="R7" s="4">
        <v>0</v>
      </c>
      <c r="S7" s="4">
        <v>0</v>
      </c>
      <c r="T7" s="10">
        <v>45969</v>
      </c>
      <c r="U7" s="2" t="s">
        <v>211</v>
      </c>
      <c r="V7" s="4">
        <v>5.9117999999999997E-2</v>
      </c>
      <c r="W7" s="1" t="b">
        <v>0</v>
      </c>
    </row>
    <row r="8" spans="1:23" ht="75" x14ac:dyDescent="0.25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 t="shared" si="1"/>
        <v>246</v>
      </c>
      <c r="O8" s="1" t="b">
        <f t="shared" si="2"/>
        <v>1</v>
      </c>
      <c r="P8" s="1" t="b">
        <f>TRUE()</f>
        <v>1</v>
      </c>
      <c r="Q8" s="1" t="b">
        <f>TRUE()</f>
        <v>1</v>
      </c>
      <c r="R8" s="4">
        <v>0</v>
      </c>
      <c r="S8" s="4">
        <v>0</v>
      </c>
      <c r="T8" s="10">
        <v>45968</v>
      </c>
      <c r="U8" s="2" t="s">
        <v>216</v>
      </c>
      <c r="V8" s="4">
        <v>0</v>
      </c>
      <c r="W8" s="1" t="b">
        <v>0</v>
      </c>
    </row>
    <row r="9" spans="1:23" ht="75" x14ac:dyDescent="0.25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 t="shared" si="1"/>
        <v>246</v>
      </c>
      <c r="O9" s="1" t="b">
        <f t="shared" si="2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209</v>
      </c>
      <c r="V9" s="4">
        <v>0</v>
      </c>
      <c r="W9" s="1" t="b">
        <v>1</v>
      </c>
    </row>
    <row r="10" spans="1:23" ht="75" x14ac:dyDescent="0.25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 t="shared" si="1"/>
        <v>246</v>
      </c>
      <c r="O10" s="1" t="b">
        <f t="shared" si="2"/>
        <v>1</v>
      </c>
      <c r="P10" s="1" t="b">
        <f>TRUE()</f>
        <v>1</v>
      </c>
      <c r="Q10" s="1" t="b">
        <f>TRUE()</f>
        <v>1</v>
      </c>
      <c r="R10" s="4">
        <v>0</v>
      </c>
      <c r="S10" s="4">
        <v>0</v>
      </c>
      <c r="T10" s="10">
        <v>45968</v>
      </c>
      <c r="U10" s="2" t="s">
        <v>218</v>
      </c>
      <c r="V10" s="4">
        <v>0</v>
      </c>
      <c r="W10" s="1" t="b">
        <v>0</v>
      </c>
    </row>
    <row r="11" spans="1:23" ht="75" x14ac:dyDescent="0.25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 t="shared" si="1"/>
        <v>246</v>
      </c>
      <c r="O11" s="1" t="b">
        <f t="shared" si="2"/>
        <v>1</v>
      </c>
      <c r="P11" s="1" t="b">
        <f>TRUE()</f>
        <v>1</v>
      </c>
      <c r="Q11" s="1" t="b">
        <f>TRUE()</f>
        <v>1</v>
      </c>
      <c r="R11" s="4">
        <v>0.222529</v>
      </c>
      <c r="S11" s="4">
        <v>0.346188</v>
      </c>
      <c r="T11" s="10">
        <v>45968</v>
      </c>
      <c r="U11" s="2" t="s">
        <v>217</v>
      </c>
      <c r="V11" s="4">
        <v>0</v>
      </c>
      <c r="W11" s="1" t="b">
        <v>1</v>
      </c>
    </row>
    <row r="12" spans="1:23" ht="75" x14ac:dyDescent="0.25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 t="shared" si="1"/>
        <v>247</v>
      </c>
      <c r="O12" s="1" t="b">
        <f t="shared" si="2"/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210</v>
      </c>
      <c r="V12" s="4">
        <v>4.8820000000000001E-3</v>
      </c>
      <c r="W12" s="1" t="b">
        <v>0</v>
      </c>
    </row>
    <row r="13" spans="1:23" ht="75" x14ac:dyDescent="0.25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 t="shared" si="1"/>
        <v>246</v>
      </c>
      <c r="O13" s="1" t="b">
        <f t="shared" si="2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212</v>
      </c>
      <c r="V13" s="4">
        <v>0</v>
      </c>
      <c r="W13" s="1" t="b">
        <v>1</v>
      </c>
    </row>
    <row r="14" spans="1:23" ht="75" x14ac:dyDescent="0.25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 t="shared" si="1"/>
        <v>246</v>
      </c>
      <c r="O14" s="1" t="b">
        <f t="shared" si="2"/>
        <v>1</v>
      </c>
      <c r="P14" s="1" t="b">
        <f>TRUE()</f>
        <v>1</v>
      </c>
      <c r="Q14" s="1" t="b">
        <f>TRUE()</f>
        <v>1</v>
      </c>
      <c r="R14" s="4">
        <v>0</v>
      </c>
      <c r="S14" s="4">
        <v>0</v>
      </c>
      <c r="T14" s="10">
        <v>45968</v>
      </c>
      <c r="U14" s="2" t="s">
        <v>219</v>
      </c>
      <c r="V14" s="4">
        <v>0.330536</v>
      </c>
      <c r="W14" s="1" t="b">
        <v>0</v>
      </c>
    </row>
    <row r="15" spans="1:23" ht="75" x14ac:dyDescent="0.25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 t="shared" si="1"/>
        <v>247</v>
      </c>
      <c r="O15" s="1" t="b">
        <f t="shared" si="2"/>
        <v>1</v>
      </c>
      <c r="P15" s="1" t="b">
        <f>TRUE()</f>
        <v>1</v>
      </c>
      <c r="Q15" s="1" t="b">
        <f>TRUE()</f>
        <v>1</v>
      </c>
      <c r="R15" s="4" t="e">
        <v>#N/A</v>
      </c>
      <c r="S15" s="4" t="e">
        <v>#N/A</v>
      </c>
      <c r="T15" s="10">
        <v>45969</v>
      </c>
      <c r="U15" s="2" t="s">
        <v>213</v>
      </c>
      <c r="V15" s="4">
        <v>0</v>
      </c>
      <c r="W15" s="1" t="b">
        <v>0</v>
      </c>
    </row>
    <row r="16" spans="1:23" ht="75" x14ac:dyDescent="0.25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 t="shared" si="1"/>
        <v>246</v>
      </c>
      <c r="O16" s="1" t="b">
        <f t="shared" si="2"/>
        <v>1</v>
      </c>
      <c r="P16" s="1" t="b">
        <f>TRUE()</f>
        <v>1</v>
      </c>
      <c r="Q16" s="1" t="b">
        <f>TRUE()</f>
        <v>1</v>
      </c>
      <c r="R16" s="4">
        <v>9.9030000000000003E-3</v>
      </c>
      <c r="S16" s="4">
        <v>2.6096000000000001E-2</v>
      </c>
      <c r="T16" s="10">
        <v>45968</v>
      </c>
      <c r="U16" s="2" t="s">
        <v>222</v>
      </c>
      <c r="V16" s="4">
        <v>5.1409999999999997E-3</v>
      </c>
      <c r="W16" s="1" t="b">
        <v>0</v>
      </c>
    </row>
    <row r="17" spans="1:23" ht="75" x14ac:dyDescent="0.25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 t="shared" si="1"/>
        <v>246</v>
      </c>
      <c r="O17" s="1" t="b">
        <f t="shared" si="2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214</v>
      </c>
      <c r="V17" s="4">
        <v>0</v>
      </c>
      <c r="W17" s="1" t="b">
        <v>1</v>
      </c>
    </row>
    <row r="18" spans="1:23" ht="75" x14ac:dyDescent="0.25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 t="shared" si="1"/>
        <v>246</v>
      </c>
      <c r="O18" s="1" t="b">
        <f t="shared" si="2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196</v>
      </c>
      <c r="V18" s="4">
        <v>0</v>
      </c>
      <c r="W18" s="1" t="b">
        <v>1</v>
      </c>
    </row>
    <row r="19" spans="1:23" ht="75" x14ac:dyDescent="0.25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 t="shared" si="1"/>
        <v>246</v>
      </c>
      <c r="O19" s="1" t="b">
        <f t="shared" si="2"/>
        <v>1</v>
      </c>
      <c r="P19" s="1" t="b">
        <f>TRUE()</f>
        <v>1</v>
      </c>
      <c r="Q19" s="1" t="b">
        <f>TRUE()</f>
        <v>1</v>
      </c>
      <c r="R19" s="4">
        <v>5.0000000000000001E-3</v>
      </c>
      <c r="S19" s="4">
        <v>5.3550000000000004E-3</v>
      </c>
      <c r="T19" s="10">
        <v>45970</v>
      </c>
      <c r="U19" s="2" t="s">
        <v>197</v>
      </c>
      <c r="V19" s="4">
        <v>0.10117900000000001</v>
      </c>
      <c r="W19" s="1" t="b">
        <v>0</v>
      </c>
    </row>
    <row r="20" spans="1:23" ht="75" x14ac:dyDescent="0.25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 t="shared" si="1"/>
        <v>246</v>
      </c>
      <c r="O20" s="1" t="b">
        <f t="shared" si="2"/>
        <v>1</v>
      </c>
      <c r="P20" s="1" t="b">
        <f>TRUE()</f>
        <v>1</v>
      </c>
      <c r="Q20" s="1" t="b">
        <f>TRUE()</f>
        <v>1</v>
      </c>
      <c r="R20" s="4">
        <v>5.1789999999999996E-3</v>
      </c>
      <c r="S20" s="4">
        <v>9.8119999999999995E-3</v>
      </c>
      <c r="T20" s="10">
        <v>45970</v>
      </c>
      <c r="U20" s="2" t="s">
        <v>198</v>
      </c>
      <c r="V20" s="4">
        <v>5.2560000000000003E-3</v>
      </c>
      <c r="W20" s="1" t="b">
        <v>0</v>
      </c>
    </row>
    <row r="21" spans="1:23" ht="75" x14ac:dyDescent="0.25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 t="shared" si="1"/>
        <v>246</v>
      </c>
      <c r="O21" s="1" t="b">
        <f t="shared" si="2"/>
        <v>1</v>
      </c>
      <c r="P21" s="1" t="b">
        <f>TRUE()</f>
        <v>1</v>
      </c>
      <c r="Q21" s="1" t="b">
        <f>TRUE()</f>
        <v>1</v>
      </c>
      <c r="R21" s="4">
        <v>0.28534100000000001</v>
      </c>
      <c r="S21" s="4">
        <v>0.38202399999999997</v>
      </c>
      <c r="T21" s="10">
        <v>45970</v>
      </c>
      <c r="U21" s="2" t="s">
        <v>200</v>
      </c>
      <c r="V21" s="4">
        <v>0</v>
      </c>
      <c r="W21" s="1" t="b">
        <v>0</v>
      </c>
    </row>
    <row r="22" spans="1:23" ht="75" x14ac:dyDescent="0.25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 t="shared" si="1"/>
        <v>246</v>
      </c>
      <c r="O22" s="1" t="b">
        <f t="shared" si="2"/>
        <v>1</v>
      </c>
      <c r="P22" s="1" t="b">
        <f>TRUE()</f>
        <v>1</v>
      </c>
      <c r="Q22" s="1" t="b">
        <f>TRUE()</f>
        <v>1</v>
      </c>
      <c r="R22" s="4">
        <v>0</v>
      </c>
      <c r="S22" s="4">
        <v>0</v>
      </c>
      <c r="T22" s="10">
        <v>45970</v>
      </c>
      <c r="U22" s="2" t="s">
        <v>199</v>
      </c>
      <c r="V22" s="4">
        <v>0.33924399999999999</v>
      </c>
      <c r="W22" s="1" t="b">
        <v>0</v>
      </c>
    </row>
    <row r="23" spans="1:23" ht="75" x14ac:dyDescent="0.25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 t="shared" si="1"/>
        <v>250</v>
      </c>
      <c r="O23" s="1" t="b">
        <f t="shared" si="2"/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204</v>
      </c>
      <c r="V23" s="4">
        <v>0</v>
      </c>
      <c r="W23" s="1" t="b">
        <v>0</v>
      </c>
    </row>
    <row r="24" spans="1:23" ht="75" x14ac:dyDescent="0.25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 t="shared" si="1"/>
        <v>249</v>
      </c>
      <c r="O24" s="1" t="b">
        <f t="shared" si="2"/>
        <v>1</v>
      </c>
      <c r="P24" s="1" t="b">
        <f>TRUE()</f>
        <v>1</v>
      </c>
      <c r="Q24" s="1" t="b">
        <f>TRUE()</f>
        <v>1</v>
      </c>
      <c r="R24" s="4">
        <v>0</v>
      </c>
      <c r="S24" s="4">
        <v>0</v>
      </c>
      <c r="T24" s="10">
        <v>45968</v>
      </c>
      <c r="U24" s="2" t="s">
        <v>220</v>
      </c>
      <c r="V24" s="4">
        <v>5.3039999999999997E-3</v>
      </c>
      <c r="W24" s="1" t="b">
        <v>0</v>
      </c>
    </row>
    <row r="25" spans="1:23" ht="75" x14ac:dyDescent="0.25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 t="shared" si="0"/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 t="shared" si="1"/>
        <v>249</v>
      </c>
      <c r="O25" s="1" t="b">
        <f t="shared" si="2"/>
        <v>1</v>
      </c>
      <c r="P25" s="1" t="b">
        <f>TRUE()</f>
        <v>1</v>
      </c>
      <c r="Q25" s="1" t="b">
        <f>TRUE()</f>
        <v>1</v>
      </c>
      <c r="R25" s="4">
        <v>5.104E-3</v>
      </c>
      <c r="S25" s="4">
        <v>5.104E-3</v>
      </c>
      <c r="T25" s="10">
        <v>45968</v>
      </c>
      <c r="U25" s="2" t="s">
        <v>221</v>
      </c>
      <c r="V25" s="4">
        <v>3.4557999999999998E-2</v>
      </c>
      <c r="W25" s="1" t="b">
        <v>0</v>
      </c>
    </row>
    <row r="26" spans="1:23" ht="75" x14ac:dyDescent="0.25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 t="shared" si="1"/>
        <v>249</v>
      </c>
      <c r="O26" s="1" t="b">
        <f t="shared" si="2"/>
        <v>1</v>
      </c>
      <c r="P26" s="1" t="b">
        <f>TRUE()</f>
        <v>1</v>
      </c>
      <c r="Q26" s="1" t="b">
        <f>TRUE()</f>
        <v>1</v>
      </c>
      <c r="R26" s="4">
        <v>5.1330000000000004E-3</v>
      </c>
      <c r="S26" s="4">
        <v>1.3644E-2</v>
      </c>
      <c r="T26" s="10">
        <v>45970</v>
      </c>
      <c r="U26" s="2" t="s">
        <v>202</v>
      </c>
      <c r="V26" s="4">
        <v>0.177148</v>
      </c>
      <c r="W26" s="1" t="b">
        <v>0</v>
      </c>
    </row>
    <row r="27" spans="1:23" ht="75" x14ac:dyDescent="0.25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 t="shared" si="1"/>
        <v>249</v>
      </c>
      <c r="O27" s="1" t="b">
        <f t="shared" si="2"/>
        <v>1</v>
      </c>
      <c r="P27" s="1" t="b">
        <f>TRUE()</f>
        <v>1</v>
      </c>
      <c r="Q27" s="1" t="b">
        <f>TRUE()</f>
        <v>1</v>
      </c>
      <c r="R27" s="4">
        <v>0.55087299999999995</v>
      </c>
      <c r="S27" s="4">
        <v>0.73576600000000003</v>
      </c>
      <c r="T27" s="10">
        <v>45970</v>
      </c>
      <c r="U27" s="2" t="s">
        <v>201</v>
      </c>
      <c r="V27" s="4">
        <v>0.18701400000000001</v>
      </c>
      <c r="W27" s="1" t="b">
        <v>1</v>
      </c>
    </row>
    <row r="28" spans="1:23" ht="75" x14ac:dyDescent="0.25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 t="shared" si="1"/>
        <v>249</v>
      </c>
      <c r="O28" s="1" t="b">
        <f t="shared" si="2"/>
        <v>1</v>
      </c>
      <c r="P28" s="1" t="b">
        <f>TRUE()</f>
        <v>1</v>
      </c>
      <c r="Q28" s="1" t="b">
        <f>TRUE()</f>
        <v>1</v>
      </c>
      <c r="R28" s="4">
        <v>0</v>
      </c>
      <c r="S28" s="4">
        <v>0</v>
      </c>
      <c r="T28" s="10">
        <v>45970</v>
      </c>
      <c r="U28" s="2" t="s">
        <v>203</v>
      </c>
      <c r="V28" s="4">
        <v>0</v>
      </c>
      <c r="W28" s="1" t="b">
        <v>0</v>
      </c>
    </row>
    <row r="29" spans="1:23" ht="75" x14ac:dyDescent="0.25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 t="shared" si="1"/>
        <v>249</v>
      </c>
      <c r="O29" s="1" t="b">
        <f t="shared" si="2"/>
        <v>1</v>
      </c>
      <c r="P29" s="1" t="b">
        <f>TRUE()</f>
        <v>1</v>
      </c>
      <c r="Q29" s="1" t="b">
        <f>TRUE()</f>
        <v>1</v>
      </c>
      <c r="R29" s="4">
        <v>0</v>
      </c>
      <c r="S29" s="4">
        <v>5.1970000000000002E-3</v>
      </c>
      <c r="T29" s="10">
        <v>45968</v>
      </c>
      <c r="U29" s="2" t="s">
        <v>223</v>
      </c>
      <c r="V29" s="4">
        <v>0</v>
      </c>
      <c r="W29" s="1" t="b">
        <v>0</v>
      </c>
    </row>
    <row r="30" spans="1:23" ht="75" x14ac:dyDescent="0.25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 t="shared" si="1"/>
        <v>249</v>
      </c>
      <c r="O30" s="1" t="b">
        <f t="shared" si="2"/>
        <v>1</v>
      </c>
      <c r="P30" s="1" t="b">
        <f>TRUE()</f>
        <v>1</v>
      </c>
      <c r="Q30" s="1" t="b">
        <f>TRUE()</f>
        <v>1</v>
      </c>
      <c r="R30" s="4">
        <v>0.214564</v>
      </c>
      <c r="S30" s="4">
        <v>0.35564200000000001</v>
      </c>
      <c r="T30" s="10">
        <v>45968</v>
      </c>
      <c r="U30" s="2" t="s">
        <v>224</v>
      </c>
      <c r="V30" s="4">
        <v>0</v>
      </c>
      <c r="W30" s="1" t="b">
        <v>0</v>
      </c>
    </row>
    <row r="31" spans="1:23" ht="60" x14ac:dyDescent="0.25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 t="shared" si="1"/>
        <v>241</v>
      </c>
      <c r="O31" s="1" t="b">
        <f t="shared" si="2"/>
        <v>1</v>
      </c>
      <c r="P31" s="1" t="b">
        <v>0</v>
      </c>
      <c r="Q31" s="1" t="b">
        <f>TRUE()</f>
        <v>1</v>
      </c>
      <c r="R31" s="4">
        <v>4.9880000000000002E-3</v>
      </c>
      <c r="S31" s="4">
        <v>2.6955E-2</v>
      </c>
      <c r="T31" s="10">
        <v>45971</v>
      </c>
      <c r="U31" s="2" t="s">
        <v>245</v>
      </c>
      <c r="V31" s="4">
        <v>5.6360000000000004E-3</v>
      </c>
      <c r="W31" s="1" t="b">
        <v>0</v>
      </c>
    </row>
    <row r="32" spans="1:23" ht="75" x14ac:dyDescent="0.25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 t="shared" si="1"/>
        <v>248</v>
      </c>
      <c r="O32" s="1" t="b">
        <f t="shared" si="2"/>
        <v>1</v>
      </c>
      <c r="P32" s="1" t="b">
        <v>0</v>
      </c>
      <c r="Q32" s="1" t="b">
        <f>TRUE()</f>
        <v>1</v>
      </c>
      <c r="R32" s="4">
        <v>8.5369999999999994E-3</v>
      </c>
      <c r="S32" s="4">
        <v>3.8865999999999998E-2</v>
      </c>
      <c r="T32" s="10">
        <v>45971</v>
      </c>
      <c r="U32" s="2" t="s">
        <v>243</v>
      </c>
      <c r="V32" s="4">
        <v>4.999E-3</v>
      </c>
      <c r="W32" s="1" t="b">
        <v>0</v>
      </c>
    </row>
    <row r="33" spans="1:23" ht="75" x14ac:dyDescent="0.25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 t="shared" si="1"/>
        <v>242</v>
      </c>
      <c r="O33" s="1" t="b">
        <f t="shared" si="2"/>
        <v>1</v>
      </c>
      <c r="P33" s="1" t="b">
        <v>0</v>
      </c>
      <c r="Q33" s="1" t="b">
        <f>TRUE()</f>
        <v>1</v>
      </c>
      <c r="R33" s="4">
        <v>0.29099799999999998</v>
      </c>
      <c r="S33" s="4">
        <v>0.37256800000000001</v>
      </c>
      <c r="T33" s="10">
        <v>45971</v>
      </c>
      <c r="U33" s="2" t="s">
        <v>244</v>
      </c>
      <c r="V33" s="4">
        <v>0.17957600000000001</v>
      </c>
      <c r="W33" s="1" t="b">
        <v>1</v>
      </c>
    </row>
    <row r="34" spans="1:23" ht="60" x14ac:dyDescent="0.25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 t="shared" ref="M34:M65" si="4">_xlfn.CONCAT(I34,L34,J34)</f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 t="shared" ref="N34:N65" si="5">LEN(M34)</f>
        <v>240</v>
      </c>
      <c r="O34" s="1" t="b">
        <f t="shared" ref="O34:O65" si="6">IF(N34&lt;=250,TRUE,FALSE)</f>
        <v>1</v>
      </c>
      <c r="P34" s="1" t="b">
        <v>0</v>
      </c>
      <c r="Q34" s="1" t="b">
        <f>TRUE()</f>
        <v>1</v>
      </c>
      <c r="R34" s="4">
        <v>0</v>
      </c>
      <c r="S34" s="4">
        <v>5.372E-3</v>
      </c>
      <c r="T34" s="10">
        <v>45971</v>
      </c>
      <c r="U34" s="2" t="s">
        <v>236</v>
      </c>
      <c r="V34" s="4">
        <v>0.120976</v>
      </c>
      <c r="W34" s="1" t="b">
        <v>1</v>
      </c>
    </row>
    <row r="35" spans="1:23" ht="75" x14ac:dyDescent="0.25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 t="shared" si="4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 t="shared" si="5"/>
        <v>246</v>
      </c>
      <c r="O35" s="1" t="b">
        <f t="shared" si="6"/>
        <v>1</v>
      </c>
      <c r="P35" s="1" t="b">
        <v>0</v>
      </c>
      <c r="Q35" s="1" t="b">
        <f>TRUE()</f>
        <v>1</v>
      </c>
      <c r="R35" s="4">
        <v>0</v>
      </c>
      <c r="S35" s="4">
        <v>5.6839999999999998E-3</v>
      </c>
      <c r="T35" s="10">
        <v>45971</v>
      </c>
      <c r="U35" s="2" t="s">
        <v>237</v>
      </c>
      <c r="V35" s="4">
        <v>0.44340800000000002</v>
      </c>
      <c r="W35" s="1" t="b">
        <v>0</v>
      </c>
    </row>
    <row r="36" spans="1:23" ht="75" x14ac:dyDescent="0.25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 t="shared" si="4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 t="shared" si="5"/>
        <v>244</v>
      </c>
      <c r="O36" s="1" t="b">
        <f t="shared" si="6"/>
        <v>1</v>
      </c>
      <c r="P36" s="1" t="b">
        <v>0</v>
      </c>
      <c r="Q36" s="1" t="b">
        <f>TRUE()</f>
        <v>1</v>
      </c>
      <c r="R36" s="4">
        <v>5.4289999999999998E-3</v>
      </c>
      <c r="S36" s="4">
        <v>6.0312999999999999E-2</v>
      </c>
      <c r="T36" s="10">
        <v>45971</v>
      </c>
      <c r="U36" s="2" t="s">
        <v>238</v>
      </c>
      <c r="V36" s="4">
        <v>1.5703000000000002E-2</v>
      </c>
      <c r="W36" s="1" t="b">
        <v>1</v>
      </c>
    </row>
    <row r="37" spans="1:23" ht="75" x14ac:dyDescent="0.25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 t="shared" si="4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 t="shared" si="5"/>
        <v>247</v>
      </c>
      <c r="O37" s="1" t="b">
        <f t="shared" si="6"/>
        <v>1</v>
      </c>
      <c r="P37" s="1" t="b">
        <v>0</v>
      </c>
      <c r="Q37" s="1" t="b">
        <f>TRUE()</f>
        <v>1</v>
      </c>
      <c r="R37" s="4">
        <v>7.3824000000000001E-2</v>
      </c>
      <c r="S37" s="4">
        <v>0.14274700000000001</v>
      </c>
      <c r="T37" s="10">
        <v>45971</v>
      </c>
      <c r="U37" s="2" t="s">
        <v>239</v>
      </c>
      <c r="V37" s="4">
        <v>0</v>
      </c>
      <c r="W37" s="1" t="b">
        <v>0</v>
      </c>
    </row>
    <row r="38" spans="1:23" ht="60" x14ac:dyDescent="0.25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 t="shared" si="4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 t="shared" si="5"/>
        <v>237</v>
      </c>
      <c r="O38" s="1" t="b">
        <f t="shared" si="6"/>
        <v>1</v>
      </c>
      <c r="P38" s="1" t="b">
        <v>0</v>
      </c>
      <c r="Q38" s="1" t="b">
        <f>TRUE()</f>
        <v>1</v>
      </c>
      <c r="R38" s="4">
        <v>0</v>
      </c>
      <c r="S38" s="4">
        <v>5.7530000000000003E-3</v>
      </c>
      <c r="T38" s="10">
        <v>45971</v>
      </c>
      <c r="U38" s="2" t="s">
        <v>241</v>
      </c>
      <c r="V38" s="4">
        <v>5.2269999999999999E-3</v>
      </c>
      <c r="W38" s="1" t="b">
        <v>0</v>
      </c>
    </row>
    <row r="39" spans="1:23" ht="60" x14ac:dyDescent="0.25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 t="shared" si="4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 t="shared" si="5"/>
        <v>238</v>
      </c>
      <c r="O39" s="1" t="b">
        <f t="shared" si="6"/>
        <v>1</v>
      </c>
      <c r="P39" s="1" t="b">
        <v>0</v>
      </c>
      <c r="Q39" s="1" t="b">
        <f>TRUE()</f>
        <v>1</v>
      </c>
      <c r="R39" s="4">
        <v>0</v>
      </c>
      <c r="S39" s="4">
        <v>5.0790000000000002E-3</v>
      </c>
      <c r="T39" s="10">
        <v>45971</v>
      </c>
      <c r="U39" s="2" t="s">
        <v>240</v>
      </c>
      <c r="V39" s="4">
        <v>5.0480000000000004E-3</v>
      </c>
      <c r="W39" s="1" t="b">
        <v>0</v>
      </c>
    </row>
    <row r="40" spans="1:23" ht="75" x14ac:dyDescent="0.25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 t="shared" si="4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 t="shared" si="5"/>
        <v>248</v>
      </c>
      <c r="O40" s="1" t="b">
        <f t="shared" si="6"/>
        <v>1</v>
      </c>
      <c r="P40" s="1" t="b">
        <v>0</v>
      </c>
      <c r="Q40" s="1" t="b">
        <f>TRUE()</f>
        <v>1</v>
      </c>
      <c r="R40" s="4">
        <v>5.6490000000000004E-3</v>
      </c>
      <c r="S40" s="4">
        <v>1.4251E-2</v>
      </c>
      <c r="T40" s="10">
        <v>45971</v>
      </c>
      <c r="U40" s="2" t="s">
        <v>242</v>
      </c>
      <c r="V40" s="4">
        <v>0.11568299999999999</v>
      </c>
      <c r="W40" s="1" t="b">
        <v>1</v>
      </c>
    </row>
    <row r="41" spans="1:23" ht="75" x14ac:dyDescent="0.25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 t="shared" si="4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 t="shared" si="5"/>
        <v>246</v>
      </c>
      <c r="O41" s="1" t="b">
        <f t="shared" si="6"/>
        <v>1</v>
      </c>
      <c r="P41" s="1" t="b">
        <v>0</v>
      </c>
      <c r="Q41" s="1" t="b">
        <f>TRUE()</f>
        <v>1</v>
      </c>
      <c r="R41" s="4">
        <v>0</v>
      </c>
      <c r="S41" s="4">
        <v>5.3359999999999996E-3</v>
      </c>
      <c r="T41" s="10">
        <v>45972</v>
      </c>
      <c r="U41" s="2" t="s">
        <v>246</v>
      </c>
      <c r="V41" s="4">
        <v>0.152167</v>
      </c>
      <c r="W41" s="1" t="b">
        <v>1</v>
      </c>
    </row>
    <row r="42" spans="1:23" ht="60" x14ac:dyDescent="0.25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 t="shared" si="4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 t="shared" si="5"/>
        <v>241</v>
      </c>
      <c r="O42" s="1" t="b">
        <f t="shared" si="6"/>
        <v>1</v>
      </c>
      <c r="P42" s="1" t="b">
        <v>0</v>
      </c>
      <c r="Q42" s="1" t="b">
        <f>TRUE()</f>
        <v>1</v>
      </c>
      <c r="R42" s="4">
        <v>0</v>
      </c>
      <c r="S42" s="4">
        <v>0</v>
      </c>
      <c r="T42" s="10">
        <v>45972</v>
      </c>
      <c r="U42" s="2" t="s">
        <v>248</v>
      </c>
      <c r="V42" s="4">
        <v>0.28608699999999998</v>
      </c>
      <c r="W42" s="1" t="b">
        <v>0</v>
      </c>
    </row>
    <row r="43" spans="1:23" ht="60" x14ac:dyDescent="0.25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 t="shared" si="4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 t="shared" si="5"/>
        <v>233</v>
      </c>
      <c r="O43" s="1" t="b">
        <f t="shared" si="6"/>
        <v>1</v>
      </c>
      <c r="P43" s="1" t="b">
        <v>0</v>
      </c>
      <c r="Q43" s="1" t="b">
        <f>TRUE()</f>
        <v>1</v>
      </c>
      <c r="R43" s="4">
        <v>0</v>
      </c>
      <c r="S43" s="4">
        <v>0</v>
      </c>
      <c r="T43" s="10">
        <v>45972</v>
      </c>
      <c r="U43" s="2" t="s">
        <v>247</v>
      </c>
      <c r="V43" s="4">
        <v>0.35572100000000001</v>
      </c>
      <c r="W43" s="1" t="b">
        <v>0</v>
      </c>
    </row>
    <row r="44" spans="1:23" ht="60" x14ac:dyDescent="0.25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 t="shared" si="4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 t="shared" si="5"/>
        <v>234</v>
      </c>
      <c r="O44" s="1" t="b">
        <f t="shared" si="6"/>
        <v>1</v>
      </c>
      <c r="P44" s="1" t="b">
        <v>0</v>
      </c>
      <c r="Q44" s="1" t="b">
        <f>TRUE()</f>
        <v>1</v>
      </c>
      <c r="R44" s="4">
        <v>0</v>
      </c>
      <c r="S44" s="4">
        <v>5.7590000000000002E-3</v>
      </c>
      <c r="T44" s="10">
        <v>45972</v>
      </c>
      <c r="U44" s="2" t="s">
        <v>250</v>
      </c>
      <c r="V44" s="4">
        <v>0.29531000000000002</v>
      </c>
      <c r="W44" s="1" t="b">
        <v>0</v>
      </c>
    </row>
    <row r="45" spans="1:23" ht="60" x14ac:dyDescent="0.25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 t="shared" si="4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 t="shared" si="5"/>
        <v>242</v>
      </c>
      <c r="O45" s="1" t="b">
        <f t="shared" si="6"/>
        <v>1</v>
      </c>
      <c r="P45" s="1" t="b">
        <v>0</v>
      </c>
      <c r="Q45" s="1" t="b">
        <f>TRUE()</f>
        <v>1</v>
      </c>
      <c r="R45" s="4">
        <v>0</v>
      </c>
      <c r="S45" s="4">
        <v>5.1970000000000002E-3</v>
      </c>
      <c r="T45" s="10">
        <v>45972</v>
      </c>
      <c r="U45" s="2" t="s">
        <v>249</v>
      </c>
      <c r="V45" s="4">
        <v>0.27838000000000002</v>
      </c>
      <c r="W45" s="1" t="b">
        <v>1</v>
      </c>
    </row>
    <row r="46" spans="1:23" ht="75" x14ac:dyDescent="0.25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 t="shared" si="4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 t="shared" si="5"/>
        <v>247</v>
      </c>
      <c r="O46" s="1" t="b">
        <f t="shared" si="6"/>
        <v>1</v>
      </c>
      <c r="P46" s="1" t="b">
        <v>0</v>
      </c>
      <c r="Q46" s="1" t="b">
        <f>TRUE()</f>
        <v>1</v>
      </c>
      <c r="R46" s="4">
        <v>5.5849999999999997E-3</v>
      </c>
      <c r="S46" s="4">
        <v>5.5849999999999997E-3</v>
      </c>
      <c r="T46" s="10">
        <v>45972</v>
      </c>
      <c r="U46" s="2" t="s">
        <v>189</v>
      </c>
      <c r="V46" s="4">
        <v>0.35131800000000002</v>
      </c>
      <c r="W46" s="1" t="b">
        <v>0</v>
      </c>
    </row>
    <row r="47" spans="1:23" ht="75" x14ac:dyDescent="0.25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 t="shared" si="4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 t="shared" si="5"/>
        <v>247</v>
      </c>
      <c r="O47" s="1" t="b">
        <f t="shared" si="6"/>
        <v>1</v>
      </c>
      <c r="P47" s="1" t="b">
        <v>0</v>
      </c>
      <c r="Q47" s="1" t="b">
        <f>TRUE()</f>
        <v>1</v>
      </c>
      <c r="R47" s="4">
        <v>0</v>
      </c>
      <c r="S47" s="4">
        <v>1.9698E-2</v>
      </c>
      <c r="T47" s="10">
        <v>45972</v>
      </c>
      <c r="U47" s="2" t="s">
        <v>253</v>
      </c>
      <c r="V47" s="4">
        <v>7.9927999999999999E-2</v>
      </c>
      <c r="W47" s="1" t="b">
        <v>0</v>
      </c>
    </row>
    <row r="48" spans="1:23" ht="60" x14ac:dyDescent="0.25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 t="shared" si="4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 t="shared" si="5"/>
        <v>241</v>
      </c>
      <c r="O48" s="1" t="b">
        <f t="shared" si="6"/>
        <v>1</v>
      </c>
      <c r="P48" s="1" t="b">
        <v>0</v>
      </c>
      <c r="Q48" s="1" t="b">
        <f>TRUE()</f>
        <v>1</v>
      </c>
      <c r="R48" s="4">
        <v>0</v>
      </c>
      <c r="S48" s="4">
        <v>0</v>
      </c>
      <c r="T48" s="10">
        <v>45972</v>
      </c>
      <c r="U48" s="2" t="s">
        <v>254</v>
      </c>
      <c r="V48" s="4">
        <v>4.8339999999999998E-3</v>
      </c>
      <c r="W48" s="1" t="b">
        <v>0</v>
      </c>
    </row>
    <row r="49" spans="1:23" ht="60" x14ac:dyDescent="0.25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 t="shared" si="4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 t="shared" si="5"/>
        <v>242</v>
      </c>
      <c r="O49" s="1" t="b">
        <f t="shared" si="6"/>
        <v>1</v>
      </c>
      <c r="P49" s="1" t="b">
        <v>0</v>
      </c>
      <c r="Q49" s="1" t="b">
        <f>TRUE()</f>
        <v>1</v>
      </c>
      <c r="T49" s="10">
        <v>45972</v>
      </c>
      <c r="U49" s="2" t="s">
        <v>251</v>
      </c>
      <c r="V49" s="4">
        <v>0.51755099999999998</v>
      </c>
      <c r="W49" s="1" t="b">
        <v>1</v>
      </c>
    </row>
    <row r="50" spans="1:23" ht="75" x14ac:dyDescent="0.25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 t="shared" si="4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 t="shared" si="5"/>
        <v>245</v>
      </c>
      <c r="O50" s="1" t="b">
        <f t="shared" si="6"/>
        <v>1</v>
      </c>
      <c r="P50" s="1" t="b">
        <v>0</v>
      </c>
      <c r="Q50" s="1" t="b">
        <f>TRUE()</f>
        <v>1</v>
      </c>
      <c r="R50" s="4">
        <v>0</v>
      </c>
      <c r="S50" s="4">
        <v>0</v>
      </c>
      <c r="T50" s="10">
        <v>45972</v>
      </c>
      <c r="U50" s="2" t="s">
        <v>252</v>
      </c>
      <c r="V50" s="4">
        <v>0.40934900000000002</v>
      </c>
      <c r="W50" s="1" t="b">
        <v>1</v>
      </c>
    </row>
    <row r="51" spans="1:23" ht="75" x14ac:dyDescent="0.25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 t="shared" si="4"/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 t="shared" si="5"/>
        <v>243</v>
      </c>
      <c r="O51" s="1" t="b">
        <f t="shared" si="6"/>
        <v>1</v>
      </c>
      <c r="P51" s="1" t="b">
        <v>0</v>
      </c>
      <c r="Q51" s="1" t="b">
        <f>TRUE()</f>
        <v>1</v>
      </c>
      <c r="R51" s="4">
        <v>0.54889900000000003</v>
      </c>
      <c r="S51" s="4">
        <v>0.65651000000000004</v>
      </c>
      <c r="T51" s="10">
        <v>45973</v>
      </c>
      <c r="U51" s="2" t="s">
        <v>345</v>
      </c>
      <c r="V51" s="4">
        <v>0.46119900000000003</v>
      </c>
      <c r="W51" s="1" t="b">
        <v>0</v>
      </c>
    </row>
    <row r="52" spans="1:23" ht="60" x14ac:dyDescent="0.25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 t="shared" si="4"/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 t="shared" si="5"/>
        <v>241</v>
      </c>
      <c r="O52" s="1" t="b">
        <f t="shared" si="6"/>
        <v>1</v>
      </c>
      <c r="P52" s="1" t="b">
        <v>0</v>
      </c>
      <c r="Q52" s="1" t="b">
        <f>TRUE()</f>
        <v>1</v>
      </c>
      <c r="R52" s="4">
        <v>5.4320000000000002E-3</v>
      </c>
      <c r="S52" s="4">
        <v>2.4593E-2</v>
      </c>
      <c r="T52" s="10">
        <v>45973</v>
      </c>
      <c r="U52" s="2" t="s">
        <v>346</v>
      </c>
      <c r="V52" s="4">
        <v>0.43406800000000001</v>
      </c>
      <c r="W52" s="1" t="b">
        <v>0</v>
      </c>
    </row>
    <row r="53" spans="1:23" ht="60" x14ac:dyDescent="0.25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 t="shared" si="4"/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 t="shared" si="5"/>
        <v>243</v>
      </c>
      <c r="O53" s="1" t="b">
        <f t="shared" si="6"/>
        <v>1</v>
      </c>
      <c r="P53" s="1" t="b">
        <v>0</v>
      </c>
      <c r="Q53" s="1" t="b">
        <f>TRUE()</f>
        <v>1</v>
      </c>
      <c r="R53" s="4">
        <v>0.13125000000000001</v>
      </c>
      <c r="S53" s="4">
        <v>0.22309999999999999</v>
      </c>
      <c r="T53" s="10">
        <v>45973</v>
      </c>
      <c r="U53" s="2" t="s">
        <v>347</v>
      </c>
      <c r="V53" s="4">
        <v>4.9569999999999996E-3</v>
      </c>
      <c r="W53" s="1" t="b">
        <v>1</v>
      </c>
    </row>
    <row r="54" spans="1:23" ht="75" x14ac:dyDescent="0.25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 t="shared" si="4"/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 t="shared" si="5"/>
        <v>245</v>
      </c>
      <c r="O54" s="1" t="b">
        <f t="shared" si="6"/>
        <v>1</v>
      </c>
      <c r="P54" s="1" t="b">
        <v>0</v>
      </c>
      <c r="Q54" s="1" t="b">
        <f>TRUE()</f>
        <v>1</v>
      </c>
      <c r="R54" s="4">
        <v>0</v>
      </c>
      <c r="S54" s="4">
        <v>4.986E-3</v>
      </c>
      <c r="T54" s="10">
        <v>45974</v>
      </c>
      <c r="U54" s="2" t="s">
        <v>372</v>
      </c>
      <c r="V54" s="4">
        <v>0.63002499999999995</v>
      </c>
      <c r="W54" s="1" t="b">
        <v>0</v>
      </c>
    </row>
    <row r="55" spans="1:23" ht="60" x14ac:dyDescent="0.25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 t="shared" si="4"/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 t="shared" si="5"/>
        <v>240</v>
      </c>
      <c r="O55" s="1" t="b">
        <f t="shared" si="6"/>
        <v>1</v>
      </c>
      <c r="P55" s="1" t="b">
        <v>0</v>
      </c>
      <c r="Q55" s="1" t="b">
        <f>TRUE()</f>
        <v>1</v>
      </c>
      <c r="R55" s="4">
        <v>5.679E-3</v>
      </c>
      <c r="S55" s="4">
        <v>5.7196999999999998E-2</v>
      </c>
      <c r="T55" s="10">
        <v>45974</v>
      </c>
      <c r="U55" s="11" t="s">
        <v>381</v>
      </c>
      <c r="W55" s="1" t="b">
        <v>0</v>
      </c>
    </row>
    <row r="56" spans="1:23" ht="75" x14ac:dyDescent="0.25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 t="shared" si="4"/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 t="shared" si="5"/>
        <v>245</v>
      </c>
      <c r="O56" s="1" t="b">
        <f t="shared" si="6"/>
        <v>1</v>
      </c>
      <c r="P56" s="1" t="b">
        <v>0</v>
      </c>
      <c r="Q56" s="1" t="b">
        <f>TRUE()</f>
        <v>1</v>
      </c>
      <c r="R56" s="4">
        <v>0</v>
      </c>
      <c r="S56" s="4">
        <v>5.3839999999999999E-3</v>
      </c>
      <c r="T56" s="10">
        <v>45974</v>
      </c>
      <c r="U56" s="2" t="s">
        <v>373</v>
      </c>
      <c r="V56" s="4">
        <v>0.33044200000000001</v>
      </c>
      <c r="W56" s="1" t="b">
        <v>0</v>
      </c>
    </row>
    <row r="57" spans="1:23" ht="60" x14ac:dyDescent="0.25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 t="shared" si="4"/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 t="shared" si="5"/>
        <v>240</v>
      </c>
      <c r="O57" s="1" t="b">
        <f t="shared" si="6"/>
        <v>1</v>
      </c>
      <c r="P57" s="1" t="b">
        <v>0</v>
      </c>
      <c r="Q57" s="1" t="b">
        <f>TRUE()</f>
        <v>1</v>
      </c>
      <c r="R57" s="4">
        <v>0</v>
      </c>
      <c r="S57" s="4">
        <v>0</v>
      </c>
      <c r="T57" s="10">
        <v>45976</v>
      </c>
      <c r="U57" s="11" t="s">
        <v>381</v>
      </c>
      <c r="W57" s="1" t="b">
        <v>0</v>
      </c>
    </row>
    <row r="58" spans="1:23" ht="75" x14ac:dyDescent="0.25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 t="shared" si="4"/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 t="shared" si="5"/>
        <v>249</v>
      </c>
      <c r="O58" s="1" t="b">
        <f t="shared" si="6"/>
        <v>1</v>
      </c>
      <c r="P58" s="1" t="b">
        <v>0</v>
      </c>
      <c r="Q58" s="1" t="b">
        <f>TRUE()</f>
        <v>1</v>
      </c>
      <c r="R58" s="4">
        <v>6.9049999999999997E-3</v>
      </c>
      <c r="S58" s="4">
        <v>7.6717999999999995E-2</v>
      </c>
      <c r="T58" s="10">
        <v>45976</v>
      </c>
      <c r="U58" s="2" t="s">
        <v>474</v>
      </c>
      <c r="V58" s="4">
        <v>0.49204199999999998</v>
      </c>
      <c r="W58" s="1" t="b">
        <v>1</v>
      </c>
    </row>
    <row r="59" spans="1:23" ht="60" x14ac:dyDescent="0.25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 t="shared" si="4"/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 t="shared" si="5"/>
        <v>240</v>
      </c>
      <c r="O59" s="1" t="b">
        <f t="shared" si="6"/>
        <v>1</v>
      </c>
      <c r="P59" s="1" t="b">
        <v>0</v>
      </c>
      <c r="Q59" s="1" t="b">
        <f>TRUE()</f>
        <v>1</v>
      </c>
      <c r="R59" s="4">
        <v>0.16498099999999999</v>
      </c>
      <c r="S59" s="4">
        <v>0.26647999999999999</v>
      </c>
      <c r="T59" s="10"/>
      <c r="U59" s="11" t="s">
        <v>381</v>
      </c>
      <c r="W59" s="1" t="b">
        <v>0</v>
      </c>
    </row>
    <row r="60" spans="1:23" ht="60" x14ac:dyDescent="0.25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 t="shared" si="4"/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 t="shared" si="5"/>
        <v>242</v>
      </c>
      <c r="O60" s="1" t="b">
        <f t="shared" si="6"/>
        <v>1</v>
      </c>
      <c r="P60" s="1" t="b">
        <v>0</v>
      </c>
      <c r="Q60" s="1" t="b">
        <f>TRUE()</f>
        <v>1</v>
      </c>
      <c r="R60" s="4">
        <v>0</v>
      </c>
      <c r="S60" s="4">
        <v>1.0189999999999999E-2</v>
      </c>
      <c r="T60" s="10"/>
      <c r="U60" s="11" t="s">
        <v>381</v>
      </c>
      <c r="W60" s="1" t="b">
        <v>1</v>
      </c>
    </row>
    <row r="61" spans="1:23" ht="60" x14ac:dyDescent="0.25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 t="shared" si="4"/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 t="shared" si="5"/>
        <v>242</v>
      </c>
      <c r="O61" s="1" t="b">
        <f t="shared" si="6"/>
        <v>1</v>
      </c>
      <c r="P61" s="1" t="b">
        <v>0</v>
      </c>
      <c r="Q61" s="1" t="b">
        <f>TRUE()</f>
        <v>1</v>
      </c>
      <c r="R61" s="4">
        <v>0</v>
      </c>
      <c r="S61" s="4">
        <v>5.0220000000000004E-3</v>
      </c>
      <c r="T61" s="10">
        <v>45973</v>
      </c>
      <c r="U61" s="2" t="s">
        <v>349</v>
      </c>
      <c r="V61" s="4">
        <v>0</v>
      </c>
      <c r="W61" s="1" t="b">
        <v>1</v>
      </c>
    </row>
    <row r="62" spans="1:23" ht="60" x14ac:dyDescent="0.25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 t="shared" si="4"/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 t="shared" si="5"/>
        <v>240</v>
      </c>
      <c r="O62" s="1" t="b">
        <f t="shared" si="6"/>
        <v>1</v>
      </c>
      <c r="P62" s="1" t="b">
        <v>0</v>
      </c>
      <c r="Q62" s="1" t="b">
        <f>TRUE()</f>
        <v>1</v>
      </c>
      <c r="R62" s="4">
        <v>0</v>
      </c>
      <c r="S62" s="4">
        <v>1.2418E-2</v>
      </c>
      <c r="T62" s="10">
        <v>45973</v>
      </c>
      <c r="U62" s="2" t="s">
        <v>348</v>
      </c>
      <c r="V62" s="4">
        <v>5.9379999999999997E-3</v>
      </c>
      <c r="W62" s="1" t="b">
        <v>0</v>
      </c>
    </row>
    <row r="63" spans="1:23" ht="75" x14ac:dyDescent="0.25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 t="shared" si="4"/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 t="shared" si="5"/>
        <v>243</v>
      </c>
      <c r="O63" s="1" t="b">
        <f t="shared" si="6"/>
        <v>1</v>
      </c>
      <c r="P63" s="1" t="b">
        <v>0</v>
      </c>
      <c r="Q63" s="1" t="b">
        <f>TRUE()</f>
        <v>1</v>
      </c>
      <c r="R63" s="4">
        <v>0.13139000000000001</v>
      </c>
      <c r="S63" s="4">
        <v>0.20833399999999999</v>
      </c>
      <c r="T63" s="10">
        <v>45973</v>
      </c>
      <c r="U63" s="2" t="s">
        <v>351</v>
      </c>
      <c r="V63" s="4">
        <v>9.3369999999999998E-3</v>
      </c>
      <c r="W63" s="1" t="b">
        <v>1</v>
      </c>
    </row>
    <row r="64" spans="1:23" ht="60" x14ac:dyDescent="0.25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 t="shared" si="4"/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 t="shared" si="5"/>
        <v>238</v>
      </c>
      <c r="O64" s="1" t="b">
        <f t="shared" si="6"/>
        <v>1</v>
      </c>
      <c r="P64" s="1" t="b">
        <v>0</v>
      </c>
      <c r="Q64" s="1" t="b">
        <f>TRUE()</f>
        <v>1</v>
      </c>
      <c r="R64" s="4">
        <v>0</v>
      </c>
      <c r="S64" s="4">
        <v>5.0930000000000003E-3</v>
      </c>
      <c r="T64" s="10">
        <v>45974</v>
      </c>
      <c r="U64" s="2" t="s">
        <v>374</v>
      </c>
      <c r="V64" s="4">
        <v>0.29275600000000002</v>
      </c>
      <c r="W64" s="1" t="b">
        <v>0</v>
      </c>
    </row>
    <row r="65" spans="1:23" ht="75" x14ac:dyDescent="0.25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 t="shared" si="4"/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 t="shared" si="5"/>
        <v>246</v>
      </c>
      <c r="O65" s="1" t="b">
        <f t="shared" si="6"/>
        <v>1</v>
      </c>
      <c r="P65" s="1" t="b">
        <v>0</v>
      </c>
      <c r="Q65" s="1" t="b">
        <f>TRUE()</f>
        <v>1</v>
      </c>
      <c r="R65" s="4">
        <v>0</v>
      </c>
      <c r="S65" s="4">
        <v>0</v>
      </c>
      <c r="T65" s="10">
        <v>45974</v>
      </c>
      <c r="U65" s="2" t="s">
        <v>377</v>
      </c>
      <c r="V65" s="4">
        <v>0.112092</v>
      </c>
      <c r="W65" s="1" t="b">
        <v>0</v>
      </c>
    </row>
    <row r="66" spans="1:23" ht="75" x14ac:dyDescent="0.25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 t="shared" ref="M66:M97" si="7">_xlfn.CONCAT(I66,L66,J66)</f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 t="shared" ref="N66:N97" si="8">LEN(M66)</f>
        <v>246</v>
      </c>
      <c r="O66" s="1" t="b">
        <f t="shared" ref="O66:O97" si="9">IF(N66&lt;=250,TRUE,FALSE)</f>
        <v>1</v>
      </c>
      <c r="P66" s="1" t="b">
        <v>0</v>
      </c>
      <c r="Q66" s="1" t="b">
        <f>TRUE()</f>
        <v>1</v>
      </c>
      <c r="R66" s="4">
        <v>5.4320000000000002E-3</v>
      </c>
      <c r="S66" s="4">
        <v>3.7756999999999999E-2</v>
      </c>
      <c r="T66" s="10">
        <v>45974</v>
      </c>
      <c r="U66" s="2" t="s">
        <v>375</v>
      </c>
      <c r="V66" s="4">
        <v>0.498143</v>
      </c>
      <c r="W66" s="1" t="b">
        <v>0</v>
      </c>
    </row>
    <row r="67" spans="1:23" ht="60" x14ac:dyDescent="0.25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 t="shared" si="7"/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 t="shared" si="8"/>
        <v>235</v>
      </c>
      <c r="O67" s="1" t="b">
        <f t="shared" si="9"/>
        <v>1</v>
      </c>
      <c r="P67" s="1" t="b">
        <v>0</v>
      </c>
      <c r="Q67" s="1" t="b">
        <f>TRUE()</f>
        <v>1</v>
      </c>
      <c r="R67" s="4">
        <v>0</v>
      </c>
      <c r="S67" s="4">
        <v>5.1409999999999997E-3</v>
      </c>
      <c r="T67" s="10">
        <v>45976</v>
      </c>
      <c r="U67" s="2" t="s">
        <v>475</v>
      </c>
      <c r="V67" s="4">
        <v>5.3290000000000004E-3</v>
      </c>
      <c r="W67" s="1" t="b">
        <v>0</v>
      </c>
    </row>
    <row r="68" spans="1:23" ht="60" x14ac:dyDescent="0.25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 t="shared" si="7"/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 t="shared" si="8"/>
        <v>241</v>
      </c>
      <c r="O68" s="1" t="b">
        <f t="shared" si="9"/>
        <v>1</v>
      </c>
      <c r="P68" s="1" t="b">
        <v>0</v>
      </c>
      <c r="Q68" s="1" t="b">
        <f>TRUE()</f>
        <v>1</v>
      </c>
      <c r="R68" s="4">
        <v>5.9430000000000004E-3</v>
      </c>
      <c r="S68" s="4">
        <v>8.7933999999999998E-2</v>
      </c>
      <c r="T68" s="10">
        <v>45976</v>
      </c>
      <c r="U68" s="2" t="s">
        <v>476</v>
      </c>
      <c r="V68" s="4">
        <v>0.20996500000000001</v>
      </c>
      <c r="W68" s="1" t="b">
        <v>0</v>
      </c>
    </row>
    <row r="69" spans="1:23" ht="60" x14ac:dyDescent="0.25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 t="shared" si="7"/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 t="shared" si="8"/>
        <v>240</v>
      </c>
      <c r="O69" s="1" t="b">
        <f t="shared" si="9"/>
        <v>1</v>
      </c>
      <c r="P69" s="1" t="b">
        <v>0</v>
      </c>
      <c r="Q69" s="1" t="b">
        <f>TRUE()</f>
        <v>1</v>
      </c>
      <c r="R69" s="4">
        <v>0</v>
      </c>
      <c r="S69" s="4">
        <v>5.2589999999999998E-3</v>
      </c>
      <c r="T69" s="10">
        <v>45977</v>
      </c>
      <c r="U69" s="2" t="s">
        <v>483</v>
      </c>
      <c r="V69" s="4">
        <v>0.293068</v>
      </c>
      <c r="W69" s="1" t="b">
        <v>0</v>
      </c>
    </row>
    <row r="70" spans="1:23" ht="60" x14ac:dyDescent="0.25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 t="shared" si="7"/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 t="shared" si="8"/>
        <v>239</v>
      </c>
      <c r="O70" s="1" t="b">
        <f t="shared" si="9"/>
        <v>1</v>
      </c>
      <c r="P70" s="1" t="b">
        <v>0</v>
      </c>
      <c r="Q70" s="1" t="b">
        <f>TRUE()</f>
        <v>1</v>
      </c>
      <c r="R70" s="4">
        <v>0</v>
      </c>
      <c r="S70" s="4">
        <v>0</v>
      </c>
      <c r="T70" s="10"/>
      <c r="U70" s="11" t="s">
        <v>381</v>
      </c>
      <c r="W70" s="1" t="b">
        <v>0</v>
      </c>
    </row>
    <row r="71" spans="1:23" ht="75" x14ac:dyDescent="0.25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 t="shared" si="7"/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 t="shared" si="8"/>
        <v>249</v>
      </c>
      <c r="O71" s="1" t="b">
        <f t="shared" si="9"/>
        <v>1</v>
      </c>
      <c r="P71" s="1" t="b">
        <v>0</v>
      </c>
      <c r="Q71" s="1" t="b">
        <f>TRUE()</f>
        <v>1</v>
      </c>
      <c r="R71" s="4">
        <v>0</v>
      </c>
      <c r="S71" s="4">
        <v>5.0299999999999997E-3</v>
      </c>
      <c r="T71" s="10">
        <v>45973</v>
      </c>
      <c r="U71" s="2" t="s">
        <v>354</v>
      </c>
      <c r="V71" s="4">
        <v>5.2950000000000002E-3</v>
      </c>
      <c r="W71" s="1" t="b">
        <v>0</v>
      </c>
    </row>
    <row r="72" spans="1:23" ht="60" x14ac:dyDescent="0.25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 t="shared" si="7"/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 t="shared" si="8"/>
        <v>241</v>
      </c>
      <c r="O72" s="1" t="b">
        <f t="shared" si="9"/>
        <v>1</v>
      </c>
      <c r="P72" s="1" t="b">
        <v>0</v>
      </c>
      <c r="Q72" s="1" t="b">
        <f>TRUE()</f>
        <v>1</v>
      </c>
      <c r="R72" s="4">
        <v>5.0870000000000004E-3</v>
      </c>
      <c r="S72" s="4">
        <v>4.0273000000000003E-2</v>
      </c>
      <c r="T72" s="10">
        <v>45973</v>
      </c>
      <c r="U72" s="2" t="s">
        <v>352</v>
      </c>
      <c r="V72" s="4">
        <v>0</v>
      </c>
      <c r="W72" s="1" t="b">
        <v>1</v>
      </c>
    </row>
    <row r="73" spans="1:23" ht="60" x14ac:dyDescent="0.25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 t="shared" si="7"/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 t="shared" si="8"/>
        <v>240</v>
      </c>
      <c r="O73" s="1" t="b">
        <f t="shared" si="9"/>
        <v>1</v>
      </c>
      <c r="P73" s="1" t="b">
        <v>0</v>
      </c>
      <c r="Q73" s="1" t="b">
        <f>TRUE()</f>
        <v>1</v>
      </c>
      <c r="R73" s="4">
        <v>0</v>
      </c>
      <c r="S73" s="4">
        <v>5.0660000000000002E-3</v>
      </c>
      <c r="T73" s="10">
        <v>45973</v>
      </c>
      <c r="U73" s="2" t="s">
        <v>350</v>
      </c>
      <c r="V73" s="4">
        <v>5.0549999999999996E-3</v>
      </c>
      <c r="W73" s="1" t="b">
        <v>0</v>
      </c>
    </row>
    <row r="74" spans="1:23" ht="75" x14ac:dyDescent="0.25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 t="shared" si="7"/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 t="shared" si="8"/>
        <v>242</v>
      </c>
      <c r="O74" s="1" t="b">
        <f t="shared" si="9"/>
        <v>1</v>
      </c>
      <c r="P74" s="1" t="b">
        <v>0</v>
      </c>
      <c r="Q74" s="1" t="b">
        <f>TRUE()</f>
        <v>1</v>
      </c>
      <c r="R74" s="4">
        <v>0</v>
      </c>
      <c r="S74" s="4">
        <v>0</v>
      </c>
      <c r="T74" s="10">
        <v>45974</v>
      </c>
      <c r="U74" s="2" t="s">
        <v>376</v>
      </c>
      <c r="V74" s="4">
        <v>0.17583499999999999</v>
      </c>
      <c r="W74" s="1" t="b">
        <v>0</v>
      </c>
    </row>
    <row r="75" spans="1:23" ht="60" x14ac:dyDescent="0.25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 t="shared" si="7"/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 t="shared" si="8"/>
        <v>243</v>
      </c>
      <c r="O75" s="1" t="b">
        <f t="shared" si="9"/>
        <v>1</v>
      </c>
      <c r="P75" s="1" t="b">
        <v>0</v>
      </c>
      <c r="Q75" s="1" t="b">
        <f>TRUE()</f>
        <v>1</v>
      </c>
      <c r="R75" s="4">
        <v>4.8799999999999998E-3</v>
      </c>
      <c r="S75" s="4">
        <v>4.8799999999999998E-3</v>
      </c>
      <c r="T75" s="10">
        <v>45974</v>
      </c>
      <c r="U75" s="2" t="s">
        <v>380</v>
      </c>
      <c r="V75" s="4">
        <v>0</v>
      </c>
      <c r="W75" s="1" t="b">
        <v>0</v>
      </c>
    </row>
    <row r="76" spans="1:23" ht="60" x14ac:dyDescent="0.25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 t="shared" si="7"/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 t="shared" si="8"/>
        <v>237</v>
      </c>
      <c r="O76" s="1" t="b">
        <f t="shared" si="9"/>
        <v>1</v>
      </c>
      <c r="P76" s="1" t="b">
        <v>0</v>
      </c>
      <c r="Q76" s="1" t="b">
        <f>TRUE()</f>
        <v>1</v>
      </c>
      <c r="R76" s="4">
        <v>0</v>
      </c>
      <c r="S76" s="4">
        <v>5.3730000000000002E-3</v>
      </c>
      <c r="T76" s="10">
        <v>45974</v>
      </c>
      <c r="U76" s="2" t="s">
        <v>379</v>
      </c>
      <c r="V76" s="4">
        <v>5.666E-3</v>
      </c>
      <c r="W76" s="1" t="b">
        <v>0</v>
      </c>
    </row>
    <row r="77" spans="1:23" ht="60" x14ac:dyDescent="0.25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 t="shared" si="7"/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 t="shared" si="8"/>
        <v>237</v>
      </c>
      <c r="O77" s="1" t="b">
        <f t="shared" si="9"/>
        <v>1</v>
      </c>
      <c r="P77" s="1" t="b">
        <v>0</v>
      </c>
      <c r="Q77" s="1" t="b">
        <f>TRUE()</f>
        <v>1</v>
      </c>
      <c r="R77" s="4">
        <v>0</v>
      </c>
      <c r="S77" s="4">
        <v>0</v>
      </c>
      <c r="T77" s="10">
        <v>45976</v>
      </c>
      <c r="U77" s="2" t="s">
        <v>477</v>
      </c>
      <c r="V77" s="4">
        <v>0</v>
      </c>
      <c r="W77" s="1" t="b">
        <v>0</v>
      </c>
    </row>
    <row r="78" spans="1:23" ht="75" x14ac:dyDescent="0.25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 t="shared" si="7"/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 t="shared" si="8"/>
        <v>247</v>
      </c>
      <c r="O78" s="1" t="b">
        <f t="shared" si="9"/>
        <v>1</v>
      </c>
      <c r="P78" s="1" t="b">
        <v>0</v>
      </c>
      <c r="Q78" s="1" t="b">
        <f>TRUE()</f>
        <v>1</v>
      </c>
      <c r="R78" s="4">
        <v>0</v>
      </c>
      <c r="S78" s="4">
        <v>4.8869999999999999E-3</v>
      </c>
      <c r="T78" s="10">
        <v>45976</v>
      </c>
      <c r="U78" s="2" t="s">
        <v>478</v>
      </c>
      <c r="V78" s="4">
        <v>4.9170000000000004E-3</v>
      </c>
      <c r="W78" s="1" t="b">
        <v>1</v>
      </c>
    </row>
    <row r="79" spans="1:23" ht="75" x14ac:dyDescent="0.25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 t="shared" si="7"/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 t="shared" si="8"/>
        <v>243</v>
      </c>
      <c r="O79" s="1" t="b">
        <f t="shared" si="9"/>
        <v>1</v>
      </c>
      <c r="P79" s="1" t="b">
        <v>0</v>
      </c>
      <c r="Q79" s="1" t="b">
        <f>TRUE()</f>
        <v>1</v>
      </c>
      <c r="R79" s="4">
        <v>8.0009999999999994E-3</v>
      </c>
      <c r="S79" s="4">
        <v>0.10431</v>
      </c>
      <c r="T79" s="10">
        <v>45977</v>
      </c>
      <c r="U79" s="2" t="s">
        <v>491</v>
      </c>
      <c r="V79" s="4">
        <v>0</v>
      </c>
      <c r="W79" s="1" t="b">
        <v>0</v>
      </c>
    </row>
    <row r="80" spans="1:23" ht="60" x14ac:dyDescent="0.25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 t="shared" si="7"/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 t="shared" si="8"/>
        <v>240</v>
      </c>
      <c r="O80" s="1" t="b">
        <f t="shared" si="9"/>
        <v>1</v>
      </c>
      <c r="P80" s="1" t="b">
        <v>0</v>
      </c>
      <c r="Q80" s="1" t="b">
        <f>TRUE()</f>
        <v>1</v>
      </c>
      <c r="R80" s="4">
        <v>0.26539499999999999</v>
      </c>
      <c r="S80" s="4">
        <v>0.41420200000000001</v>
      </c>
      <c r="T80" s="10">
        <v>45977</v>
      </c>
      <c r="U80" s="2" t="s">
        <v>484</v>
      </c>
      <c r="V80" s="4">
        <v>0.33998800000000001</v>
      </c>
      <c r="W80" s="1" t="b">
        <v>0</v>
      </c>
    </row>
    <row r="81" spans="1:23" ht="75" x14ac:dyDescent="0.25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 t="shared" si="7"/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 t="shared" si="8"/>
        <v>243</v>
      </c>
      <c r="O81" s="1" t="b">
        <f t="shared" si="9"/>
        <v>1</v>
      </c>
      <c r="P81" s="1" t="b">
        <v>0</v>
      </c>
      <c r="Q81" s="1" t="b">
        <f>TRUE()</f>
        <v>1</v>
      </c>
      <c r="R81" s="4">
        <v>0.22428600000000001</v>
      </c>
      <c r="S81" s="4">
        <v>0.32534800000000003</v>
      </c>
      <c r="T81" s="10">
        <v>45973</v>
      </c>
      <c r="U81" s="2" t="s">
        <v>353</v>
      </c>
      <c r="V81" s="4">
        <v>0.204621</v>
      </c>
      <c r="W81" s="1" t="b">
        <v>0</v>
      </c>
    </row>
    <row r="82" spans="1:23" ht="60" x14ac:dyDescent="0.25">
      <c r="A82" s="1" t="s">
        <v>369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370</v>
      </c>
      <c r="J82" s="2" t="s">
        <v>371</v>
      </c>
      <c r="K82" s="1" t="b">
        <v>1</v>
      </c>
      <c r="L82" s="2" t="s">
        <v>125</v>
      </c>
      <c r="M82" s="2" t="str">
        <f t="shared" si="7"/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 t="shared" si="8"/>
        <v>240</v>
      </c>
      <c r="O82" s="1" t="b">
        <f t="shared" si="9"/>
        <v>1</v>
      </c>
      <c r="P82" s="1" t="b">
        <v>0</v>
      </c>
      <c r="Q82" s="1" t="b">
        <f>TRUE()</f>
        <v>1</v>
      </c>
      <c r="R82" s="4">
        <v>0</v>
      </c>
      <c r="S82" s="4">
        <v>5.3290000000000004E-3</v>
      </c>
      <c r="T82" s="10">
        <v>45974</v>
      </c>
      <c r="U82" s="2" t="s">
        <v>378</v>
      </c>
      <c r="V82" s="4">
        <v>0.53450500000000001</v>
      </c>
      <c r="W82" s="1" t="b">
        <v>0</v>
      </c>
    </row>
    <row r="83" spans="1:23" ht="60" x14ac:dyDescent="0.25">
      <c r="A83" s="1" t="s">
        <v>385</v>
      </c>
      <c r="B83" s="1" t="s">
        <v>35</v>
      </c>
      <c r="C83" s="2" t="s">
        <v>382</v>
      </c>
      <c r="D83" s="4">
        <v>0.7</v>
      </c>
      <c r="E83" s="1" t="s">
        <v>42</v>
      </c>
      <c r="G83" s="1" t="s">
        <v>258</v>
      </c>
      <c r="I83" s="2" t="s">
        <v>383</v>
      </c>
      <c r="J83" s="2" t="s">
        <v>384</v>
      </c>
      <c r="K83" s="1" t="b">
        <v>1</v>
      </c>
      <c r="L83" s="2" t="s">
        <v>125</v>
      </c>
      <c r="M83" s="2" t="str">
        <f t="shared" si="7"/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 t="shared" si="8"/>
        <v>239</v>
      </c>
      <c r="O83" s="1" t="b">
        <f t="shared" si="9"/>
        <v>1</v>
      </c>
      <c r="P83" s="1" t="b">
        <v>0</v>
      </c>
      <c r="Q83" s="1" t="b">
        <f>TRUE()</f>
        <v>1</v>
      </c>
      <c r="R83" s="4">
        <v>0</v>
      </c>
      <c r="S83" s="4">
        <v>5.1529999999999996E-3</v>
      </c>
      <c r="T83" s="10">
        <v>45976</v>
      </c>
      <c r="U83" s="2" t="s">
        <v>479</v>
      </c>
      <c r="V83" s="4">
        <v>5.4400000000000004E-3</v>
      </c>
      <c r="W83" s="1" t="b">
        <v>1</v>
      </c>
    </row>
    <row r="84" spans="1:23" ht="60" x14ac:dyDescent="0.25">
      <c r="A84" s="1" t="s">
        <v>386</v>
      </c>
      <c r="B84" s="1" t="s">
        <v>35</v>
      </c>
      <c r="C84" s="2" t="s">
        <v>382</v>
      </c>
      <c r="D84" s="4">
        <v>0.1</v>
      </c>
      <c r="E84" s="1" t="s">
        <v>42</v>
      </c>
      <c r="G84" s="1" t="s">
        <v>258</v>
      </c>
      <c r="I84" s="2" t="s">
        <v>388</v>
      </c>
      <c r="J84" s="2" t="s">
        <v>389</v>
      </c>
      <c r="K84" s="1" t="b">
        <v>1</v>
      </c>
      <c r="L84" s="2" t="s">
        <v>125</v>
      </c>
      <c r="M84" s="2" t="str">
        <f t="shared" si="7"/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 t="shared" si="8"/>
        <v>238</v>
      </c>
      <c r="O84" s="1" t="b">
        <f t="shared" si="9"/>
        <v>1</v>
      </c>
      <c r="P84" s="1" t="b">
        <v>0</v>
      </c>
      <c r="Q84" s="1" t="b">
        <f>TRUE()</f>
        <v>1</v>
      </c>
      <c r="R84" s="4">
        <v>0</v>
      </c>
      <c r="S84" s="4">
        <v>5.2469999999999999E-3</v>
      </c>
      <c r="T84" s="10">
        <v>45976</v>
      </c>
      <c r="U84" s="2" t="s">
        <v>480</v>
      </c>
      <c r="V84" s="4">
        <v>0</v>
      </c>
      <c r="W84" s="1" t="b">
        <v>1</v>
      </c>
    </row>
    <row r="85" spans="1:23" ht="60" x14ac:dyDescent="0.25">
      <c r="A85" s="1" t="s">
        <v>387</v>
      </c>
      <c r="B85" s="1" t="s">
        <v>35</v>
      </c>
      <c r="C85" s="2" t="s">
        <v>382</v>
      </c>
      <c r="D85" s="4">
        <v>0.9</v>
      </c>
      <c r="E85" s="1" t="s">
        <v>42</v>
      </c>
      <c r="G85" s="1" t="s">
        <v>258</v>
      </c>
      <c r="I85" s="2" t="s">
        <v>390</v>
      </c>
      <c r="J85" s="2" t="s">
        <v>389</v>
      </c>
      <c r="K85" s="1" t="b">
        <v>1</v>
      </c>
      <c r="L85" s="2" t="s">
        <v>125</v>
      </c>
      <c r="M85" s="2" t="str">
        <f t="shared" si="7"/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 t="shared" si="8"/>
        <v>239</v>
      </c>
      <c r="O85" s="1" t="b">
        <f t="shared" si="9"/>
        <v>1</v>
      </c>
      <c r="P85" s="1" t="b">
        <v>0</v>
      </c>
      <c r="Q85" s="1" t="b">
        <f>TRUE()</f>
        <v>1</v>
      </c>
      <c r="R85" s="4">
        <v>0</v>
      </c>
      <c r="S85" s="4">
        <v>5.4089999999999997E-3</v>
      </c>
      <c r="T85" s="10">
        <v>45976</v>
      </c>
      <c r="U85" s="2" t="s">
        <v>482</v>
      </c>
      <c r="V85" s="4">
        <v>0</v>
      </c>
      <c r="W85" s="1" t="b">
        <v>0</v>
      </c>
    </row>
    <row r="86" spans="1:23" ht="60" x14ac:dyDescent="0.25">
      <c r="A86" s="1" t="s">
        <v>392</v>
      </c>
      <c r="B86" s="1" t="s">
        <v>393</v>
      </c>
      <c r="C86" s="2" t="s">
        <v>391</v>
      </c>
      <c r="D86" s="4">
        <v>0.2</v>
      </c>
      <c r="E86" s="1" t="s">
        <v>49</v>
      </c>
      <c r="F86" s="1" t="s">
        <v>385</v>
      </c>
      <c r="G86" s="1" t="s">
        <v>258</v>
      </c>
      <c r="I86" s="2" t="s">
        <v>395</v>
      </c>
      <c r="J86" s="2" t="s">
        <v>394</v>
      </c>
      <c r="K86" s="1" t="b">
        <v>1</v>
      </c>
      <c r="L86" s="2" t="s">
        <v>125</v>
      </c>
      <c r="M86" s="2" t="str">
        <f t="shared" si="7"/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 t="shared" si="8"/>
        <v>239</v>
      </c>
      <c r="O86" s="1" t="b">
        <f t="shared" si="9"/>
        <v>1</v>
      </c>
      <c r="P86" s="1" t="b">
        <v>0</v>
      </c>
      <c r="Q86" s="1" t="b">
        <f>TRUE()</f>
        <v>1</v>
      </c>
      <c r="R86" s="4">
        <v>0.169797</v>
      </c>
      <c r="S86" s="4">
        <v>0.25293399999999999</v>
      </c>
      <c r="T86" s="10">
        <v>45976</v>
      </c>
      <c r="U86" s="2" t="s">
        <v>481</v>
      </c>
      <c r="V86" s="4">
        <v>0</v>
      </c>
      <c r="W86" s="1" t="b">
        <v>0</v>
      </c>
    </row>
    <row r="87" spans="1:23" ht="60" x14ac:dyDescent="0.25">
      <c r="A87" s="1" t="s">
        <v>396</v>
      </c>
      <c r="B87" s="1" t="s">
        <v>18</v>
      </c>
      <c r="C87" s="2" t="s">
        <v>19</v>
      </c>
      <c r="D87" s="4">
        <v>0.1</v>
      </c>
      <c r="E87" s="1" t="s">
        <v>42</v>
      </c>
      <c r="G87" s="1" t="s">
        <v>258</v>
      </c>
      <c r="I87" s="2" t="s">
        <v>426</v>
      </c>
      <c r="J87" s="2" t="s">
        <v>296</v>
      </c>
      <c r="K87" s="1" t="b">
        <v>1</v>
      </c>
      <c r="L87" s="2" t="s">
        <v>125</v>
      </c>
      <c r="M87" s="2" t="str">
        <f t="shared" si="7"/>
        <v>EVQLVESGGGLVQPGGSLRLSCAASGFNVSYSSIHWVRQAPGKGLEWVASIYSYSGYTYYADSVKGRFTISADTSKNTAYLQMNSLRAEDTAVYYCARGWYSYFDYWGQGTLVTVSSGGGSGGGSGGGSGGGSDIQMTQSPSSLSASVGDRVTITCRASQSVSSAVAWYQQKPGKAPKLLIYSASSLYSGVPSRFSGSRSGTDFTLTISSLQPEDFATYYCQQYKYVPVTFGQGTKVEIK</v>
      </c>
      <c r="N87" s="4">
        <f t="shared" si="8"/>
        <v>240</v>
      </c>
      <c r="O87" s="1" t="b">
        <f t="shared" si="9"/>
        <v>1</v>
      </c>
      <c r="P87" s="1" t="b">
        <v>0</v>
      </c>
      <c r="Q87" s="1" t="b">
        <f>TRUE()</f>
        <v>1</v>
      </c>
      <c r="R87" s="4">
        <v>0</v>
      </c>
      <c r="S87" s="4">
        <v>5.3860000000000002E-3</v>
      </c>
      <c r="T87" s="10"/>
      <c r="U87" s="11" t="s">
        <v>381</v>
      </c>
      <c r="W87" s="1" t="b">
        <v>0</v>
      </c>
    </row>
    <row r="88" spans="1:23" ht="60" x14ac:dyDescent="0.25">
      <c r="A88" s="1" t="s">
        <v>397</v>
      </c>
      <c r="B88" s="1" t="s">
        <v>18</v>
      </c>
      <c r="C88" s="2" t="s">
        <v>19</v>
      </c>
      <c r="D88" s="4">
        <v>0.1</v>
      </c>
      <c r="E88" s="1" t="s">
        <v>42</v>
      </c>
      <c r="G88" s="1" t="s">
        <v>258</v>
      </c>
      <c r="I88" s="2" t="s">
        <v>427</v>
      </c>
      <c r="J88" s="2" t="s">
        <v>428</v>
      </c>
      <c r="K88" s="1" t="b">
        <v>1</v>
      </c>
      <c r="L88" s="2" t="s">
        <v>125</v>
      </c>
      <c r="M88" s="2" t="str">
        <f t="shared" si="7"/>
        <v>QVQLVQSGAEVKKPGSSVKVSCKASGGTFSSYAISWVRQAPGQGLEWMGGIIIFGTANYAQKFQGRVTITADKSTSTAYMELRSEDTAVYYCAREGTTGWDYWGQGTLVTVSSGGGSGGGSGGGSGGGSEIVLTQSPGTLSLSPGERATLSCRASQSVSSSYLAWYQQKPGQAPRLLIYGASSRATGIPDRFSGSGSGTDFTLTISRLEPEDFAVYYCQQYGSSPRTFGQGTKVEIK</v>
      </c>
      <c r="N88" s="4">
        <f t="shared" si="8"/>
        <v>237</v>
      </c>
      <c r="O88" s="1" t="b">
        <f t="shared" si="9"/>
        <v>1</v>
      </c>
      <c r="P88" s="1" t="b">
        <v>0</v>
      </c>
      <c r="Q88" s="1" t="b">
        <f>TRUE()</f>
        <v>1</v>
      </c>
      <c r="R88" s="4">
        <v>0</v>
      </c>
      <c r="S88" s="4">
        <v>5.1520000000000003E-3</v>
      </c>
      <c r="T88" s="10">
        <v>45977</v>
      </c>
      <c r="U88" s="2" t="s">
        <v>487</v>
      </c>
      <c r="V88" s="4">
        <v>9.7619999999999998E-3</v>
      </c>
      <c r="W88" s="1" t="b">
        <v>0</v>
      </c>
    </row>
    <row r="89" spans="1:23" ht="60" x14ac:dyDescent="0.25">
      <c r="A89" s="1" t="s">
        <v>398</v>
      </c>
      <c r="B89" s="1" t="s">
        <v>18</v>
      </c>
      <c r="C89" s="2" t="s">
        <v>19</v>
      </c>
      <c r="D89" s="4">
        <v>0.1</v>
      </c>
      <c r="E89" s="1" t="s">
        <v>42</v>
      </c>
      <c r="G89" s="1" t="s">
        <v>258</v>
      </c>
      <c r="I89" s="2" t="s">
        <v>429</v>
      </c>
      <c r="J89" s="2" t="s">
        <v>296</v>
      </c>
      <c r="K89" s="1" t="b">
        <v>1</v>
      </c>
      <c r="L89" s="2" t="s">
        <v>125</v>
      </c>
      <c r="M89" s="2" t="str">
        <f t="shared" si="7"/>
        <v>EVQLVESGGGLVQPGGSLRLSCAASGFNVSYYSIHWVRQAPGKGLEWVASIYSYSGYTSYADSVKGRFTISADTSKNTAYLQMNSLRAEDTAVYYCARYYVYYGAMDYWGQGTLVTVSSGGGSGGGSGGGSGGGSDIQMTQSPSSLSASVGDRVTITCRASQSVSSAVAWYQQKPGKAPKLLIYSASSLYSGVPSRFSGSRSGTDFTLTISSLQPEDFATYYCQQYKYVPVTFGQGTKVEIK</v>
      </c>
      <c r="N89" s="4">
        <f t="shared" si="8"/>
        <v>242</v>
      </c>
      <c r="O89" s="1" t="b">
        <f t="shared" si="9"/>
        <v>1</v>
      </c>
      <c r="P89" s="1" t="b">
        <v>0</v>
      </c>
      <c r="Q89" s="1" t="b">
        <f>TRUE()</f>
        <v>1</v>
      </c>
      <c r="R89" s="4">
        <v>0</v>
      </c>
      <c r="S89" s="4">
        <v>5.2599999999999999E-3</v>
      </c>
      <c r="T89" s="10">
        <v>45977</v>
      </c>
      <c r="U89" s="11" t="s">
        <v>381</v>
      </c>
      <c r="W89" s="1" t="b">
        <v>0</v>
      </c>
    </row>
    <row r="90" spans="1:23" ht="60" x14ac:dyDescent="0.25">
      <c r="A90" s="1" t="s">
        <v>399</v>
      </c>
      <c r="B90" s="1" t="s">
        <v>18</v>
      </c>
      <c r="C90" s="2" t="s">
        <v>19</v>
      </c>
      <c r="D90" s="4">
        <v>0.1</v>
      </c>
      <c r="E90" s="1" t="s">
        <v>42</v>
      </c>
      <c r="G90" s="1" t="s">
        <v>258</v>
      </c>
      <c r="I90" s="2" t="s">
        <v>430</v>
      </c>
      <c r="J90" s="2" t="s">
        <v>296</v>
      </c>
      <c r="K90" s="1" t="b">
        <v>1</v>
      </c>
      <c r="L90" s="2" t="s">
        <v>125</v>
      </c>
      <c r="M90" s="2" t="str">
        <f t="shared" si="7"/>
        <v>EVQLVESGGGLVQPGGSLRLSCAASGFNVSYSSIHWVRQAPGKGLEWVASIYSYSGYTYYADSVKGRFTISADTSKNTAYLQMNSLRAEDTAVYYCARGWVRGSSYWGQGTLVTVSSGGGSGGGSGGGSGGGSDIQMTQSPSSLSASVGDRVTITCRASQSVSSAVAWYQQKPGKAPKLLIYSASSLYSGVPSRFSGSRSGTDFTLTISSLQPEDFATYYCQQYKYVPVTFGQGTKVEIK</v>
      </c>
      <c r="N90" s="4">
        <f t="shared" si="8"/>
        <v>240</v>
      </c>
      <c r="O90" s="1" t="b">
        <f t="shared" si="9"/>
        <v>1</v>
      </c>
      <c r="P90" s="1" t="b">
        <v>0</v>
      </c>
      <c r="Q90" s="1" t="b">
        <f>TRUE()</f>
        <v>1</v>
      </c>
      <c r="R90" s="4">
        <v>0.25166500000000003</v>
      </c>
      <c r="S90" s="4">
        <v>0.40871299999999999</v>
      </c>
      <c r="T90" s="10">
        <v>45977</v>
      </c>
      <c r="U90" s="2" t="s">
        <v>486</v>
      </c>
      <c r="V90" s="4">
        <v>0.218168</v>
      </c>
      <c r="W90" s="1" t="b">
        <v>0</v>
      </c>
    </row>
    <row r="91" spans="1:23" ht="75" x14ac:dyDescent="0.25">
      <c r="A91" s="1" t="s">
        <v>400</v>
      </c>
      <c r="B91" s="1" t="s">
        <v>18</v>
      </c>
      <c r="C91" s="2" t="s">
        <v>19</v>
      </c>
      <c r="D91" s="4">
        <v>0.1</v>
      </c>
      <c r="E91" s="1" t="s">
        <v>42</v>
      </c>
      <c r="G91" s="1" t="s">
        <v>258</v>
      </c>
      <c r="I91" s="2" t="s">
        <v>431</v>
      </c>
      <c r="J91" s="2" t="s">
        <v>296</v>
      </c>
      <c r="K91" s="1" t="b">
        <v>1</v>
      </c>
      <c r="L91" s="2" t="s">
        <v>125</v>
      </c>
      <c r="M91" s="2" t="str">
        <f t="shared" si="7"/>
        <v>EVQLVESGGGLVQPGGSLRLSCAASGFNVSYSSIHWVRQAPGKGLEWVASIYSYSGYTNYADSVKGRFTISADTSKNTAYLQMNSLRAEDTAVYYCARYYGGYGGYFDYWGQGTLVTVSSGGGSGGGSGGGSGGGSDIQMTQSPSSLSASVGDRVTITCRASQSVSSAVAWYQQKPGKAPKLLIYSASSLYSGVPSRFSGSRSGTDFTLTISSLQPEDFATYYCQQYKYVPVTFGQGTKVEIK</v>
      </c>
      <c r="N91" s="4">
        <f t="shared" si="8"/>
        <v>243</v>
      </c>
      <c r="O91" s="1" t="b">
        <f t="shared" si="9"/>
        <v>1</v>
      </c>
      <c r="P91" s="1" t="b">
        <v>0</v>
      </c>
      <c r="Q91" s="1" t="b">
        <f>TRUE()</f>
        <v>1</v>
      </c>
      <c r="R91" s="4">
        <v>0</v>
      </c>
      <c r="S91" s="4">
        <v>4.888E-3</v>
      </c>
      <c r="T91" s="10"/>
      <c r="U91" s="11" t="s">
        <v>381</v>
      </c>
      <c r="W91" s="1" t="b">
        <v>0</v>
      </c>
    </row>
    <row r="92" spans="1:23" ht="60" x14ac:dyDescent="0.25">
      <c r="A92" s="1" t="s">
        <v>401</v>
      </c>
      <c r="B92" s="1" t="s">
        <v>18</v>
      </c>
      <c r="C92" s="2" t="s">
        <v>19</v>
      </c>
      <c r="D92" s="4">
        <v>0.1</v>
      </c>
      <c r="E92" s="1" t="s">
        <v>42</v>
      </c>
      <c r="G92" s="1" t="s">
        <v>258</v>
      </c>
      <c r="I92" s="2" t="s">
        <v>432</v>
      </c>
      <c r="J92" s="2" t="s">
        <v>296</v>
      </c>
      <c r="K92" s="1" t="b">
        <v>1</v>
      </c>
      <c r="L92" s="2" t="s">
        <v>125</v>
      </c>
      <c r="M92" s="2" t="str">
        <f t="shared" si="7"/>
        <v>EVQLVESGGGLVQPGGSLRLSCAASGFNVSYYSIHWVRQAPGKGLEWVASIYPYSGYTNYADSVKGRFTISADTSKNTAYLQMNSLRAEDTAVYYCARYYGYWYFDYWGQGTLVTVSSGGGSGGGSGGGSGGGSDIQMTQSPSSLSASVGDRVTITCRASQSVSSAVAWYQQKPGKAPKLLIYSASSLYSGVPSRFSGSRSGTDFTLTISSLQPEDFATYYCQQYKYVPVTFGQGTKVEIK</v>
      </c>
      <c r="N92" s="4">
        <f t="shared" si="8"/>
        <v>241</v>
      </c>
      <c r="O92" s="1" t="b">
        <f t="shared" si="9"/>
        <v>1</v>
      </c>
      <c r="P92" s="1" t="b">
        <v>0</v>
      </c>
      <c r="Q92" s="1" t="b">
        <f>TRUE()</f>
        <v>1</v>
      </c>
      <c r="R92" s="4">
        <v>0</v>
      </c>
      <c r="S92" s="4">
        <v>5.4039999999999999E-3</v>
      </c>
      <c r="T92" s="10"/>
      <c r="U92" s="11" t="s">
        <v>381</v>
      </c>
      <c r="W92" s="1" t="b">
        <v>1</v>
      </c>
    </row>
    <row r="93" spans="1:23" ht="75" x14ac:dyDescent="0.25">
      <c r="A93" s="1" t="s">
        <v>402</v>
      </c>
      <c r="B93" s="1" t="s">
        <v>18</v>
      </c>
      <c r="C93" s="2" t="s">
        <v>19</v>
      </c>
      <c r="D93" s="4">
        <v>0.1</v>
      </c>
      <c r="E93" s="1" t="s">
        <v>42</v>
      </c>
      <c r="G93" s="1" t="s">
        <v>258</v>
      </c>
      <c r="I93" s="2" t="s">
        <v>433</v>
      </c>
      <c r="J93" s="2" t="s">
        <v>296</v>
      </c>
      <c r="K93" s="1" t="b">
        <v>1</v>
      </c>
      <c r="L93" s="2" t="s">
        <v>125</v>
      </c>
      <c r="M93" s="2" t="str">
        <f t="shared" si="7"/>
        <v>EVQLVESGGGLVQPGGSLRLSCAASGFNVSYSSIHWVRQAPGKGLEWVASIYSYSGYTSYADSVKGRFTISADTSKNTAYLQMNSLRAEDTAVYYCARYYGGYGGWYFDYWGQGTLVTVSSGGGSGGGSGGGSGGGSDIQMTQSPSSLSASVGDRVTITCRASQSVSSAVAWYQQKPGKAPKLLIYSASSLYSGVPSRFSGSRSGTDFTLTISSLQPEDFATYYCQQYKYVPVTFGQGTKVEIK</v>
      </c>
      <c r="N93" s="4">
        <f t="shared" si="8"/>
        <v>244</v>
      </c>
      <c r="O93" s="1" t="b">
        <f t="shared" si="9"/>
        <v>1</v>
      </c>
      <c r="P93" s="1" t="b">
        <v>0</v>
      </c>
      <c r="Q93" s="1" t="b">
        <f>TRUE()</f>
        <v>1</v>
      </c>
      <c r="R93" s="4">
        <v>4.7809999999999997E-3</v>
      </c>
      <c r="S93" s="4">
        <v>1.0769000000000001E-2</v>
      </c>
      <c r="T93" s="10"/>
      <c r="U93" s="11" t="s">
        <v>381</v>
      </c>
      <c r="W93" s="1" t="b">
        <v>0</v>
      </c>
    </row>
    <row r="94" spans="1:23" ht="60" x14ac:dyDescent="0.25">
      <c r="A94" s="1" t="s">
        <v>403</v>
      </c>
      <c r="B94" s="1" t="s">
        <v>18</v>
      </c>
      <c r="C94" s="2" t="s">
        <v>19</v>
      </c>
      <c r="D94" s="4">
        <v>0.1</v>
      </c>
      <c r="E94" s="1" t="s">
        <v>42</v>
      </c>
      <c r="G94" s="1" t="s">
        <v>258</v>
      </c>
      <c r="I94" s="2" t="s">
        <v>434</v>
      </c>
      <c r="J94" s="2" t="s">
        <v>296</v>
      </c>
      <c r="K94" s="1" t="b">
        <v>1</v>
      </c>
      <c r="L94" s="2" t="s">
        <v>125</v>
      </c>
      <c r="M94" s="2" t="str">
        <f t="shared" si="7"/>
        <v>EVQLVESGGGLVQPGGSLRLSCAASGFNVSYYSIHWVRQAPGKGLEWVASISSYYGYTYYADSVKGRFTISADTSKNTAYLQMNSLRAEDTAVYYCARYYGYWYFDYWGQGTLVTVSSGGGSGGGSGGGSGGGSDIQMTQSPSSLSASVGDRVTITCRASQSVSSAVAWYQQKPGKAPKLLIYSASSLYSGVPSRFSGSRSGTDFTLTISSLQPEDFATYYCQQYKYVPVTFGQGTKVEIK</v>
      </c>
      <c r="N94" s="4">
        <f t="shared" si="8"/>
        <v>241</v>
      </c>
      <c r="O94" s="1" t="b">
        <f t="shared" si="9"/>
        <v>1</v>
      </c>
      <c r="P94" s="1" t="b">
        <v>0</v>
      </c>
      <c r="Q94" s="1" t="b">
        <f>TRUE()</f>
        <v>1</v>
      </c>
      <c r="R94" s="4">
        <v>0</v>
      </c>
      <c r="S94" s="4">
        <v>5.1809999999999998E-3</v>
      </c>
      <c r="T94" s="10"/>
      <c r="U94" s="11" t="s">
        <v>381</v>
      </c>
      <c r="W94" s="1" t="b">
        <v>1</v>
      </c>
    </row>
    <row r="95" spans="1:23" ht="60" x14ac:dyDescent="0.25">
      <c r="A95" s="1" t="s">
        <v>404</v>
      </c>
      <c r="B95" s="1" t="s">
        <v>18</v>
      </c>
      <c r="C95" s="2" t="s">
        <v>19</v>
      </c>
      <c r="D95" s="4">
        <v>0.1</v>
      </c>
      <c r="E95" s="1" t="s">
        <v>42</v>
      </c>
      <c r="G95" s="1" t="s">
        <v>258</v>
      </c>
      <c r="I95" s="2" t="s">
        <v>435</v>
      </c>
      <c r="J95" s="2" t="s">
        <v>296</v>
      </c>
      <c r="K95" s="1" t="b">
        <v>1</v>
      </c>
      <c r="L95" s="2" t="s">
        <v>125</v>
      </c>
      <c r="M95" s="2" t="str">
        <f t="shared" si="7"/>
        <v>EVQLVESGGGLVQPGGSLRLSCAASGFNVSYYSIHWVRQAPGKGLEWVASISSYYGYTYYADSVKGRFTISADTSKNTAYLQMNSLRAEDTAVYYCARYYGTYYGHSYWGQGTLVTVSSGGGSGGGSGGGSGGGSDIQMTQSPSSLSASVGDRVTITCRASQSVSSAVAWYQQKPGKAPKLLIYSASSLYSGVPSRFSGSRSGTDFTLTISSLQPEDFATYYCQQYKYVPVTFGQGTKVEIK</v>
      </c>
      <c r="N95" s="4">
        <f t="shared" si="8"/>
        <v>242</v>
      </c>
      <c r="O95" s="1" t="b">
        <f t="shared" si="9"/>
        <v>1</v>
      </c>
      <c r="P95" s="1" t="b">
        <v>0</v>
      </c>
      <c r="Q95" s="1" t="b">
        <f>TRUE()</f>
        <v>1</v>
      </c>
      <c r="R95" s="4">
        <v>0</v>
      </c>
      <c r="S95" s="4">
        <v>5.0010000000000002E-3</v>
      </c>
      <c r="T95" s="10"/>
      <c r="U95" s="11" t="s">
        <v>381</v>
      </c>
      <c r="W95" s="1" t="b">
        <v>0</v>
      </c>
    </row>
    <row r="96" spans="1:23" ht="60" x14ac:dyDescent="0.25">
      <c r="A96" s="1" t="s">
        <v>405</v>
      </c>
      <c r="B96" s="1" t="s">
        <v>18</v>
      </c>
      <c r="C96" s="2" t="s">
        <v>19</v>
      </c>
      <c r="D96" s="4">
        <v>0.1</v>
      </c>
      <c r="E96" s="1" t="s">
        <v>42</v>
      </c>
      <c r="G96" s="1" t="s">
        <v>258</v>
      </c>
      <c r="I96" s="2" t="s">
        <v>436</v>
      </c>
      <c r="J96" s="2" t="s">
        <v>296</v>
      </c>
      <c r="K96" s="1" t="b">
        <v>1</v>
      </c>
      <c r="L96" s="2" t="s">
        <v>125</v>
      </c>
      <c r="M96" s="2" t="str">
        <f t="shared" si="7"/>
        <v>EVQLVESGGGLVQPGGSLRLSCAASGFNVSYSSIHWVRQAPGKGLEWVASIYSYSGYTNYADSVKGRFTISADTSKNTAYLQMNSLRAEDTAVYYCARYWYFGYFDYWGQGTLVTVSSGGGSGGGSGGGSGGGSDIQMTQSPSSLSASVGDRVTITCRASQSVSSAVAWYQQKPGKAPKLLIYSASSLYSGVPSRFSGSRSGTDFTLTISSLQPEDFATYYCQQYKYVPVTFGQGTKVEIK</v>
      </c>
      <c r="N96" s="4">
        <f t="shared" si="8"/>
        <v>241</v>
      </c>
      <c r="O96" s="1" t="b">
        <f t="shared" si="9"/>
        <v>1</v>
      </c>
      <c r="P96" s="1" t="b">
        <v>0</v>
      </c>
      <c r="Q96" s="1" t="b">
        <f>TRUE()</f>
        <v>1</v>
      </c>
      <c r="R96" s="4">
        <v>5.2069999999999998E-3</v>
      </c>
      <c r="S96" s="4">
        <v>3.3148999999999998E-2</v>
      </c>
      <c r="T96" s="10"/>
      <c r="U96" s="11" t="s">
        <v>381</v>
      </c>
      <c r="W96" s="1" t="b">
        <v>0</v>
      </c>
    </row>
    <row r="97" spans="1:23" ht="75" x14ac:dyDescent="0.25">
      <c r="A97" s="1" t="s">
        <v>406</v>
      </c>
      <c r="B97" s="1" t="s">
        <v>18</v>
      </c>
      <c r="C97" s="2" t="s">
        <v>19</v>
      </c>
      <c r="D97" s="4">
        <v>0.6</v>
      </c>
      <c r="E97" s="1" t="s">
        <v>42</v>
      </c>
      <c r="G97" s="1" t="s">
        <v>258</v>
      </c>
      <c r="I97" s="2" t="s">
        <v>437</v>
      </c>
      <c r="J97" s="2" t="s">
        <v>438</v>
      </c>
      <c r="K97" s="1" t="b">
        <v>1</v>
      </c>
      <c r="L97" s="2" t="s">
        <v>125</v>
      </c>
      <c r="M97" s="2" t="str">
        <f t="shared" si="7"/>
        <v>EVQLVESGGGLVKPGGSLRLSCAASGFTFRNYAMSWVRQAPGKGLEWVSSISSKSKSTSYADSVKGRFTISRDNAKNSLYLQMNSLRAEDTAVYYCARESGSFSYEGVWGQGTLVTVSSGGGSGGGSGGGSGGGSSVLTQPPSVSGAPGQRVTISCTGSSSNIGAGYDVHWYQQLPGTAPKLLIYDNNKRPSGVPDRFSGSKSGTSASLAITGLQAEDEADYYCQSYDSSLSGLVFGGGTKLTVL</v>
      </c>
      <c r="N97" s="4">
        <f t="shared" si="8"/>
        <v>245</v>
      </c>
      <c r="O97" s="1" t="b">
        <f t="shared" si="9"/>
        <v>1</v>
      </c>
      <c r="P97" s="1" t="b">
        <v>0</v>
      </c>
      <c r="Q97" s="1" t="b">
        <f>TRUE()</f>
        <v>1</v>
      </c>
      <c r="R97" s="4">
        <v>0</v>
      </c>
      <c r="S97" s="4">
        <v>4.9690000000000003E-3</v>
      </c>
      <c r="T97" s="10">
        <v>45977</v>
      </c>
      <c r="U97" s="2" t="s">
        <v>485</v>
      </c>
      <c r="V97" s="4">
        <v>4.9849999999999998E-3</v>
      </c>
      <c r="W97" s="1" t="b">
        <v>0</v>
      </c>
    </row>
    <row r="98" spans="1:23" ht="75" x14ac:dyDescent="0.25">
      <c r="A98" s="1" t="s">
        <v>407</v>
      </c>
      <c r="B98" s="1" t="s">
        <v>18</v>
      </c>
      <c r="C98" s="2" t="s">
        <v>19</v>
      </c>
      <c r="D98" s="4">
        <v>0.6</v>
      </c>
      <c r="E98" s="1" t="s">
        <v>42</v>
      </c>
      <c r="G98" s="1" t="s">
        <v>258</v>
      </c>
      <c r="I98" s="2" t="s">
        <v>439</v>
      </c>
      <c r="J98" s="2" t="s">
        <v>304</v>
      </c>
      <c r="K98" s="1" t="b">
        <v>1</v>
      </c>
      <c r="L98" s="2" t="s">
        <v>125</v>
      </c>
      <c r="M98" s="2" t="str">
        <f t="shared" ref="M98:M129" si="10">_xlfn.CONCAT(I98,L98,J98)</f>
        <v>EVQLVESGGGLVQPGGSLRLSCAASGFNISSSSIHWVRQAPGKGLEWVASIYYSSGYTHYADSVKGRFTISADTSKNTAYLQMNSLRAEDTAVYYCARWGYWPGQVWLWFAYWGQGTLVTVSGGGSGGGSGGGSGGGSDIQMTQSPSSLSASVGDRVTITCRASQSVSSAVAWYQQKPGKAPKLLIYSASSLYSGVPSRFSGSRSGTDFTLTISSLQPEDFATYYCQQSSSSLITFGQGTKVEIK</v>
      </c>
      <c r="N98" s="4">
        <f t="shared" ref="N98:N129" si="11">LEN(M98)</f>
        <v>245</v>
      </c>
      <c r="O98" s="1" t="b">
        <f t="shared" ref="O98:O129" si="12">IF(N98&lt;=250,TRUE,FALSE)</f>
        <v>1</v>
      </c>
      <c r="P98" s="1" t="b">
        <v>0</v>
      </c>
      <c r="Q98" s="1" t="b">
        <f>TRUE()</f>
        <v>1</v>
      </c>
      <c r="R98" s="4">
        <v>0.307058</v>
      </c>
      <c r="S98" s="4">
        <v>0.42117900000000003</v>
      </c>
      <c r="T98" s="10">
        <v>45977</v>
      </c>
      <c r="U98" s="2" t="s">
        <v>490</v>
      </c>
      <c r="V98" s="4">
        <v>0.12482500000000001</v>
      </c>
      <c r="W98" s="1" t="b">
        <v>1</v>
      </c>
    </row>
    <row r="99" spans="1:23" ht="60" x14ac:dyDescent="0.25">
      <c r="A99" s="1" t="s">
        <v>408</v>
      </c>
      <c r="B99" s="1" t="s">
        <v>18</v>
      </c>
      <c r="C99" s="2" t="s">
        <v>19</v>
      </c>
      <c r="D99" s="4">
        <v>0.6</v>
      </c>
      <c r="E99" s="1" t="s">
        <v>42</v>
      </c>
      <c r="G99" s="1" t="s">
        <v>258</v>
      </c>
      <c r="I99" s="2" t="s">
        <v>440</v>
      </c>
      <c r="J99" s="2" t="s">
        <v>441</v>
      </c>
      <c r="K99" s="1" t="b">
        <v>1</v>
      </c>
      <c r="L99" s="2" t="s">
        <v>125</v>
      </c>
      <c r="M99" s="2" t="str">
        <f t="shared" si="10"/>
        <v>QVQLVQSGAEVKKPGSSVKVSCKSSGGTSNNYAISWVRQAPGQGLEWMGGIIPILGIANYAQKFQGRVTITADKSTSTAYMELSSLRSEDTAVYYCAREDAVVDYWGQGTLVTVSSGGGSGGGSGGGSGGGSDIQMTQSPSTLSASVGDRVTITCRASQGISSWLAWYQQKPGKAPKLLIYKASSLESGVPSRFSGSGSGTEFTLTISSLQPDDFATYYCQQYNSYPLTFGQGTKVQVK</v>
      </c>
      <c r="N99" s="4">
        <f t="shared" si="11"/>
        <v>239</v>
      </c>
      <c r="O99" s="1" t="b">
        <f t="shared" si="12"/>
        <v>1</v>
      </c>
      <c r="P99" s="1" t="b">
        <v>0</v>
      </c>
      <c r="Q99" s="1" t="b">
        <f>TRUE()</f>
        <v>1</v>
      </c>
      <c r="R99" s="4">
        <v>5.2290000000000001E-3</v>
      </c>
      <c r="S99" s="4">
        <v>6.1022E-2</v>
      </c>
      <c r="T99" s="10">
        <v>45978</v>
      </c>
      <c r="U99" s="2" t="s">
        <v>492</v>
      </c>
      <c r="V99" s="4">
        <v>0.119756</v>
      </c>
      <c r="W99" s="1" t="b">
        <v>0</v>
      </c>
    </row>
    <row r="100" spans="1:23" ht="60" x14ac:dyDescent="0.25">
      <c r="A100" s="1" t="s">
        <v>409</v>
      </c>
      <c r="B100" s="1" t="s">
        <v>18</v>
      </c>
      <c r="C100" s="2" t="s">
        <v>19</v>
      </c>
      <c r="D100" s="4">
        <v>0.6</v>
      </c>
      <c r="E100" s="1" t="s">
        <v>42</v>
      </c>
      <c r="G100" s="1" t="s">
        <v>258</v>
      </c>
      <c r="I100" s="2" t="s">
        <v>442</v>
      </c>
      <c r="J100" s="2" t="s">
        <v>296</v>
      </c>
      <c r="K100" s="1" t="b">
        <v>1</v>
      </c>
      <c r="L100" s="2" t="s">
        <v>125</v>
      </c>
      <c r="M100" s="2" t="str">
        <f t="shared" si="10"/>
        <v>EVQLVESGGGLVQPGGSLRLSCAASGFNVSSSSIHWVRQAPGKGLEWVASISSYYGYTYYADSVKGRFTISADTSKNTAYLQMNSLRAEDTAVYYCARHWGYCSWFAYWGQGTLVTVSSGGGSGGGSGGGSGGGSDIQMTQSPSSLSASVGDRVTITCRASQSVSSAVAWYQQKPGKAPKLLIYSASSLYSGVPSRFSGSRSGTDFTLTISSLQPEDFATYYCQQYKYVPVTFGQGTKVEIK</v>
      </c>
      <c r="N100" s="4">
        <f t="shared" si="11"/>
        <v>242</v>
      </c>
      <c r="O100" s="1" t="b">
        <f t="shared" si="12"/>
        <v>1</v>
      </c>
      <c r="P100" s="1" t="b">
        <v>0</v>
      </c>
      <c r="Q100" s="1" t="b">
        <f>TRUE()</f>
        <v>1</v>
      </c>
      <c r="R100" s="4">
        <v>0</v>
      </c>
      <c r="S100" s="4">
        <v>5.176E-3</v>
      </c>
      <c r="T100" s="10"/>
      <c r="U100" s="11" t="s">
        <v>381</v>
      </c>
      <c r="W100" s="1" t="b">
        <v>1</v>
      </c>
    </row>
    <row r="101" spans="1:23" ht="60" x14ac:dyDescent="0.25">
      <c r="A101" s="1" t="s">
        <v>410</v>
      </c>
      <c r="B101" s="1" t="s">
        <v>18</v>
      </c>
      <c r="C101" s="2" t="s">
        <v>19</v>
      </c>
      <c r="D101" s="4">
        <v>0.6</v>
      </c>
      <c r="E101" s="1" t="s">
        <v>42</v>
      </c>
      <c r="G101" s="1" t="s">
        <v>258</v>
      </c>
      <c r="I101" s="2" t="s">
        <v>443</v>
      </c>
      <c r="J101" s="2" t="s">
        <v>304</v>
      </c>
      <c r="K101" s="1" t="b">
        <v>1</v>
      </c>
      <c r="L101" s="2" t="s">
        <v>125</v>
      </c>
      <c r="M101" s="2" t="str">
        <f t="shared" si="10"/>
        <v>EVQLVESGGGLVQPGGSLRLSCAASGFNISSSSIHWVRQAPGKGLEWVASIYSYSGYTSYADSVKGRFTISADTSKNTAYLQMNSLRAEDTAVYYCARGSHYFGYFDYWGQGTLVTVSSGGGSGGGSGGGSGGGSDIQMTQSPSSLSASVGDRVTITCRASQSVSSAVAWYQQKPGKAPKLLIYSASSLYSGVPSRFSGSRSGTDFTLTISSLQPEDFATYYCQQSSSSLITFGQGTKVEIK</v>
      </c>
      <c r="N101" s="4">
        <f t="shared" si="11"/>
        <v>242</v>
      </c>
      <c r="O101" s="1" t="b">
        <f t="shared" si="12"/>
        <v>1</v>
      </c>
      <c r="P101" s="1" t="b">
        <v>0</v>
      </c>
      <c r="Q101" s="1" t="b">
        <f>TRUE()</f>
        <v>1</v>
      </c>
      <c r="R101" s="4">
        <v>0</v>
      </c>
      <c r="S101" s="4">
        <v>5.4390000000000003E-3</v>
      </c>
      <c r="T101" s="10"/>
      <c r="U101" s="11" t="s">
        <v>381</v>
      </c>
      <c r="W101" s="1" t="b">
        <v>0</v>
      </c>
    </row>
    <row r="102" spans="1:23" ht="60" x14ac:dyDescent="0.25">
      <c r="A102" s="1" t="s">
        <v>411</v>
      </c>
      <c r="B102" s="1" t="s">
        <v>18</v>
      </c>
      <c r="C102" s="2" t="s">
        <v>19</v>
      </c>
      <c r="D102" s="4">
        <v>0.6</v>
      </c>
      <c r="E102" s="1" t="s">
        <v>42</v>
      </c>
      <c r="G102" s="1" t="s">
        <v>258</v>
      </c>
      <c r="I102" s="2" t="s">
        <v>444</v>
      </c>
      <c r="J102" s="2" t="s">
        <v>445</v>
      </c>
      <c r="K102" s="1" t="b">
        <v>1</v>
      </c>
      <c r="L102" s="2" t="s">
        <v>125</v>
      </c>
      <c r="M102" s="2" t="str">
        <f t="shared" si="10"/>
        <v>QVQLQESGPGLVKPSQTLSLTCTVSGGSISSGDYYWIRQHPGKGLEWIGYIYYSGSTDYNPSLKSRVTISVDTSKNQFSLKVTAADTAVYYCARTWFGSDYWGQGTLVTVSSGGGSGGGSGGGSGGGSDIQMTQSPSSLSASVGDRVTITCRASQGISNYLAWYQQKPGKAPKLLIYAASTLQSGVPSRFSGSGSGTDFTLTISSLQPEDFATYYCQQAHSFPYTFGGGTKLEIK</v>
      </c>
      <c r="N102" s="4">
        <f t="shared" si="11"/>
        <v>235</v>
      </c>
      <c r="O102" s="1" t="b">
        <f t="shared" si="12"/>
        <v>1</v>
      </c>
      <c r="P102" s="1" t="b">
        <v>0</v>
      </c>
      <c r="Q102" s="1" t="b">
        <f>TRUE()</f>
        <v>1</v>
      </c>
      <c r="R102" s="4">
        <v>0</v>
      </c>
      <c r="S102" s="4">
        <v>5.2649999999999997E-3</v>
      </c>
      <c r="T102" s="10">
        <v>45978</v>
      </c>
      <c r="U102" s="2" t="s">
        <v>493</v>
      </c>
      <c r="V102" s="4">
        <v>0.25569399999999998</v>
      </c>
      <c r="W102" s="1" t="b">
        <v>0</v>
      </c>
    </row>
    <row r="103" spans="1:23" ht="75" x14ac:dyDescent="0.25">
      <c r="A103" s="1" t="s">
        <v>412</v>
      </c>
      <c r="B103" s="1" t="s">
        <v>18</v>
      </c>
      <c r="C103" s="2" t="s">
        <v>19</v>
      </c>
      <c r="D103" s="4">
        <v>0.6</v>
      </c>
      <c r="E103" s="1" t="s">
        <v>42</v>
      </c>
      <c r="G103" s="1" t="s">
        <v>258</v>
      </c>
      <c r="I103" s="2" t="s">
        <v>446</v>
      </c>
      <c r="J103" s="2" t="s">
        <v>447</v>
      </c>
      <c r="K103" s="1" t="b">
        <v>1</v>
      </c>
      <c r="L103" s="2" t="s">
        <v>125</v>
      </c>
      <c r="M103" s="2" t="str">
        <f t="shared" si="10"/>
        <v>EVQLVESGGGLVQPGGSLRLSCAASGFTFSSYWMNWVRQAPGKGLEWVAFIRYDGGNKYYADSVKGRFTISRDNSKNTLYLQMNSLRAEDTAVYYCARWSYSGGSGSYYVYFDYWGQGTLVTVSGGGSGGGSGGGSGGGSSVLTQPPSVSGAPGQRVTISCTGSSSNIGAGYDVHWYQQLPGTAPKLLIYGNSNRPSGVPDRFSGSKSGTSASLAITGLQAEDEADYYCQSYDSSLSGSVFGGGTKLTVL</v>
      </c>
      <c r="N103" s="4">
        <f t="shared" si="11"/>
        <v>250</v>
      </c>
      <c r="O103" s="1" t="b">
        <f t="shared" si="12"/>
        <v>1</v>
      </c>
      <c r="P103" s="1" t="b">
        <v>0</v>
      </c>
      <c r="Q103" s="1" t="b">
        <f>TRUE()</f>
        <v>1</v>
      </c>
      <c r="R103" s="4">
        <v>0</v>
      </c>
      <c r="S103" s="4">
        <v>5.385E-3</v>
      </c>
      <c r="T103" s="10">
        <v>45978</v>
      </c>
      <c r="U103" s="2" t="s">
        <v>514</v>
      </c>
      <c r="V103" s="4">
        <v>0.225609</v>
      </c>
      <c r="W103" s="1" t="b">
        <v>0</v>
      </c>
    </row>
    <row r="104" spans="1:23" ht="75" x14ac:dyDescent="0.25">
      <c r="A104" s="1" t="s">
        <v>413</v>
      </c>
      <c r="B104" s="1" t="s">
        <v>18</v>
      </c>
      <c r="C104" s="2" t="s">
        <v>19</v>
      </c>
      <c r="D104" s="4">
        <v>0.6</v>
      </c>
      <c r="E104" s="1" t="s">
        <v>42</v>
      </c>
      <c r="G104" s="1" t="s">
        <v>258</v>
      </c>
      <c r="I104" s="2" t="s">
        <v>448</v>
      </c>
      <c r="J104" s="2" t="s">
        <v>449</v>
      </c>
      <c r="K104" s="1" t="b">
        <v>1</v>
      </c>
      <c r="L104" s="2" t="s">
        <v>125</v>
      </c>
      <c r="M104" s="2" t="str">
        <f t="shared" si="10"/>
        <v>QVQLVQSGAEVKKPGASVKVSCKASGYTFTNYYIHWVRQAPGQGLEWMGWIYPGGNTNYAQKFQGRVTMTRDTSISTAYMELSRLRSDDTAVYYCARVRTEFDYWGQGTLVTVSSGGGSGGGSGGGSGGGSDIVMTQSPSSLAMSAGAETITCRSSQSVHSNGYLNWYQQKPGQPPKLLIYWASTRESGVPDRFTGSGSGTDFTLTITNVQSEDLAEYFCQQYSSYPLTFGAGTKLELR</v>
      </c>
      <c r="N104" s="4">
        <f t="shared" si="11"/>
        <v>239</v>
      </c>
      <c r="O104" s="1" t="b">
        <f t="shared" si="12"/>
        <v>1</v>
      </c>
      <c r="P104" s="1" t="b">
        <v>0</v>
      </c>
      <c r="Q104" s="1" t="b">
        <f>TRUE()</f>
        <v>1</v>
      </c>
      <c r="R104" s="4">
        <v>0</v>
      </c>
      <c r="S104" s="4">
        <v>5.3680000000000004E-3</v>
      </c>
      <c r="T104" s="10">
        <v>45978</v>
      </c>
      <c r="U104" s="2" t="s">
        <v>495</v>
      </c>
      <c r="V104" s="4">
        <v>0</v>
      </c>
      <c r="W104" s="1" t="b">
        <v>0</v>
      </c>
    </row>
    <row r="105" spans="1:23" ht="60" x14ac:dyDescent="0.25">
      <c r="A105" s="1" t="s">
        <v>414</v>
      </c>
      <c r="B105" s="1" t="s">
        <v>18</v>
      </c>
      <c r="C105" s="2" t="s">
        <v>19</v>
      </c>
      <c r="D105" s="4">
        <v>0.6</v>
      </c>
      <c r="E105" s="1" t="s">
        <v>42</v>
      </c>
      <c r="G105" s="1" t="s">
        <v>258</v>
      </c>
      <c r="I105" s="2" t="s">
        <v>450</v>
      </c>
      <c r="J105" s="2" t="s">
        <v>451</v>
      </c>
      <c r="K105" s="1" t="b">
        <v>1</v>
      </c>
      <c r="L105" s="2" t="s">
        <v>125</v>
      </c>
      <c r="M105" s="2" t="str">
        <f t="shared" si="10"/>
        <v>QVQLQESGPGLVKPSETLSLTCTVSGGSVSSGGYFWSWIRQPPGKGLEWIGYVSGSGSTNYNPSLKSRVTISVDTSKNQFSLKLSSVTAADTAVYYCARWDVWISDYWGQGTLVTVSSGGGSGGGSGGGSGGGSEIVLTQSPATLSLSPGERATLSCRASQSVSSYLAWYQQKPGQAPRLLIYDASNRATGIPARFSGSGSGTDFTLTISSLEPEDFAVYYCQHSWDQPPWTFGQGTKVEIK</v>
      </c>
      <c r="N105" s="4">
        <f t="shared" si="11"/>
        <v>242</v>
      </c>
      <c r="O105" s="1" t="b">
        <f t="shared" si="12"/>
        <v>1</v>
      </c>
      <c r="P105" s="1" t="b">
        <v>0</v>
      </c>
      <c r="Q105" s="1" t="b">
        <f>TRUE()</f>
        <v>1</v>
      </c>
      <c r="R105" s="4">
        <v>0</v>
      </c>
      <c r="S105" s="4">
        <v>1.5878E-2</v>
      </c>
      <c r="T105" s="10">
        <v>45978</v>
      </c>
      <c r="U105" s="2" t="s">
        <v>496</v>
      </c>
      <c r="V105" s="4">
        <v>5.1900000000000002E-3</v>
      </c>
      <c r="W105" s="1" t="b">
        <v>0</v>
      </c>
    </row>
    <row r="106" spans="1:23" ht="60" x14ac:dyDescent="0.25">
      <c r="A106" s="1" t="s">
        <v>415</v>
      </c>
      <c r="B106" s="1" t="s">
        <v>18</v>
      </c>
      <c r="C106" s="2" t="s">
        <v>19</v>
      </c>
      <c r="D106" s="4">
        <v>0.6</v>
      </c>
      <c r="E106" s="1" t="s">
        <v>42</v>
      </c>
      <c r="G106" s="1" t="s">
        <v>258</v>
      </c>
      <c r="I106" s="2" t="s">
        <v>452</v>
      </c>
      <c r="J106" s="2" t="s">
        <v>453</v>
      </c>
      <c r="K106" s="1" t="b">
        <v>1</v>
      </c>
      <c r="L106" s="2" t="s">
        <v>125</v>
      </c>
      <c r="M106" s="2" t="str">
        <f t="shared" si="10"/>
        <v>QVQLQESGPGLVKPSQTLSLTCTVTGSSITSGYWNWIRQFPGNKLEWMGYISYSGTITYNPSLKSRISITRDTSKNQFFLQLNSVTTEDTATYYCARVYDGFYDYWGQGTLVTVSSGGGSGGGSGGGSGGGSDIVMTQSPSSLSASVGDRVTITCRASQGISSWLAWYQQKPGKAPKLLIYKASSLESGVPSRFSGSGSGTEFTLTISSLQPDDFATYYCQQYNSYPLTFGGGTKVEIK</v>
      </c>
      <c r="N106" s="4">
        <f t="shared" si="11"/>
        <v>239</v>
      </c>
      <c r="O106" s="1" t="b">
        <f t="shared" si="12"/>
        <v>1</v>
      </c>
      <c r="P106" s="1" t="b">
        <v>0</v>
      </c>
      <c r="Q106" s="1" t="b">
        <f>TRUE()</f>
        <v>1</v>
      </c>
      <c r="R106" s="4">
        <v>0</v>
      </c>
      <c r="S106" s="4">
        <v>0</v>
      </c>
      <c r="T106" s="10">
        <v>45978</v>
      </c>
      <c r="U106" s="2" t="s">
        <v>494</v>
      </c>
      <c r="V106" s="4">
        <v>0</v>
      </c>
      <c r="W106" s="1" t="b">
        <v>1</v>
      </c>
    </row>
    <row r="107" spans="1:23" ht="75" x14ac:dyDescent="0.25">
      <c r="A107" s="1" t="s">
        <v>416</v>
      </c>
      <c r="B107" s="1" t="s">
        <v>18</v>
      </c>
      <c r="C107" s="2" t="s">
        <v>19</v>
      </c>
      <c r="D107" s="4">
        <v>0.9</v>
      </c>
      <c r="E107" s="1" t="s">
        <v>42</v>
      </c>
      <c r="G107" s="1" t="s">
        <v>258</v>
      </c>
      <c r="I107" s="2" t="s">
        <v>454</v>
      </c>
      <c r="J107" s="2" t="s">
        <v>455</v>
      </c>
      <c r="K107" s="1" t="b">
        <v>1</v>
      </c>
      <c r="L107" s="2" t="s">
        <v>125</v>
      </c>
      <c r="M107" s="2" t="str">
        <f t="shared" si="10"/>
        <v>QVQLVESGGGVVQPGRSLRLSCAASGFTFSNYAMHWVRQAPGKGLEWVAVISYNSGNPYADSVKGRFTISRDNSKNTLYLQMRVEDTAVYYCSRTTIGYGGDIWGNMFDYWGQGTLVTVSSGGGSGGGSGGGSGGGSDIVMTQSPATLSVSPGDRATLSCRASQSISTNLAWYQQKPGQAPRLLIYTASTLESGVPSRFSGSGSGTEFTLTISNLQSEDFATYFCQQYSAPLTFGGGTKVEIK</v>
      </c>
      <c r="N107" s="4">
        <f t="shared" si="11"/>
        <v>243</v>
      </c>
      <c r="O107" s="1" t="b">
        <f t="shared" si="12"/>
        <v>1</v>
      </c>
      <c r="P107" s="1" t="b">
        <v>0</v>
      </c>
      <c r="Q107" s="1" t="b">
        <f>TRUE()</f>
        <v>1</v>
      </c>
      <c r="R107" s="4">
        <v>0</v>
      </c>
      <c r="S107" s="4">
        <v>5.5960000000000003E-3</v>
      </c>
      <c r="T107" s="10">
        <v>45977</v>
      </c>
      <c r="U107" s="2" t="s">
        <v>489</v>
      </c>
      <c r="V107" s="4">
        <v>6.4222000000000001E-2</v>
      </c>
      <c r="W107" s="1" t="b">
        <v>0</v>
      </c>
    </row>
    <row r="108" spans="1:23" ht="75" x14ac:dyDescent="0.25">
      <c r="A108" s="1" t="s">
        <v>417</v>
      </c>
      <c r="B108" s="1" t="s">
        <v>18</v>
      </c>
      <c r="C108" s="2" t="s">
        <v>19</v>
      </c>
      <c r="D108" s="4">
        <v>0.9</v>
      </c>
      <c r="E108" s="1" t="s">
        <v>42</v>
      </c>
      <c r="G108" s="1" t="s">
        <v>258</v>
      </c>
      <c r="I108" s="2" t="s">
        <v>456</v>
      </c>
      <c r="J108" s="2" t="s">
        <v>457</v>
      </c>
      <c r="K108" s="1" t="b">
        <v>1</v>
      </c>
      <c r="L108" s="2" t="s">
        <v>126</v>
      </c>
      <c r="M108" s="2" t="str">
        <f t="shared" si="10"/>
        <v>EVQLVESGGGLVQPGGSLRLSCAASGFASSSSNYVHWVRQAPGKGLEWVATIYPYSSSEYAASVQGRFTISRDDSKNTLYLQMNSLRGEDTAVYYCARYGYYSSRSGYGYYFNYWGQGTLVTVSSGGGSGGGSGGGSDIVMTQSPASLAVSLGQRATISCRASESVDSYGNSFLAWYQQKPGQPPKLLIYWASTRQSGVPARFSGSGSGTDFTLNIHPVEEEDAATYYCQQHNYPLTFGAGTKLEIK</v>
      </c>
      <c r="N108" s="4">
        <f t="shared" si="11"/>
        <v>247</v>
      </c>
      <c r="O108" s="1" t="b">
        <f t="shared" si="12"/>
        <v>1</v>
      </c>
      <c r="P108" s="1" t="b">
        <v>0</v>
      </c>
      <c r="Q108" s="1" t="b">
        <f>TRUE()</f>
        <v>1</v>
      </c>
      <c r="R108" s="4">
        <v>0.51522000000000001</v>
      </c>
      <c r="S108" s="4">
        <v>0.575318</v>
      </c>
      <c r="T108" s="10">
        <v>45977</v>
      </c>
      <c r="U108" s="2" t="s">
        <v>488</v>
      </c>
      <c r="V108" s="4">
        <v>0.136903</v>
      </c>
      <c r="W108" s="1" t="b">
        <v>0</v>
      </c>
    </row>
    <row r="109" spans="1:23" ht="60" x14ac:dyDescent="0.25">
      <c r="A109" s="1" t="s">
        <v>418</v>
      </c>
      <c r="B109" s="1" t="s">
        <v>18</v>
      </c>
      <c r="C109" s="2" t="s">
        <v>19</v>
      </c>
      <c r="D109" s="4">
        <v>0.9</v>
      </c>
      <c r="E109" s="1" t="s">
        <v>42</v>
      </c>
      <c r="G109" s="1" t="s">
        <v>258</v>
      </c>
      <c r="I109" s="2" t="s">
        <v>458</v>
      </c>
      <c r="J109" s="2" t="s">
        <v>459</v>
      </c>
      <c r="K109" s="1" t="b">
        <v>1</v>
      </c>
      <c r="L109" s="2" t="s">
        <v>125</v>
      </c>
      <c r="M109" s="2" t="str">
        <f t="shared" si="10"/>
        <v>EVQLVESGAEVKKPGSSVKVSCKASGGPFTSYVISWVRQAPGQGLEWMGRIIPIRGTTYAQKFQGRVTITADKSTSTAYMELRSEDTAVYYCARGSHVFGYYDYWGQGTLVTVSSGGGSGGGSGGGSGGGSEIVLTQSPGTLSLSPGERATLSCRASQSISGNYLAWYQQKPGQAPRLLIYGASIRAAGIPDRFSGSGSGTDFTLTISRLEPEDFAVYYCQQYGSSPRTFGQGTKVEIK</v>
      </c>
      <c r="N109" s="4">
        <f t="shared" si="11"/>
        <v>239</v>
      </c>
      <c r="O109" s="1" t="b">
        <f t="shared" si="12"/>
        <v>1</v>
      </c>
      <c r="P109" s="1" t="b">
        <v>0</v>
      </c>
      <c r="Q109" s="1" t="b">
        <f>TRUE()</f>
        <v>1</v>
      </c>
      <c r="R109" s="4">
        <v>0</v>
      </c>
      <c r="S109" s="4">
        <v>0</v>
      </c>
      <c r="T109" s="10">
        <v>45978</v>
      </c>
      <c r="U109" s="2" t="s">
        <v>498</v>
      </c>
      <c r="V109" s="4">
        <v>5.313E-3</v>
      </c>
      <c r="W109" s="1" t="b">
        <v>0</v>
      </c>
    </row>
    <row r="110" spans="1:23" ht="60" x14ac:dyDescent="0.25">
      <c r="A110" s="1" t="s">
        <v>419</v>
      </c>
      <c r="B110" s="1" t="s">
        <v>18</v>
      </c>
      <c r="C110" s="2" t="s">
        <v>19</v>
      </c>
      <c r="D110" s="4">
        <v>0.9</v>
      </c>
      <c r="E110" s="1" t="s">
        <v>42</v>
      </c>
      <c r="G110" s="1" t="s">
        <v>258</v>
      </c>
      <c r="I110" s="2" t="s">
        <v>460</v>
      </c>
      <c r="J110" s="2" t="s">
        <v>461</v>
      </c>
      <c r="K110" s="1" t="b">
        <v>1</v>
      </c>
      <c r="L110" s="2" t="s">
        <v>125</v>
      </c>
      <c r="M110" s="2" t="str">
        <f t="shared" si="10"/>
        <v>EVQLVETGGGLVQPGGSLKLSCRASGYTFTDYAMHWVRQAPLGLGLYTGGVNYARHFMKSRISITRDNSKNTLYLQMTKVDDTATYFCARRGLFDSDYWGQGTLVTVSSGGGSGGGSGGGSGGGSSVTQPPSVSGSTSVGDRVTTCRASQSISSNWLAWYQQFPGTAPKLLIYENSSRPSGVPDRFSGSGSGTDFTLKISRVEAEDVGVYYCLQALSPRFTFGSGTKLEIK</v>
      </c>
      <c r="N110" s="4">
        <f t="shared" si="11"/>
        <v>231</v>
      </c>
      <c r="O110" s="1" t="b">
        <f t="shared" si="12"/>
        <v>1</v>
      </c>
      <c r="P110" s="1" t="b">
        <v>0</v>
      </c>
      <c r="Q110" s="1" t="b">
        <f>TRUE()</f>
        <v>1</v>
      </c>
      <c r="R110" s="4">
        <v>0</v>
      </c>
      <c r="S110" s="4">
        <v>0</v>
      </c>
      <c r="T110" s="10">
        <v>45978</v>
      </c>
      <c r="U110" s="2" t="s">
        <v>497</v>
      </c>
      <c r="V110" s="4">
        <v>0</v>
      </c>
      <c r="W110" s="1" t="b">
        <v>0</v>
      </c>
    </row>
    <row r="111" spans="1:23" ht="75" x14ac:dyDescent="0.25">
      <c r="A111" s="1" t="s">
        <v>420</v>
      </c>
      <c r="B111" s="1" t="s">
        <v>18</v>
      </c>
      <c r="C111" s="2" t="s">
        <v>19</v>
      </c>
      <c r="D111" s="4">
        <v>0.9</v>
      </c>
      <c r="E111" s="1" t="s">
        <v>42</v>
      </c>
      <c r="G111" s="1" t="s">
        <v>258</v>
      </c>
      <c r="I111" s="2" t="s">
        <v>462</v>
      </c>
      <c r="J111" s="2" t="s">
        <v>463</v>
      </c>
      <c r="K111" s="1" t="b">
        <v>1</v>
      </c>
      <c r="L111" s="2" t="s">
        <v>125</v>
      </c>
      <c r="M111" s="2" t="str">
        <f t="shared" si="10"/>
        <v>QVQLVQSGAEVKKPGSSVKVSCKASGGTFSNYGISWVRQAPGQGLEWMGGIIPILGIANYAQKFQGRVTITADKSTSTAYMELRSLRSDDTAVYYCAREGHAYFHNGLDYWGQGTLVTVSSGGGSGGGSGGGSGGGSEIVLTQSPGTLSLSPGERATLSCRASQSVSSSYFAWYQQKPGQAPRLLIYGASSRATGIPDRFSGSGSGTDFTLTISRLEPEDFAVYYCQQYGSSPPATFGQGTKVEIK</v>
      </c>
      <c r="N111" s="4">
        <f t="shared" si="11"/>
        <v>246</v>
      </c>
      <c r="O111" s="1" t="b">
        <f t="shared" si="12"/>
        <v>1</v>
      </c>
      <c r="P111" s="1" t="b">
        <v>0</v>
      </c>
      <c r="Q111" s="1" t="b">
        <f>TRUE()</f>
        <v>1</v>
      </c>
      <c r="R111" s="4">
        <v>5.1460000000000004E-3</v>
      </c>
      <c r="S111" s="4">
        <v>2.6327E-2</v>
      </c>
      <c r="T111" s="10">
        <v>45978</v>
      </c>
      <c r="U111" s="2" t="s">
        <v>499</v>
      </c>
      <c r="V111" s="4">
        <v>0.274924</v>
      </c>
      <c r="W111" s="1" t="b">
        <v>0</v>
      </c>
    </row>
    <row r="112" spans="1:23" ht="60" x14ac:dyDescent="0.25">
      <c r="A112" s="1" t="s">
        <v>421</v>
      </c>
      <c r="B112" s="1" t="s">
        <v>18</v>
      </c>
      <c r="C112" s="2" t="s">
        <v>19</v>
      </c>
      <c r="D112" s="4">
        <v>0.9</v>
      </c>
      <c r="E112" s="1" t="s">
        <v>42</v>
      </c>
      <c r="G112" s="1" t="s">
        <v>258</v>
      </c>
      <c r="I112" s="2" t="s">
        <v>464</v>
      </c>
      <c r="J112" s="2" t="s">
        <v>465</v>
      </c>
      <c r="K112" s="1" t="b">
        <v>1</v>
      </c>
      <c r="L112" s="2" t="s">
        <v>125</v>
      </c>
      <c r="M112" s="2" t="str">
        <f t="shared" si="10"/>
        <v>QVQLVESGGGVVQPGRSLRLSCAASGFTFSSFGMHWVRQAPGKGLEWVAIIWDGSNKYYADSVKGRFTISRDNSKNTLYLQMRAEDTAVYYCALDGGSFDDYWGQGTLVTVSSGGGSGGGSGGGSGGGSDIQMTQSPSTLSTSVGDRVTITCRASQSISSWLAWYQQKPGKAPKLLIYKASTLESGVPSRFSGSGSGTEFTLTISSLQPDDFATYYCQHFYGTPITFGPGTKVD</v>
      </c>
      <c r="N112" s="4">
        <f t="shared" si="11"/>
        <v>234</v>
      </c>
      <c r="O112" s="1" t="b">
        <f t="shared" si="12"/>
        <v>1</v>
      </c>
      <c r="P112" s="1" t="b">
        <v>0</v>
      </c>
      <c r="Q112" s="1" t="b">
        <f>TRUE()</f>
        <v>1</v>
      </c>
      <c r="R112" s="4">
        <v>0.15404200000000001</v>
      </c>
      <c r="S112" s="4">
        <v>0.23156599999999999</v>
      </c>
      <c r="T112" s="10">
        <v>45978</v>
      </c>
      <c r="U112" s="2" t="s">
        <v>500</v>
      </c>
      <c r="V112" s="4">
        <v>0.27380900000000002</v>
      </c>
      <c r="W112" s="1" t="b">
        <v>0</v>
      </c>
    </row>
    <row r="113" spans="1:23" ht="60" x14ac:dyDescent="0.25">
      <c r="A113" s="1" t="s">
        <v>422</v>
      </c>
      <c r="B113" s="1" t="s">
        <v>18</v>
      </c>
      <c r="C113" s="2" t="s">
        <v>19</v>
      </c>
      <c r="D113" s="4">
        <v>0.9</v>
      </c>
      <c r="E113" s="1" t="s">
        <v>42</v>
      </c>
      <c r="G113" s="1" t="s">
        <v>258</v>
      </c>
      <c r="I113" s="2" t="s">
        <v>466</v>
      </c>
      <c r="J113" s="2" t="s">
        <v>467</v>
      </c>
      <c r="K113" s="1" t="b">
        <v>1</v>
      </c>
      <c r="L113" s="2" t="s">
        <v>125</v>
      </c>
      <c r="M113" s="2" t="str">
        <f t="shared" si="10"/>
        <v>EVQLVESGGGLVKPGGSLKVSCAASGFTFSDYSMNWVRQAPGKGLEWVSSITSGYTSIYYADSVKGRFTISRDNAKNSLYLQMNSLRAGDTAVYYCARVSDNFDYWGQGTAVTVSSGGGSGGGSGGGSGGGSDIQMTQSPSSLSASVGDRVTITCQASQDIRFYLNWYQQKPGKAPKLLISAASTLQSGVPSRFSGSGSGTDFTLTITSLQPEDFATYYCAGYVPSYTFGPGTKVDIK</v>
      </c>
      <c r="N113" s="4">
        <f t="shared" si="11"/>
        <v>238</v>
      </c>
      <c r="O113" s="1" t="b">
        <f t="shared" si="12"/>
        <v>1</v>
      </c>
      <c r="P113" s="1" t="b">
        <v>0</v>
      </c>
      <c r="Q113" s="1" t="b">
        <f>TRUE()</f>
        <v>1</v>
      </c>
      <c r="R113" s="4">
        <v>0</v>
      </c>
      <c r="S113" s="4">
        <v>0</v>
      </c>
      <c r="T113" s="10">
        <v>45979</v>
      </c>
      <c r="U113" s="2" t="s">
        <v>508</v>
      </c>
      <c r="V113" s="4">
        <v>0.61102100000000004</v>
      </c>
      <c r="W113" s="1" t="b">
        <v>0</v>
      </c>
    </row>
    <row r="114" spans="1:23" ht="75" x14ac:dyDescent="0.25">
      <c r="A114" s="1" t="s">
        <v>423</v>
      </c>
      <c r="B114" s="1" t="s">
        <v>18</v>
      </c>
      <c r="C114" s="2" t="s">
        <v>19</v>
      </c>
      <c r="D114" s="4">
        <v>0.9</v>
      </c>
      <c r="E114" s="1" t="s">
        <v>42</v>
      </c>
      <c r="G114" s="1" t="s">
        <v>258</v>
      </c>
      <c r="I114" s="2" t="s">
        <v>468</v>
      </c>
      <c r="J114" s="2" t="s">
        <v>469</v>
      </c>
      <c r="K114" s="1" t="b">
        <v>1</v>
      </c>
      <c r="L114" s="2" t="s">
        <v>125</v>
      </c>
      <c r="M114" s="2" t="str">
        <f t="shared" si="10"/>
        <v>EVQLQQSGAELVKPGASVKLSCKASGYTFLDYYMYWVKQRPEQGLEWIGRIDPANGNTIYAPKFQDKATLTLTTDTTSSNTAYMQLSSLTSEDSAVYYCAREGNYGYRDLAWFAYWGQGTLVTVSSGGGSGGGSGGGSGGGSAIRMTQSPSSLSASVGDTVTITCRASQSISSYLNWYQQKPGKAPKLLIYTASNLESGVPSRFSGSGSGTDYTLTISSLQPEDIATYYCQQYDNPPLTFGGGTKVEIK</v>
      </c>
      <c r="N114" s="4">
        <f t="shared" si="11"/>
        <v>249</v>
      </c>
      <c r="O114" s="1" t="b">
        <f t="shared" si="12"/>
        <v>1</v>
      </c>
      <c r="P114" s="1" t="b">
        <v>0</v>
      </c>
      <c r="Q114" s="1" t="b">
        <f>TRUE()</f>
        <v>1</v>
      </c>
      <c r="R114" s="4">
        <v>5.705E-3</v>
      </c>
      <c r="S114" s="4">
        <v>4.4477999999999997E-2</v>
      </c>
      <c r="T114" s="10">
        <v>45979</v>
      </c>
      <c r="U114" s="2" t="s">
        <v>510</v>
      </c>
      <c r="V114" s="4">
        <v>8.9335999999999999E-2</v>
      </c>
      <c r="W114" s="1" t="b">
        <v>0</v>
      </c>
    </row>
    <row r="115" spans="1:23" ht="60" x14ac:dyDescent="0.25">
      <c r="A115" s="1" t="s">
        <v>424</v>
      </c>
      <c r="B115" s="1" t="s">
        <v>18</v>
      </c>
      <c r="C115" s="2" t="s">
        <v>19</v>
      </c>
      <c r="D115" s="4">
        <v>0.9</v>
      </c>
      <c r="E115" s="1" t="s">
        <v>42</v>
      </c>
      <c r="G115" s="1" t="s">
        <v>258</v>
      </c>
      <c r="I115" s="2" t="s">
        <v>470</v>
      </c>
      <c r="J115" s="2" t="s">
        <v>471</v>
      </c>
      <c r="K115" s="1" t="b">
        <v>1</v>
      </c>
      <c r="L115" s="2" t="s">
        <v>125</v>
      </c>
      <c r="M115" s="2" t="str">
        <f t="shared" si="10"/>
        <v>QVQLQESGPGLVKPSETLSLTCTVSGGSVSSGGYFWSWIRQRPGKGLEWIGHIYYSGTTNYNPSLRSRVTISRDTSKSQFSLKMDSLTSEDTALYYCARQLGLRFDIWGQGTMVTVSSGGGSGGGSGGGSGGGSDIQMTQSPSSLSASVGDRVTITCRASQSISSYLNWYQQKPGKAPKLLIYAASSLQSGVPSRFSGSGSGTDFTLTISSLQPEDFATYYCQQSYTTPPTFGQGTKVEIK</v>
      </c>
      <c r="N115" s="4">
        <f t="shared" si="11"/>
        <v>241</v>
      </c>
      <c r="O115" s="1" t="b">
        <f t="shared" si="12"/>
        <v>1</v>
      </c>
      <c r="P115" s="1" t="b">
        <v>0</v>
      </c>
      <c r="Q115" s="1" t="b">
        <f>TRUE()</f>
        <v>1</v>
      </c>
      <c r="R115" s="4">
        <v>0</v>
      </c>
      <c r="S115" s="4">
        <v>0</v>
      </c>
      <c r="T115" s="10">
        <v>45979</v>
      </c>
      <c r="U115" s="2" t="s">
        <v>511</v>
      </c>
      <c r="V115" s="4">
        <v>5.3220000000000003E-3</v>
      </c>
      <c r="W115" s="1" t="b">
        <v>1</v>
      </c>
    </row>
    <row r="116" spans="1:23" ht="60" x14ac:dyDescent="0.25">
      <c r="A116" s="1" t="s">
        <v>425</v>
      </c>
      <c r="B116" s="1" t="s">
        <v>18</v>
      </c>
      <c r="C116" s="2" t="s">
        <v>19</v>
      </c>
      <c r="D116" s="4">
        <v>0.9</v>
      </c>
      <c r="E116" s="1" t="s">
        <v>42</v>
      </c>
      <c r="G116" s="1" t="s">
        <v>258</v>
      </c>
      <c r="I116" s="2" t="s">
        <v>472</v>
      </c>
      <c r="J116" s="2" t="s">
        <v>473</v>
      </c>
      <c r="K116" s="1" t="b">
        <v>1</v>
      </c>
      <c r="L116" s="2" t="s">
        <v>125</v>
      </c>
      <c r="M116" s="2" t="str">
        <f t="shared" si="10"/>
        <v>QVQLVESGGGLVQPGGSLRLSCAASGFNLYSSSIHWVRQAPGKGLEWVARIYPSGATYYADSVKGRFTISADTSKNTAYLQMRAEDTAVYYCARSYYGDDYWGQGTLVTVSSGGGSGGGSGGGSGGGSDIQMTQSPSSLSASVGDRVTITCRASQSVSSAVAWYQQKPGKAPKLLIYSASFLYSGVPSRFSGSRSGTDFTLTISSLQPEDFATYYCQQYSYYPFTFGQGTKVEIK</v>
      </c>
      <c r="N116" s="4">
        <f t="shared" si="11"/>
        <v>235</v>
      </c>
      <c r="O116" s="1" t="b">
        <f t="shared" si="12"/>
        <v>1</v>
      </c>
      <c r="P116" s="1" t="b">
        <v>0</v>
      </c>
      <c r="Q116" s="1" t="b">
        <f>TRUE()</f>
        <v>1</v>
      </c>
      <c r="R116" s="4">
        <v>0</v>
      </c>
      <c r="S116" s="4">
        <v>2.3538E-2</v>
      </c>
      <c r="T116" s="10">
        <v>45979</v>
      </c>
      <c r="U116" s="2" t="s">
        <v>509</v>
      </c>
      <c r="V116" s="4">
        <v>0</v>
      </c>
      <c r="W116" s="1" t="b">
        <v>0</v>
      </c>
    </row>
    <row r="117" spans="1:23" ht="60" x14ac:dyDescent="0.25">
      <c r="A117" s="1" t="s">
        <v>502</v>
      </c>
      <c r="B117" s="1" t="s">
        <v>18</v>
      </c>
      <c r="C117" s="2" t="s">
        <v>505</v>
      </c>
      <c r="D117" s="4">
        <v>0.7</v>
      </c>
      <c r="E117" s="1" t="s">
        <v>49</v>
      </c>
      <c r="F117" s="1" t="s">
        <v>292</v>
      </c>
      <c r="G117" s="1" t="s">
        <v>258</v>
      </c>
      <c r="I117" s="2" t="s">
        <v>506</v>
      </c>
      <c r="J117" s="2" t="s">
        <v>507</v>
      </c>
      <c r="K117" s="1" t="b">
        <v>1</v>
      </c>
      <c r="L117" s="2" t="s">
        <v>125</v>
      </c>
      <c r="M117" s="2" t="str">
        <f t="shared" si="10"/>
        <v>EVQLLESGGGLVQPGGSLRLSCAASGFTFSSYAMSWVRQAPGKGLEWVSYISSSSSTIYYADSVKGRFTISRDNAKNSLYLQMNSLRAEDTAVYYCAKYSSYDYDYWGRGTMVTVSSGGGSGGGSGGGSGGGSDIQLTQSPSSLSASVGDRVTITCRASQGISSYLNWYQQKPGKAPKLLIYDASSLQSGVPSRFSGSGSGTDFTLTISSLQPEDFATYYCQQFYEWLRTFGQGTRLEIK</v>
      </c>
      <c r="N117" s="4">
        <f t="shared" si="11"/>
        <v>240</v>
      </c>
      <c r="O117" s="1" t="b">
        <f t="shared" si="12"/>
        <v>1</v>
      </c>
      <c r="P117" s="1" t="b">
        <v>0</v>
      </c>
      <c r="Q117" s="1" t="b">
        <f>TRUE()</f>
        <v>1</v>
      </c>
      <c r="R117" s="4">
        <v>0</v>
      </c>
      <c r="S117" s="4">
        <v>0</v>
      </c>
      <c r="T117" s="10">
        <v>45979</v>
      </c>
      <c r="U117" s="2" t="s">
        <v>512</v>
      </c>
      <c r="V117" s="4">
        <v>0.1542</v>
      </c>
      <c r="W117" s="1" t="b">
        <v>1</v>
      </c>
    </row>
    <row r="118" spans="1:23" ht="75" x14ac:dyDescent="0.25">
      <c r="A118" s="1" t="s">
        <v>503</v>
      </c>
      <c r="B118" s="1" t="s">
        <v>18</v>
      </c>
      <c r="C118" s="2" t="s">
        <v>505</v>
      </c>
      <c r="D118" s="4">
        <v>0.9</v>
      </c>
      <c r="E118" s="1" t="s">
        <v>49</v>
      </c>
      <c r="F118" s="1" t="s">
        <v>417</v>
      </c>
      <c r="G118" s="1" t="s">
        <v>258</v>
      </c>
      <c r="I118" s="2" t="s">
        <v>501</v>
      </c>
      <c r="J118" s="2" t="s">
        <v>504</v>
      </c>
      <c r="K118" s="1" t="b">
        <v>1</v>
      </c>
      <c r="L118" s="2" t="s">
        <v>126</v>
      </c>
      <c r="M118" s="2" t="str">
        <f t="shared" si="10"/>
        <v>EVQLVESGGGLVQPGGSLRLSCAASGFATVSSNYMSWVRQAPGKGLEWVSVIYSCGSTYYADSVKGRFTISRDNSKNTLYLQMNSLRAEDTAVYYCARYYYDSSRSGYYYYFDYWGQGTLVTVSSGGGSGGGSGGGSDIVLTQSPASLAVSLGQRATISCKASQSVDYDGDSYMHWYQQKPGQPPKLLIYRASNLESGIPARFSGSGSRTDFTLTINPVEADDVATYYCQQSNYPLTFGSGTKVEIK</v>
      </c>
      <c r="N118" s="4">
        <f t="shared" si="11"/>
        <v>247</v>
      </c>
      <c r="O118" s="1" t="b">
        <f t="shared" si="12"/>
        <v>1</v>
      </c>
      <c r="P118" s="1" t="b">
        <v>0</v>
      </c>
      <c r="Q118" s="1" t="b">
        <f>TRUE()</f>
        <v>1</v>
      </c>
      <c r="R118" s="4">
        <v>0</v>
      </c>
      <c r="S118" s="4">
        <v>5.1120000000000002E-3</v>
      </c>
      <c r="T118" s="10">
        <v>45979</v>
      </c>
      <c r="U118" s="2" t="s">
        <v>513</v>
      </c>
      <c r="V118" s="4">
        <v>0</v>
      </c>
      <c r="W118" s="1" t="b">
        <v>1</v>
      </c>
    </row>
    <row r="119" spans="1:23" ht="60" x14ac:dyDescent="0.25">
      <c r="A119" s="1" t="s">
        <v>516</v>
      </c>
      <c r="B119" s="1" t="s">
        <v>515</v>
      </c>
      <c r="C119" s="2" t="s">
        <v>526</v>
      </c>
      <c r="D119" s="4">
        <v>0.2</v>
      </c>
      <c r="E119" s="1" t="s">
        <v>49</v>
      </c>
      <c r="F119" s="1" t="s">
        <v>266</v>
      </c>
      <c r="G119" s="1" t="s">
        <v>258</v>
      </c>
      <c r="I119" s="2" t="s">
        <v>527</v>
      </c>
      <c r="J119" s="2" t="s">
        <v>296</v>
      </c>
      <c r="K119" s="1" t="b">
        <v>1</v>
      </c>
      <c r="L119" s="2" t="s">
        <v>126</v>
      </c>
      <c r="M119" s="2" t="str">
        <f t="shared" si="10"/>
        <v>EVQLVESGGGLVQPGGSLRLSCAASGFNISDSSIHWVRQAPGKGLEWVASISSYSGYTYYADSVKGRFTISADTSKNTAYLQMNSLRAEDTAVYYCARGGRDLFGLDALDYWGQGTLVTVSSGGGSGGGSGGGSDIQMTQSPSSLSASVGDRVTITCRASQSVSSAVAWYQQKPGKAPKLLIYSASSLYSGVPSRFSGSRSGTDFTLTISSLQPEDFATYYCQQYKYVPVTFGQGTKVEIK</v>
      </c>
      <c r="N119" s="4">
        <f t="shared" si="11"/>
        <v>241</v>
      </c>
      <c r="O119" s="1" t="b">
        <f t="shared" si="12"/>
        <v>1</v>
      </c>
      <c r="P119" s="1" t="b">
        <v>0</v>
      </c>
      <c r="Q119" s="1" t="b">
        <f>TRUE()</f>
        <v>1</v>
      </c>
      <c r="R119" s="4">
        <v>0</v>
      </c>
      <c r="S119" s="4">
        <v>0</v>
      </c>
      <c r="T119" s="10">
        <v>45983</v>
      </c>
      <c r="U119" s="2" t="s">
        <v>537</v>
      </c>
      <c r="V119" s="4">
        <v>0.69</v>
      </c>
      <c r="W119" s="1" t="b">
        <v>0</v>
      </c>
    </row>
    <row r="120" spans="1:23" ht="60" x14ac:dyDescent="0.25">
      <c r="A120" s="1" t="s">
        <v>517</v>
      </c>
      <c r="B120" s="1" t="s">
        <v>515</v>
      </c>
      <c r="C120" s="2" t="s">
        <v>526</v>
      </c>
      <c r="D120" s="4">
        <v>0.2</v>
      </c>
      <c r="E120" s="1" t="s">
        <v>49</v>
      </c>
      <c r="F120" s="1" t="s">
        <v>266</v>
      </c>
      <c r="G120" s="1" t="s">
        <v>258</v>
      </c>
      <c r="I120" s="2" t="s">
        <v>528</v>
      </c>
      <c r="J120" s="2" t="s">
        <v>296</v>
      </c>
      <c r="K120" s="1" t="b">
        <v>1</v>
      </c>
      <c r="L120" s="2" t="s">
        <v>126</v>
      </c>
      <c r="M120" s="2" t="str">
        <f t="shared" si="10"/>
        <v>EVQLVESGGGLVQPGGSLRLSCAASGFNISSSSIHWVRQAPGKGLEWVASIYSYSGLTYYADSVKGRFTISADTSKNTAYLQMNSLRAEDTAVYYCARGGYYLDGLYALDYWGQGTLVTVSSGGGSGGGSGGGSDIQMTQSPSSLSASVGDRVTITCRASQSVSSAVAWYQQKPGKAPKLLIYSASSLYSGVPSRFSGSRSGTDFTLTISSLQPEDFATYYCQQYKYVPVTFGQGTKVEIK</v>
      </c>
      <c r="N120" s="4">
        <f t="shared" si="11"/>
        <v>241</v>
      </c>
      <c r="O120" s="1" t="b">
        <f t="shared" si="12"/>
        <v>1</v>
      </c>
      <c r="P120" s="1" t="b">
        <v>0</v>
      </c>
      <c r="Q120" s="1" t="b">
        <f>TRUE()</f>
        <v>1</v>
      </c>
      <c r="R120" s="4">
        <v>0</v>
      </c>
      <c r="S120" s="4">
        <v>5.5250000000000004E-3</v>
      </c>
      <c r="T120" s="10">
        <v>45983</v>
      </c>
      <c r="U120" s="2" t="s">
        <v>538</v>
      </c>
      <c r="V120" s="4">
        <v>0</v>
      </c>
      <c r="W120" s="1" t="b">
        <v>0</v>
      </c>
    </row>
    <row r="121" spans="1:23" ht="60" x14ac:dyDescent="0.25">
      <c r="A121" s="1" t="s">
        <v>518</v>
      </c>
      <c r="B121" s="1" t="s">
        <v>515</v>
      </c>
      <c r="C121" s="2" t="s">
        <v>526</v>
      </c>
      <c r="D121" s="4">
        <v>0.2</v>
      </c>
      <c r="E121" s="1" t="s">
        <v>49</v>
      </c>
      <c r="F121" s="1" t="s">
        <v>266</v>
      </c>
      <c r="G121" s="1" t="s">
        <v>258</v>
      </c>
      <c r="I121" s="2" t="s">
        <v>529</v>
      </c>
      <c r="J121" s="2" t="s">
        <v>296</v>
      </c>
      <c r="K121" s="1" t="b">
        <v>1</v>
      </c>
      <c r="L121" s="2" t="s">
        <v>126</v>
      </c>
      <c r="M121" s="2" t="str">
        <f t="shared" si="10"/>
        <v>EVQLVESGGGLVQPGGSLRLSCAASGFNISSSSIHWVRQAPGKGLEWVASIYSYSGATYYADSVKGRFTISADTSKNTAYLQMNSLRAEDTAVYYCARGGNHLDGLYALDYWGQGTLVTVSSGGGSGGGSGGGSDIQMTQSPSSLSASVGDRVTITCRASQSVSSAVAWYQQKPGKAPKLLIYSASSLYSGVPSRFSGSRSGTDFTLTISSLQPEDFATYYCQQYKYVPVTFGQGTKVEIK</v>
      </c>
      <c r="N121" s="4">
        <f t="shared" si="11"/>
        <v>241</v>
      </c>
      <c r="O121" s="1" t="b">
        <f t="shared" si="12"/>
        <v>1</v>
      </c>
      <c r="P121" s="1" t="b">
        <v>0</v>
      </c>
      <c r="Q121" s="1" t="b">
        <f>TRUE()</f>
        <v>1</v>
      </c>
      <c r="R121" s="4">
        <v>5.3680000000000004E-3</v>
      </c>
      <c r="S121" s="4">
        <v>8.0700000000000008E-3</v>
      </c>
      <c r="T121" s="10">
        <v>45983</v>
      </c>
      <c r="U121" s="2" t="s">
        <v>539</v>
      </c>
      <c r="V121" s="4">
        <v>0</v>
      </c>
      <c r="W121" s="1" t="b">
        <v>0</v>
      </c>
    </row>
    <row r="122" spans="1:23" ht="60" x14ac:dyDescent="0.25">
      <c r="A122" s="1" t="s">
        <v>519</v>
      </c>
      <c r="B122" s="1" t="s">
        <v>515</v>
      </c>
      <c r="C122" s="2" t="s">
        <v>526</v>
      </c>
      <c r="D122" s="4">
        <v>0.2</v>
      </c>
      <c r="E122" s="1" t="s">
        <v>49</v>
      </c>
      <c r="F122" s="1" t="s">
        <v>266</v>
      </c>
      <c r="G122" s="1" t="s">
        <v>258</v>
      </c>
      <c r="I122" s="2" t="s">
        <v>530</v>
      </c>
      <c r="J122" s="2" t="s">
        <v>296</v>
      </c>
      <c r="K122" s="1" t="b">
        <v>1</v>
      </c>
      <c r="L122" s="2" t="s">
        <v>126</v>
      </c>
      <c r="M122" s="2" t="str">
        <f t="shared" si="10"/>
        <v>EVQLVESGGGLVQPGGSLRLSCAASGFNISSSSIHWVRQAPGKGLEWVASIYSYSGYTYYADSVKGRFTISADTSKNTAYLQMNSLRAEDTAVYYCARGGRYLDGLFALDYWGQGTLVTVSSGGGSGGGSGGGSDIQMTQSPSSLSASVGDRVTITCRASQSVSSAVAWYQQKPGKAPKLLIYSASSLYSGVPSRFSGSRSGTDFTLTISSLQPEDFATYYCQQYKYVPVTFGQGTKVEIK</v>
      </c>
      <c r="N122" s="4">
        <f t="shared" si="11"/>
        <v>241</v>
      </c>
      <c r="O122" s="1" t="b">
        <f t="shared" si="12"/>
        <v>1</v>
      </c>
      <c r="P122" s="1" t="b">
        <v>0</v>
      </c>
      <c r="Q122" s="1" t="b">
        <f>TRUE()</f>
        <v>1</v>
      </c>
      <c r="R122" s="4">
        <v>0</v>
      </c>
      <c r="S122" s="4">
        <v>5.1799999999999997E-3</v>
      </c>
      <c r="T122" s="10">
        <v>45983</v>
      </c>
      <c r="U122" s="2" t="s">
        <v>542</v>
      </c>
      <c r="V122" s="4">
        <v>0.02</v>
      </c>
      <c r="W122" s="1" t="b">
        <v>1</v>
      </c>
    </row>
    <row r="123" spans="1:23" ht="60" x14ac:dyDescent="0.25">
      <c r="A123" s="1" t="s">
        <v>520</v>
      </c>
      <c r="B123" s="1" t="s">
        <v>515</v>
      </c>
      <c r="C123" s="2" t="s">
        <v>526</v>
      </c>
      <c r="D123" s="4">
        <v>0.2</v>
      </c>
      <c r="E123" s="1" t="s">
        <v>49</v>
      </c>
      <c r="F123" s="1" t="s">
        <v>266</v>
      </c>
      <c r="G123" s="1" t="s">
        <v>258</v>
      </c>
      <c r="I123" s="2" t="s">
        <v>531</v>
      </c>
      <c r="J123" s="2" t="s">
        <v>296</v>
      </c>
      <c r="K123" s="1" t="b">
        <v>1</v>
      </c>
      <c r="L123" s="2" t="s">
        <v>126</v>
      </c>
      <c r="M123" s="2" t="str">
        <f t="shared" si="10"/>
        <v>EVQLVESGGGLVQPGGSLRLSCAASGFNISSSSIHWVRQAPGKGLEWVASISSYSGYTYYADSVKGRFTISADTSKNTAYLQMNSLRAEDTAVYYCARGGSLLRGLSALDYWGQGTLVTVSSGGGSGGGSGGGSDIQMTQSPSSLSASVGDRVTITCRASQSVSSAVAWYQQKPGKAPKLLIYSASSLYSGVPSRFSGSRSGTDFTLTISSLQPEDFATYYCQQYKYVPVTFGQGTKVEIK</v>
      </c>
      <c r="N123" s="4">
        <f t="shared" si="11"/>
        <v>241</v>
      </c>
      <c r="O123" s="1" t="b">
        <f t="shared" si="12"/>
        <v>1</v>
      </c>
      <c r="P123" s="1" t="b">
        <v>0</v>
      </c>
      <c r="Q123" s="1" t="b">
        <f>TRUE()</f>
        <v>1</v>
      </c>
      <c r="R123" s="4">
        <v>0.18029500000000001</v>
      </c>
      <c r="S123" s="4">
        <v>0.30336600000000002</v>
      </c>
      <c r="T123" s="10">
        <v>45983</v>
      </c>
      <c r="U123" s="2" t="s">
        <v>540</v>
      </c>
      <c r="V123" s="4">
        <v>0.01</v>
      </c>
      <c r="W123" s="1" t="b">
        <v>1</v>
      </c>
    </row>
    <row r="124" spans="1:23" ht="60" x14ac:dyDescent="0.25">
      <c r="A124" s="1" t="s">
        <v>521</v>
      </c>
      <c r="B124" s="1" t="s">
        <v>515</v>
      </c>
      <c r="C124" s="2" t="s">
        <v>526</v>
      </c>
      <c r="D124" s="4">
        <v>0.2</v>
      </c>
      <c r="E124" s="1" t="s">
        <v>49</v>
      </c>
      <c r="F124" s="1" t="s">
        <v>266</v>
      </c>
      <c r="G124" s="1" t="s">
        <v>258</v>
      </c>
      <c r="I124" s="2" t="s">
        <v>532</v>
      </c>
      <c r="J124" s="2" t="s">
        <v>296</v>
      </c>
      <c r="K124" s="1" t="b">
        <v>1</v>
      </c>
      <c r="L124" s="2" t="s">
        <v>126</v>
      </c>
      <c r="M124" s="2" t="str">
        <f t="shared" si="10"/>
        <v>EVQLVESGGGLVQPGGSLRLSCAASGFNISDSSIHWVRQAPGKGLEWVASISSYSGYTYYADSVKGRFTISADTSKNTAYLQMNSLRAEDTAVYYCARGGRYLDGLYALDYWGQGTLVTVSSGGGSGGGSGGGSDIQMTQSPSSLSASVGDRVTITCRASQSVSSAVAWYQQKPGKAPKLLIYSASSLYSGVPSRFSGSRSGTDFTLTISSLQPEDFATYYCQQYKYVPVTFGQGTKVEIK</v>
      </c>
      <c r="N124" s="4">
        <f t="shared" si="11"/>
        <v>241</v>
      </c>
      <c r="O124" s="1" t="b">
        <f t="shared" si="12"/>
        <v>1</v>
      </c>
      <c r="P124" s="1" t="b">
        <v>0</v>
      </c>
      <c r="Q124" s="1" t="b">
        <f>TRUE()</f>
        <v>1</v>
      </c>
      <c r="R124" s="4">
        <v>7.4260000000000003E-3</v>
      </c>
      <c r="S124" s="4">
        <v>8.3528000000000005E-2</v>
      </c>
      <c r="T124" s="10">
        <v>45983</v>
      </c>
      <c r="U124" s="2" t="s">
        <v>541</v>
      </c>
      <c r="V124" s="4">
        <v>0.31</v>
      </c>
      <c r="W124" s="1" t="b">
        <v>0</v>
      </c>
    </row>
    <row r="125" spans="1:23" ht="60" x14ac:dyDescent="0.25">
      <c r="A125" s="1" t="s">
        <v>522</v>
      </c>
      <c r="B125" s="1" t="s">
        <v>515</v>
      </c>
      <c r="C125" s="2" t="s">
        <v>526</v>
      </c>
      <c r="D125" s="4">
        <v>0.2</v>
      </c>
      <c r="E125" s="1" t="s">
        <v>49</v>
      </c>
      <c r="F125" s="1" t="s">
        <v>266</v>
      </c>
      <c r="G125" s="1" t="s">
        <v>258</v>
      </c>
      <c r="I125" s="2" t="s">
        <v>533</v>
      </c>
      <c r="J125" s="2" t="s">
        <v>296</v>
      </c>
      <c r="K125" s="1" t="b">
        <v>1</v>
      </c>
      <c r="L125" s="2" t="s">
        <v>126</v>
      </c>
      <c r="M125" s="2" t="str">
        <f t="shared" si="10"/>
        <v>EVQLVESGGGLVQPGGSLRLSCAASGFNISSSSIHWVRQAPGKGLEWVASISSYSGYTYYADSVKGRFTISADTSKNTAYLQMNSLRAEDTAVYYCARGGSYLDGLSALDYWGQGTLVTVSSGGGSGGGSGGGSDIQMTQSPSSLSASVGDRVTITCRASQSVSSAVAWYQQKPGKAPKLLIYSASSLYSGVPSRFSGSRSGTDFTLTISSLQPEDFATYYCQQYKYVPVTFGQGTKVEIK</v>
      </c>
      <c r="N125" s="4">
        <f t="shared" si="11"/>
        <v>241</v>
      </c>
      <c r="O125" s="1" t="b">
        <f t="shared" si="12"/>
        <v>1</v>
      </c>
      <c r="P125" s="1" t="b">
        <v>0</v>
      </c>
      <c r="Q125" s="1" t="b">
        <f>TRUE()</f>
        <v>1</v>
      </c>
      <c r="R125" s="4">
        <v>0.17149800000000001</v>
      </c>
      <c r="S125" s="4">
        <v>0.26701000000000003</v>
      </c>
      <c r="T125" s="10">
        <v>45983</v>
      </c>
      <c r="U125" s="2" t="s">
        <v>546</v>
      </c>
      <c r="V125" s="4">
        <v>0.01</v>
      </c>
      <c r="W125" s="1" t="b">
        <v>1</v>
      </c>
    </row>
    <row r="126" spans="1:23" ht="60" x14ac:dyDescent="0.25">
      <c r="A126" s="1" t="s">
        <v>523</v>
      </c>
      <c r="B126" s="1" t="s">
        <v>515</v>
      </c>
      <c r="C126" s="2" t="s">
        <v>526</v>
      </c>
      <c r="D126" s="4">
        <v>0.2</v>
      </c>
      <c r="E126" s="1" t="s">
        <v>49</v>
      </c>
      <c r="F126" s="1" t="s">
        <v>266</v>
      </c>
      <c r="G126" s="1" t="s">
        <v>258</v>
      </c>
      <c r="I126" s="2" t="s">
        <v>534</v>
      </c>
      <c r="J126" s="2" t="s">
        <v>296</v>
      </c>
      <c r="K126" s="1" t="b">
        <v>1</v>
      </c>
      <c r="L126" s="2" t="s">
        <v>126</v>
      </c>
      <c r="M126" s="2" t="str">
        <f t="shared" si="10"/>
        <v>EVQLVESGGGLVQPGGSLRLSCAASGFNISDSSIHWVRQAPGKGLEWVASIYNYSGYTYYADSVKGRFTISADTSKNTAYLQMNSLRAEDTAVYYCARGGYYLDGLDALDYWGQGTLVTVSSGGGSGGGSGGGSDIQMTQSPSSLSASVGDRVTITCRASQSVSSAVAWYQQKPGKAPKLLIYSASSLYSGVPSRFSGSRSGTDFTLTISSLQPEDFATYYCQQYKYVPVTFGQGTKVEIK</v>
      </c>
      <c r="N126" s="4">
        <f t="shared" si="11"/>
        <v>241</v>
      </c>
      <c r="O126" s="1" t="b">
        <f t="shared" si="12"/>
        <v>1</v>
      </c>
      <c r="P126" s="1" t="b">
        <v>0</v>
      </c>
      <c r="Q126" s="1" t="b">
        <f>TRUE()</f>
        <v>1</v>
      </c>
      <c r="R126" s="4">
        <v>0</v>
      </c>
      <c r="S126" s="4">
        <v>0</v>
      </c>
      <c r="T126" s="10">
        <v>45983</v>
      </c>
      <c r="U126" s="2" t="s">
        <v>543</v>
      </c>
      <c r="V126" s="4">
        <v>0.47</v>
      </c>
      <c r="W126" s="1" t="b">
        <v>0</v>
      </c>
    </row>
    <row r="127" spans="1:23" ht="60" x14ac:dyDescent="0.25">
      <c r="A127" s="1" t="s">
        <v>524</v>
      </c>
      <c r="B127" s="1" t="s">
        <v>515</v>
      </c>
      <c r="C127" s="2" t="s">
        <v>526</v>
      </c>
      <c r="D127" s="4">
        <v>0.2</v>
      </c>
      <c r="E127" s="1" t="s">
        <v>49</v>
      </c>
      <c r="F127" s="1" t="s">
        <v>266</v>
      </c>
      <c r="G127" s="1" t="s">
        <v>258</v>
      </c>
      <c r="I127" s="2" t="s">
        <v>535</v>
      </c>
      <c r="J127" s="2" t="s">
        <v>296</v>
      </c>
      <c r="K127" s="1" t="b">
        <v>1</v>
      </c>
      <c r="L127" s="2" t="s">
        <v>126</v>
      </c>
      <c r="M127" s="2" t="str">
        <f t="shared" si="10"/>
        <v>EVQLVESGGGLVQPGGSLRLSCAASGFNISDYSIHWVRQAPGKGLEWVASIYNRSGYTYYADSVKGRFTISADTSKNTAYLQMNSLRAEDTAVYYCARGGYYLDGLYALDYWGQGTLVTVSSGGGSGGGSGGGSDIQMTQSPSSLSASVGDRVTITCRASQSVSSAVAWYQQKPGKAPKLLIYSASSLYSGVPSRFSGSRSGTDFTLTISSLQPEDFATYYCQQYKYVPVTFGQGTKVEIK</v>
      </c>
      <c r="N127" s="4">
        <f t="shared" si="11"/>
        <v>241</v>
      </c>
      <c r="O127" s="1" t="b">
        <f t="shared" si="12"/>
        <v>1</v>
      </c>
      <c r="P127" s="1" t="b">
        <v>0</v>
      </c>
      <c r="Q127" s="1" t="b">
        <f>TRUE()</f>
        <v>1</v>
      </c>
      <c r="R127" s="4">
        <v>2.2391000000000001E-2</v>
      </c>
      <c r="S127" s="4">
        <v>0.1115</v>
      </c>
      <c r="T127" s="10">
        <v>45983</v>
      </c>
      <c r="U127" s="2" t="s">
        <v>545</v>
      </c>
      <c r="V127" s="4">
        <v>0.01</v>
      </c>
      <c r="W127" s="1" t="b">
        <v>1</v>
      </c>
    </row>
    <row r="128" spans="1:23" ht="60" x14ac:dyDescent="0.25">
      <c r="A128" s="1" t="s">
        <v>525</v>
      </c>
      <c r="B128" s="1" t="s">
        <v>515</v>
      </c>
      <c r="C128" s="2" t="s">
        <v>526</v>
      </c>
      <c r="D128" s="4">
        <v>0.2</v>
      </c>
      <c r="E128" s="1" t="s">
        <v>49</v>
      </c>
      <c r="F128" s="1" t="s">
        <v>266</v>
      </c>
      <c r="G128" s="1" t="s">
        <v>258</v>
      </c>
      <c r="I128" s="2" t="s">
        <v>536</v>
      </c>
      <c r="J128" s="2" t="s">
        <v>296</v>
      </c>
      <c r="K128" s="1" t="b">
        <v>1</v>
      </c>
      <c r="L128" s="2" t="s">
        <v>126</v>
      </c>
      <c r="M128" s="2" t="str">
        <f t="shared" si="10"/>
        <v>EVQLVESGGGLVQPGGSLRLSCAASGFNISSSSIHWVRQAPGKGLEWVASISSYSGYTYYADSVKGRFTISADTSKNTAYLQMNSLRAEDTAVYYCARGGHDLDGLYALDYWGQGTLVTVSSGGGSGGGSGGGSDIQMTQSPSSLSASVGDRVTITCRASQSVSSAVAWYQQKPGKAPKLLIYSASSLYSGVPSRFSGSRSGTDFTLTISSLQPEDFATYYCQQYKYVPVTFGQGTKVEIK</v>
      </c>
      <c r="N128" s="4">
        <f t="shared" si="11"/>
        <v>241</v>
      </c>
      <c r="O128" s="1" t="b">
        <f t="shared" si="12"/>
        <v>1</v>
      </c>
      <c r="P128" s="1" t="b">
        <v>0</v>
      </c>
      <c r="Q128" s="1" t="b">
        <f>TRUE()</f>
        <v>1</v>
      </c>
      <c r="R128" s="4">
        <v>0</v>
      </c>
      <c r="S128" s="4">
        <v>5.4780000000000002E-3</v>
      </c>
      <c r="T128" s="10">
        <v>45983</v>
      </c>
      <c r="U128" s="2" t="s">
        <v>544</v>
      </c>
      <c r="V128" s="4">
        <v>0</v>
      </c>
      <c r="W128" s="1" t="b">
        <v>0</v>
      </c>
    </row>
    <row r="129" spans="1:23" ht="60" x14ac:dyDescent="0.25">
      <c r="A129" s="1" t="s">
        <v>547</v>
      </c>
      <c r="B129" s="1" t="s">
        <v>515</v>
      </c>
      <c r="C129" s="2" t="s">
        <v>526</v>
      </c>
      <c r="D129" s="4">
        <v>0.2</v>
      </c>
      <c r="E129" s="1" t="s">
        <v>49</v>
      </c>
      <c r="F129" s="1" t="s">
        <v>422</v>
      </c>
      <c r="G129" s="1" t="s">
        <v>258</v>
      </c>
      <c r="I129" s="2" t="s">
        <v>557</v>
      </c>
      <c r="J129" s="2" t="s">
        <v>467</v>
      </c>
      <c r="K129" s="1" t="b">
        <v>1</v>
      </c>
      <c r="L129" s="2" t="s">
        <v>126</v>
      </c>
      <c r="M129" s="2" t="str">
        <f t="shared" si="10"/>
        <v>EVQLVESGGGLVKPGGSLKVSCAASGFTFSSYAMHWVRQAPGKGLEWVSYIWSGADSIGYADSVKGRFTISRDNAKNSLYLQMNSLRAGDTAVYYCARDDDAFDYWGQGTAVTVSSGGGSGGGSGGGSDIQMTQSPSSLSASVGDRVTITCQASQDIRFYLNWYQQKPGKAPKLLISAASTLQSGVPSRFSGSGSGTDFTLTITSLQPEDFATYYCAGYVPSYTFGPGTKVDIK</v>
      </c>
      <c r="N129" s="4">
        <f t="shared" si="11"/>
        <v>234</v>
      </c>
      <c r="O129" s="1" t="b">
        <f t="shared" si="12"/>
        <v>1</v>
      </c>
      <c r="P129" s="1" t="b">
        <v>0</v>
      </c>
      <c r="Q129" s="1" t="b">
        <f>TRUE()</f>
        <v>1</v>
      </c>
      <c r="R129" s="4">
        <v>0</v>
      </c>
      <c r="S129" s="4">
        <v>5.176E-3</v>
      </c>
      <c r="T129" s="10">
        <v>45987</v>
      </c>
      <c r="U129" s="2" t="s">
        <v>575</v>
      </c>
      <c r="V129" s="4">
        <v>0.36</v>
      </c>
      <c r="W129" s="1" t="b">
        <v>0</v>
      </c>
    </row>
    <row r="130" spans="1:23" ht="60" x14ac:dyDescent="0.25">
      <c r="A130" s="1" t="s">
        <v>548</v>
      </c>
      <c r="B130" s="1" t="s">
        <v>515</v>
      </c>
      <c r="C130" s="2" t="s">
        <v>526</v>
      </c>
      <c r="D130" s="4">
        <v>0.2</v>
      </c>
      <c r="E130" s="1" t="s">
        <v>49</v>
      </c>
      <c r="F130" s="1" t="s">
        <v>422</v>
      </c>
      <c r="G130" s="1" t="s">
        <v>258</v>
      </c>
      <c r="I130" s="2" t="s">
        <v>558</v>
      </c>
      <c r="J130" s="2" t="s">
        <v>467</v>
      </c>
      <c r="K130" s="1" t="b">
        <v>1</v>
      </c>
      <c r="L130" s="2" t="s">
        <v>126</v>
      </c>
      <c r="M130" s="2" t="str">
        <f t="shared" ref="M130:M158" si="13">_xlfn.CONCAT(I130,L130,J130)</f>
        <v>EVQLVESGGGLVKPGGSLKVSCAASGFTFSSYSMHWVRQAPGKGLEWVSSIWSGADSTGYADSVKGRFTISRDNAKNSLYLQMNSLRAGDTAVYYCARDDDAFDYWGQGTAVTVSSGGGSGGGSGGGSDIQMTQSPSSLSASVGDRVTITCQASQDIRFYLNWYQQKPGKAPKLLISAASTLQSGVPSRFSGSGSGTDFTLTITSLQPEDFATYYCAGYVPSYTFGPGTKVDIK</v>
      </c>
      <c r="N130" s="4">
        <f t="shared" ref="N130:N158" si="14">LEN(M130)</f>
        <v>234</v>
      </c>
      <c r="O130" s="1" t="b">
        <f t="shared" ref="O130:O158" si="15">IF(N130&lt;=250,TRUE,FALSE)</f>
        <v>1</v>
      </c>
      <c r="P130" s="1" t="b">
        <v>0</v>
      </c>
      <c r="Q130" s="1" t="b">
        <f>TRUE()</f>
        <v>1</v>
      </c>
      <c r="R130" s="4">
        <v>0</v>
      </c>
      <c r="S130" s="4">
        <v>5.2830000000000004E-3</v>
      </c>
      <c r="T130" s="10">
        <v>45987</v>
      </c>
      <c r="U130" s="2" t="s">
        <v>574</v>
      </c>
      <c r="V130" s="4">
        <v>0.04</v>
      </c>
      <c r="W130" s="1" t="b">
        <v>0</v>
      </c>
    </row>
    <row r="131" spans="1:23" ht="60" x14ac:dyDescent="0.25">
      <c r="A131" s="1" t="s">
        <v>549</v>
      </c>
      <c r="B131" s="1" t="s">
        <v>515</v>
      </c>
      <c r="C131" s="2" t="s">
        <v>526</v>
      </c>
      <c r="D131" s="4">
        <v>0.2</v>
      </c>
      <c r="E131" s="1" t="s">
        <v>49</v>
      </c>
      <c r="F131" s="1" t="s">
        <v>422</v>
      </c>
      <c r="G131" s="1" t="s">
        <v>258</v>
      </c>
      <c r="I131" s="2" t="s">
        <v>559</v>
      </c>
      <c r="J131" s="2" t="s">
        <v>467</v>
      </c>
      <c r="K131" s="1" t="b">
        <v>1</v>
      </c>
      <c r="L131" s="2" t="s">
        <v>126</v>
      </c>
      <c r="M131" s="2" t="str">
        <f t="shared" si="13"/>
        <v>EVQLVESGGGLVKPGGSLKVSCAASGFTFSSYAMHWVRQAPGKGLEWVSRIWSGADSTGYADSVKGRFTISRDNAKNSLYLQMNSLRAGDTAVYYCARDDDAFDYWGQGTAVTVSSGGGSGGGSGGGSDIQMTQSPSSLSASVGDRVTITCQASQDIRFYLNWYQQKPGKAPKLLISAASTLQSGVPSRFSGSGSGTDFTLTITSLQPEDFATYYCAGYVPSYTFGPGTKVDIK</v>
      </c>
      <c r="N131" s="4">
        <f t="shared" si="14"/>
        <v>234</v>
      </c>
      <c r="O131" s="1" t="b">
        <f t="shared" si="15"/>
        <v>1</v>
      </c>
      <c r="P131" s="1" t="b">
        <v>0</v>
      </c>
      <c r="Q131" s="1" t="b">
        <f>TRUE()</f>
        <v>1</v>
      </c>
      <c r="R131" s="4">
        <v>0</v>
      </c>
      <c r="S131" s="4">
        <v>0</v>
      </c>
      <c r="T131" s="10">
        <v>45987</v>
      </c>
      <c r="U131" s="2" t="s">
        <v>573</v>
      </c>
      <c r="V131" s="4">
        <v>0.4</v>
      </c>
      <c r="W131" s="1" t="b">
        <v>0</v>
      </c>
    </row>
    <row r="132" spans="1:23" ht="60" x14ac:dyDescent="0.25">
      <c r="A132" s="1" t="s">
        <v>550</v>
      </c>
      <c r="B132" s="1" t="s">
        <v>515</v>
      </c>
      <c r="C132" s="2" t="s">
        <v>526</v>
      </c>
      <c r="D132" s="4">
        <v>0.2</v>
      </c>
      <c r="E132" s="1" t="s">
        <v>49</v>
      </c>
      <c r="F132" s="1" t="s">
        <v>422</v>
      </c>
      <c r="G132" s="1" t="s">
        <v>258</v>
      </c>
      <c r="I132" s="2" t="s">
        <v>560</v>
      </c>
      <c r="J132" s="2" t="s">
        <v>467</v>
      </c>
      <c r="K132" s="1" t="b">
        <v>1</v>
      </c>
      <c r="L132" s="2" t="s">
        <v>126</v>
      </c>
      <c r="M132" s="2" t="str">
        <f t="shared" si="13"/>
        <v>EVQLVESGGGLVKPGGSLKVSCAASGFTFSSYAMHWVRQAPGKGLEWVSYIWSGADSIGYADSVKGRFTISRDNAKNSLYLQMNSLRAGDTAVYYCARYDDAFDYWGQGTAVTVSSGGGSGGGSGGGSDIQMTQSPSSLSASVGDRVTITCQASQDIRFYLNWYQQKPGKAPKLLISAASTLQSGVPSRFSGSGSGTDFTLTITSLQPEDFATYYCAGYVPSYTFGPGTKVDIK</v>
      </c>
      <c r="N132" s="4">
        <f t="shared" si="14"/>
        <v>234</v>
      </c>
      <c r="O132" s="1" t="b">
        <f t="shared" si="15"/>
        <v>1</v>
      </c>
      <c r="P132" s="1" t="b">
        <v>0</v>
      </c>
      <c r="Q132" s="1" t="b">
        <f>TRUE()</f>
        <v>1</v>
      </c>
      <c r="R132" s="4">
        <v>0</v>
      </c>
      <c r="S132" s="4">
        <v>4.9849999999999998E-3</v>
      </c>
      <c r="T132" s="10"/>
      <c r="U132" s="11" t="s">
        <v>381</v>
      </c>
      <c r="W132" s="1" t="b">
        <v>0</v>
      </c>
    </row>
    <row r="133" spans="1:23" ht="60" x14ac:dyDescent="0.25">
      <c r="A133" s="1" t="s">
        <v>551</v>
      </c>
      <c r="B133" s="1" t="s">
        <v>515</v>
      </c>
      <c r="C133" s="2" t="s">
        <v>526</v>
      </c>
      <c r="D133" s="4">
        <v>0.2</v>
      </c>
      <c r="E133" s="1" t="s">
        <v>49</v>
      </c>
      <c r="F133" s="1" t="s">
        <v>422</v>
      </c>
      <c r="G133" s="1" t="s">
        <v>258</v>
      </c>
      <c r="I133" s="2" t="s">
        <v>561</v>
      </c>
      <c r="J133" s="2" t="s">
        <v>467</v>
      </c>
      <c r="K133" s="1" t="b">
        <v>1</v>
      </c>
      <c r="L133" s="2" t="s">
        <v>126</v>
      </c>
      <c r="M133" s="2" t="str">
        <f t="shared" si="13"/>
        <v>EVQLVESGGGLVKPGGSLKVSCAASGFTFSSYSMHWVRQAPGKGLEWVSRIWSGTDSIGYADSVKGRFTISRDNAKNSLYLQMNSLRAGDTAVYYCARDDDAFDYWGQGTAVTVSSGGGSGGGSGGGSDIQMTQSPSSLSASVGDRVTITCQASQDIRFYLNWYQQKPGKAPKLLISAASTLQSGVPSRFSGSGSGTDFTLTITSLQPEDFATYYCAGYVPSYTFGPGTKVDIK</v>
      </c>
      <c r="N133" s="4">
        <f t="shared" si="14"/>
        <v>234</v>
      </c>
      <c r="O133" s="1" t="b">
        <f t="shared" si="15"/>
        <v>1</v>
      </c>
      <c r="P133" s="1" t="b">
        <v>0</v>
      </c>
      <c r="Q133" s="1" t="b">
        <f>TRUE()</f>
        <v>1</v>
      </c>
      <c r="R133" s="4">
        <v>0</v>
      </c>
      <c r="S133" s="4">
        <v>0</v>
      </c>
      <c r="T133" s="10">
        <v>45987</v>
      </c>
      <c r="U133" s="2" t="s">
        <v>571</v>
      </c>
      <c r="V133" s="4">
        <v>0</v>
      </c>
      <c r="W133" s="1" t="b">
        <v>0</v>
      </c>
    </row>
    <row r="134" spans="1:23" ht="60" x14ac:dyDescent="0.25">
      <c r="A134" s="1" t="s">
        <v>552</v>
      </c>
      <c r="B134" s="1" t="s">
        <v>515</v>
      </c>
      <c r="C134" s="2" t="s">
        <v>526</v>
      </c>
      <c r="D134" s="4">
        <v>0.2</v>
      </c>
      <c r="E134" s="1" t="s">
        <v>49</v>
      </c>
      <c r="F134" s="1" t="s">
        <v>422</v>
      </c>
      <c r="G134" s="1" t="s">
        <v>258</v>
      </c>
      <c r="I134" s="2" t="s">
        <v>562</v>
      </c>
      <c r="J134" s="2" t="s">
        <v>467</v>
      </c>
      <c r="K134" s="1" t="b">
        <v>1</v>
      </c>
      <c r="L134" s="2" t="s">
        <v>126</v>
      </c>
      <c r="M134" s="2" t="str">
        <f t="shared" si="13"/>
        <v>EVQLVESGGGLVKPGGSLKVSCAASGFTFSSYAMHWVRQAPGKGLEWVSYIWSGVDSIGYADSVKGRFTISRDNAKNSLYLQMNSLRAGDTAVYYCARDDDAFDYWGQGTAVTVSSGGGSGGGSGGGSDIQMTQSPSSLSASVGDRVTITCQASQDIRFYLNWYQQKPGKAPKLLISAASTLQSGVPSRFSGSGSGTDFTLTITSLQPEDFATYYCAGYVPSYTFGPGTKVDIK</v>
      </c>
      <c r="N134" s="4">
        <f t="shared" si="14"/>
        <v>234</v>
      </c>
      <c r="O134" s="1" t="b">
        <f t="shared" si="15"/>
        <v>1</v>
      </c>
      <c r="P134" s="1" t="b">
        <v>0</v>
      </c>
      <c r="Q134" s="1" t="b">
        <f>TRUE()</f>
        <v>1</v>
      </c>
      <c r="R134" s="4">
        <v>0.34179700000000002</v>
      </c>
      <c r="S134" s="4">
        <v>0.49543900000000002</v>
      </c>
      <c r="T134" s="10"/>
      <c r="U134" s="11" t="s">
        <v>381</v>
      </c>
      <c r="W134" s="1" t="b">
        <v>0</v>
      </c>
    </row>
    <row r="135" spans="1:23" ht="60" x14ac:dyDescent="0.25">
      <c r="A135" s="1" t="s">
        <v>553</v>
      </c>
      <c r="B135" s="1" t="s">
        <v>515</v>
      </c>
      <c r="C135" s="2" t="s">
        <v>526</v>
      </c>
      <c r="D135" s="4">
        <v>0.2</v>
      </c>
      <c r="E135" s="1" t="s">
        <v>49</v>
      </c>
      <c r="F135" s="1" t="s">
        <v>422</v>
      </c>
      <c r="G135" s="1" t="s">
        <v>258</v>
      </c>
      <c r="I135" s="2" t="s">
        <v>563</v>
      </c>
      <c r="J135" s="2" t="s">
        <v>467</v>
      </c>
      <c r="K135" s="1" t="b">
        <v>1</v>
      </c>
      <c r="L135" s="2" t="s">
        <v>126</v>
      </c>
      <c r="M135" s="2" t="str">
        <f t="shared" si="13"/>
        <v>EVQLVESGGGLVKPGGSLKVSCAASGFTFSSFAMHWVRQAPGKGLEWVSYIWSGADSTGYADSVKGRFTISRDNAKNSLYLQMNSLRAGDTAVYYCARDDDAFDYWGQGTAVTVSSGGGSGGGSGGGSDIQMTQSPSSLSASVGDRVTITCQASQDIRFYLNWYQQKPGKAPKLLISAASTLQSGVPSRFSGSGSGTDFTLTITSLQPEDFATYYCAGYVPSYTFGPGTKVDIK</v>
      </c>
      <c r="N135" s="4">
        <f t="shared" si="14"/>
        <v>234</v>
      </c>
      <c r="O135" s="1" t="b">
        <f t="shared" si="15"/>
        <v>1</v>
      </c>
      <c r="P135" s="1" t="b">
        <v>0</v>
      </c>
      <c r="Q135" s="1" t="b">
        <f>TRUE()</f>
        <v>1</v>
      </c>
      <c r="R135" s="4">
        <v>0</v>
      </c>
      <c r="S135" s="4">
        <v>0</v>
      </c>
      <c r="T135" s="10">
        <v>45987</v>
      </c>
      <c r="U135" s="2" t="s">
        <v>572</v>
      </c>
      <c r="V135" s="4">
        <v>0.01</v>
      </c>
      <c r="W135" s="1" t="b">
        <v>0</v>
      </c>
    </row>
    <row r="136" spans="1:23" ht="60" x14ac:dyDescent="0.25">
      <c r="A136" s="1" t="s">
        <v>554</v>
      </c>
      <c r="B136" s="1" t="s">
        <v>515</v>
      </c>
      <c r="C136" s="2" t="s">
        <v>526</v>
      </c>
      <c r="D136" s="4">
        <v>0.2</v>
      </c>
      <c r="E136" s="1" t="s">
        <v>49</v>
      </c>
      <c r="F136" s="1" t="s">
        <v>422</v>
      </c>
      <c r="G136" s="1" t="s">
        <v>258</v>
      </c>
      <c r="I136" s="2" t="s">
        <v>560</v>
      </c>
      <c r="J136" s="2" t="s">
        <v>467</v>
      </c>
      <c r="K136" s="1" t="b">
        <v>1</v>
      </c>
      <c r="L136" s="2" t="s">
        <v>126</v>
      </c>
      <c r="M136" s="2" t="str">
        <f t="shared" si="13"/>
        <v>EVQLVESGGGLVKPGGSLKVSCAASGFTFSSYAMHWVRQAPGKGLEWVSYIWSGADSIGYADSVKGRFTISRDNAKNSLYLQMNSLRAGDTAVYYCARYDDAFDYWGQGTAVTVSSGGGSGGGSGGGSDIQMTQSPSSLSASVGDRVTITCQASQDIRFYLNWYQQKPGKAPKLLISAASTLQSGVPSRFSGSGSGTDFTLTITSLQPEDFATYYCAGYVPSYTFGPGTKVDIK</v>
      </c>
      <c r="N136" s="4">
        <f t="shared" si="14"/>
        <v>234</v>
      </c>
      <c r="O136" s="1" t="b">
        <f t="shared" si="15"/>
        <v>1</v>
      </c>
      <c r="P136" s="1" t="b">
        <v>0</v>
      </c>
      <c r="Q136" s="1" t="b">
        <f>TRUE()</f>
        <v>1</v>
      </c>
      <c r="R136" s="4">
        <v>0.19351199999999999</v>
      </c>
      <c r="S136" s="4">
        <v>0.28335399999999999</v>
      </c>
      <c r="T136" s="10"/>
      <c r="U136" s="11" t="s">
        <v>381</v>
      </c>
      <c r="W136" s="1" t="b">
        <v>1</v>
      </c>
    </row>
    <row r="137" spans="1:23" ht="60" x14ac:dyDescent="0.25">
      <c r="A137" s="1" t="s">
        <v>555</v>
      </c>
      <c r="B137" s="1" t="s">
        <v>515</v>
      </c>
      <c r="C137" s="2" t="s">
        <v>526</v>
      </c>
      <c r="D137" s="4">
        <v>0.2</v>
      </c>
      <c r="E137" s="1" t="s">
        <v>49</v>
      </c>
      <c r="F137" s="1" t="s">
        <v>422</v>
      </c>
      <c r="G137" s="1" t="s">
        <v>258</v>
      </c>
      <c r="I137" s="2" t="s">
        <v>562</v>
      </c>
      <c r="J137" s="2" t="s">
        <v>467</v>
      </c>
      <c r="K137" s="1" t="b">
        <v>1</v>
      </c>
      <c r="L137" s="2" t="s">
        <v>126</v>
      </c>
      <c r="M137" s="2" t="str">
        <f t="shared" si="13"/>
        <v>EVQLVESGGGLVKPGGSLKVSCAASGFTFSSYAMHWVRQAPGKGLEWVSYIWSGVDSIGYADSVKGRFTISRDNAKNSLYLQMNSLRAGDTAVYYCARDDDAFDYWGQGTAVTVSSGGGSGGGSGGGSDIQMTQSPSSLSASVGDRVTITCQASQDIRFYLNWYQQKPGKAPKLLISAASTLQSGVPSRFSGSGSGTDFTLTITSLQPEDFATYYCAGYVPSYTFGPGTKVDIK</v>
      </c>
      <c r="N137" s="4">
        <f t="shared" si="14"/>
        <v>234</v>
      </c>
      <c r="O137" s="1" t="b">
        <f t="shared" si="15"/>
        <v>1</v>
      </c>
      <c r="P137" s="1" t="b">
        <v>0</v>
      </c>
      <c r="Q137" s="1" t="b">
        <f>TRUE()</f>
        <v>1</v>
      </c>
      <c r="R137" s="4">
        <v>0</v>
      </c>
      <c r="S137" s="4">
        <v>0</v>
      </c>
      <c r="T137" s="10"/>
      <c r="U137" s="11" t="s">
        <v>381</v>
      </c>
      <c r="W137" s="1" t="b">
        <v>1</v>
      </c>
    </row>
    <row r="138" spans="1:23" ht="60" x14ac:dyDescent="0.25">
      <c r="A138" s="1" t="s">
        <v>556</v>
      </c>
      <c r="B138" s="1" t="s">
        <v>515</v>
      </c>
      <c r="C138" s="2" t="s">
        <v>526</v>
      </c>
      <c r="D138" s="4">
        <v>0.2</v>
      </c>
      <c r="E138" s="1" t="s">
        <v>49</v>
      </c>
      <c r="F138" s="1" t="s">
        <v>422</v>
      </c>
      <c r="G138" s="1" t="s">
        <v>258</v>
      </c>
      <c r="I138" s="2" t="s">
        <v>564</v>
      </c>
      <c r="J138" s="2" t="s">
        <v>467</v>
      </c>
      <c r="K138" s="1" t="b">
        <v>1</v>
      </c>
      <c r="L138" s="2" t="s">
        <v>126</v>
      </c>
      <c r="M138" s="2" t="str">
        <f t="shared" si="13"/>
        <v>EVQLVESGGGLVKPGGSLKVSCAASGFTFSSYSMVWVRQAPGKGLEWVSRIWSGVDSTGYADSVKGRFTISRDNAKNSLYLQMNSLRAGDTAVYYCARDDDAFDYWGQGTAVTVSSGGGSGGGSGGGSDIQMTQSPSSLSASVGDRVTITCQASQDIRFYLNWYQQKPGKAPKLLISAASTLQSGVPSRFSGSGSGTDFTLTITSLQPEDFATYYCAGYVPSYTFGPGTKVDIK</v>
      </c>
      <c r="N138" s="4">
        <f t="shared" si="14"/>
        <v>234</v>
      </c>
      <c r="O138" s="1" t="b">
        <f t="shared" si="15"/>
        <v>1</v>
      </c>
      <c r="P138" s="1" t="b">
        <v>0</v>
      </c>
      <c r="Q138" s="1" t="b">
        <f>TRUE()</f>
        <v>1</v>
      </c>
      <c r="R138" s="4">
        <v>0</v>
      </c>
      <c r="S138" s="4">
        <v>5.0699999999999999E-3</v>
      </c>
      <c r="T138" s="10">
        <v>45987</v>
      </c>
      <c r="U138" s="2" t="s">
        <v>570</v>
      </c>
      <c r="V138" s="4">
        <v>0</v>
      </c>
      <c r="W138" s="1" t="b">
        <v>0</v>
      </c>
    </row>
    <row r="139" spans="1:23" ht="75" x14ac:dyDescent="0.25">
      <c r="A139" s="1" t="s">
        <v>576</v>
      </c>
      <c r="B139" s="1" t="s">
        <v>515</v>
      </c>
      <c r="C139" s="2" t="s">
        <v>526</v>
      </c>
      <c r="D139" s="4">
        <v>0.2</v>
      </c>
      <c r="E139" s="1" t="s">
        <v>49</v>
      </c>
      <c r="F139" s="1" t="s">
        <v>516</v>
      </c>
      <c r="G139" s="1" t="s">
        <v>258</v>
      </c>
      <c r="I139" s="2" t="s">
        <v>586</v>
      </c>
      <c r="J139" s="2" t="s">
        <v>587</v>
      </c>
      <c r="K139" s="1" t="b">
        <v>1</v>
      </c>
      <c r="L139" s="2" t="s">
        <v>125</v>
      </c>
      <c r="M139" s="2" t="str">
        <f t="shared" si="13"/>
        <v>EVQLVESGGGLVQPGGSLRLSCAASGFNISYSSIHWVRQAPGKGLEWVASISSYSGSTYYADSVKGRFTISADTSKNTAYLQMNSLRAEDTAVYYCARGGYVPVGWYALDYWGQGTLVTVSSGGGSGGGSGGGSGGGSDIQMTQSPSSLSASVGDRVTITCRASQSVSTAVAWYQQKPGKAPKLLIYYASDRYSGVPSRFSGSRSGTDFTLTISSLQPEDFATYYCQQHYNYPLTFGQGTKVEIK</v>
      </c>
      <c r="N139" s="4">
        <f t="shared" si="14"/>
        <v>245</v>
      </c>
      <c r="O139" s="1" t="b">
        <f t="shared" si="15"/>
        <v>1</v>
      </c>
      <c r="P139" s="1" t="b">
        <v>0</v>
      </c>
      <c r="Q139" s="1" t="b">
        <f>TRUE()</f>
        <v>1</v>
      </c>
      <c r="R139" s="4">
        <v>6.0330000000000002E-3</v>
      </c>
      <c r="S139" s="4">
        <v>5.5789999999999999E-2</v>
      </c>
      <c r="T139" s="10">
        <v>45989</v>
      </c>
      <c r="U139" s="2" t="s">
        <v>602</v>
      </c>
      <c r="V139" s="4">
        <v>0.01</v>
      </c>
      <c r="W139" s="1" t="b">
        <v>0</v>
      </c>
    </row>
    <row r="140" spans="1:23" ht="75" x14ac:dyDescent="0.25">
      <c r="A140" s="1" t="s">
        <v>577</v>
      </c>
      <c r="B140" s="1" t="s">
        <v>515</v>
      </c>
      <c r="C140" s="2" t="s">
        <v>526</v>
      </c>
      <c r="D140" s="4">
        <v>0.2</v>
      </c>
      <c r="E140" s="1" t="s">
        <v>49</v>
      </c>
      <c r="F140" s="1" t="s">
        <v>516</v>
      </c>
      <c r="G140" s="1" t="s">
        <v>258</v>
      </c>
      <c r="I140" s="2" t="s">
        <v>589</v>
      </c>
      <c r="J140" s="2" t="s">
        <v>588</v>
      </c>
      <c r="K140" s="1" t="b">
        <v>1</v>
      </c>
      <c r="L140" s="2" t="s">
        <v>125</v>
      </c>
      <c r="M140" s="2" t="str">
        <f t="shared" si="13"/>
        <v>EVQLVESGGGLVQPGGSLRLSCAASGFNISYSSIHWVRQAPGKGLEWVASISSYSGSTYYADSVKGRFTISADTSKNTAYLQMNSLRAEDTAVYYCARGGAVPVGWYALDYWGQGTLVTVSSGGGSGGGSGGGSGGGSDIQMTQSPSSLSASVGDRVTITCRASQSVSDDVAWYQQKPGKAPKLLIYRASDRYFGVPSRFSGSRSGTDFTLTISSLQPEDFATYYCQQYYSYPITFGQGTKVEIK</v>
      </c>
      <c r="N140" s="4">
        <f t="shared" si="14"/>
        <v>245</v>
      </c>
      <c r="O140" s="1" t="b">
        <f t="shared" si="15"/>
        <v>1</v>
      </c>
      <c r="P140" s="1" t="b">
        <v>0</v>
      </c>
      <c r="Q140" s="1" t="b">
        <f>TRUE()</f>
        <v>1</v>
      </c>
      <c r="R140" s="4">
        <v>0</v>
      </c>
      <c r="S140" s="4">
        <v>0</v>
      </c>
      <c r="T140" s="10">
        <v>45989</v>
      </c>
      <c r="U140" s="2" t="s">
        <v>603</v>
      </c>
      <c r="V140" s="4">
        <v>0.01</v>
      </c>
      <c r="W140" s="1" t="b">
        <v>1</v>
      </c>
    </row>
    <row r="141" spans="1:23" ht="75" x14ac:dyDescent="0.25">
      <c r="A141" s="1" t="s">
        <v>578</v>
      </c>
      <c r="B141" s="1" t="s">
        <v>515</v>
      </c>
      <c r="C141" s="2" t="s">
        <v>526</v>
      </c>
      <c r="D141" s="4">
        <v>0.2</v>
      </c>
      <c r="E141" s="1" t="s">
        <v>49</v>
      </c>
      <c r="F141" s="1" t="s">
        <v>516</v>
      </c>
      <c r="G141" s="1" t="s">
        <v>258</v>
      </c>
      <c r="I141" s="2" t="s">
        <v>590</v>
      </c>
      <c r="J141" s="2" t="s">
        <v>591</v>
      </c>
      <c r="K141" s="1" t="b">
        <v>1</v>
      </c>
      <c r="L141" s="2" t="s">
        <v>125</v>
      </c>
      <c r="M141" s="2" t="str">
        <f t="shared" si="13"/>
        <v>EVQLVESGGGLVQPGGSLRLSCAASGFNISYSSIHWVRQAPGKGLEWVASISSYSGSTYYADSVKGRFTISADTSKNTAYLQMNSLRAEDTAVYYCARGGDVPNGWYALDYWGQGTLVTVSSGGGSGGGSGGGSGGGSDIQMTQSPSSLSASVGDRVTITCRASQSVYTAVAWYQQKPGKAPKLLIYFASDRYSGVPSRFSGSRSGTDFTLTISSLQPEDFATYYCQQHYYYPITFGQGTKVEIK</v>
      </c>
      <c r="N141" s="4">
        <f t="shared" si="14"/>
        <v>245</v>
      </c>
      <c r="O141" s="1" t="b">
        <f t="shared" si="15"/>
        <v>1</v>
      </c>
      <c r="P141" s="1" t="b">
        <v>0</v>
      </c>
      <c r="Q141" s="1" t="b">
        <f>TRUE()</f>
        <v>1</v>
      </c>
      <c r="R141" s="4">
        <v>6.2603000000000006E-2</v>
      </c>
      <c r="S141" s="4">
        <v>0.12244099999999999</v>
      </c>
      <c r="T141" s="10">
        <v>45989</v>
      </c>
      <c r="U141" s="2" t="s">
        <v>606</v>
      </c>
      <c r="V141" s="4">
        <v>0.01</v>
      </c>
      <c r="W141" s="1" t="b">
        <v>0</v>
      </c>
    </row>
    <row r="142" spans="1:23" ht="75" x14ac:dyDescent="0.25">
      <c r="A142" s="1" t="s">
        <v>579</v>
      </c>
      <c r="B142" s="1" t="s">
        <v>515</v>
      </c>
      <c r="C142" s="2" t="s">
        <v>526</v>
      </c>
      <c r="D142" s="4">
        <v>0.2</v>
      </c>
      <c r="E142" s="1" t="s">
        <v>49</v>
      </c>
      <c r="F142" s="1" t="s">
        <v>516</v>
      </c>
      <c r="G142" s="1" t="s">
        <v>258</v>
      </c>
      <c r="I142" s="2" t="s">
        <v>592</v>
      </c>
      <c r="J142" s="2" t="s">
        <v>593</v>
      </c>
      <c r="K142" s="1" t="b">
        <v>1</v>
      </c>
      <c r="L142" s="2" t="s">
        <v>125</v>
      </c>
      <c r="M142" s="2" t="str">
        <f t="shared" si="13"/>
        <v>EVQLVESGGGLVQPGGSLRLSCAASGFNISYSSIHWVRQAPGKGLEWVASISSYSGSTYYADSVKGRFTISADTSKNTAYLQMNSLRAEDTAVYYCARGGDVPVGWYALDYWGQGTLVTVSSGGGSGGGSGGGSGGGSDIQMTQSPSSLSASVGDRVTITCRASQSVSDAVAWYQQKPGKAPKLLIYYASDRYAGVPSRFSGSRSGTDFTLTISSLQPEDFATYYCQQYYSYPLTFGQGTKVEIK</v>
      </c>
      <c r="N142" s="4">
        <f t="shared" si="14"/>
        <v>245</v>
      </c>
      <c r="O142" s="1" t="b">
        <f t="shared" si="15"/>
        <v>1</v>
      </c>
      <c r="P142" s="1" t="b">
        <v>0</v>
      </c>
      <c r="Q142" s="1" t="b">
        <f>TRUE()</f>
        <v>1</v>
      </c>
      <c r="R142" s="4">
        <v>0.23727899999999999</v>
      </c>
      <c r="S142" s="4">
        <v>0.36869000000000002</v>
      </c>
      <c r="T142" s="10">
        <v>45989</v>
      </c>
      <c r="U142" s="2" t="s">
        <v>605</v>
      </c>
      <c r="V142" s="4">
        <v>0.01</v>
      </c>
      <c r="W142" s="1" t="b">
        <v>0</v>
      </c>
    </row>
    <row r="143" spans="1:23" ht="75" x14ac:dyDescent="0.25">
      <c r="A143" s="1" t="s">
        <v>580</v>
      </c>
      <c r="B143" s="1" t="s">
        <v>515</v>
      </c>
      <c r="C143" s="2" t="s">
        <v>526</v>
      </c>
      <c r="D143" s="4">
        <v>0.2</v>
      </c>
      <c r="E143" s="1" t="s">
        <v>49</v>
      </c>
      <c r="F143" s="1" t="s">
        <v>516</v>
      </c>
      <c r="G143" s="1" t="s">
        <v>258</v>
      </c>
      <c r="I143" s="2" t="s">
        <v>601</v>
      </c>
      <c r="J143" s="2" t="s">
        <v>594</v>
      </c>
      <c r="K143" s="1" t="b">
        <v>1</v>
      </c>
      <c r="L143" s="2" t="s">
        <v>125</v>
      </c>
      <c r="M143" s="2" t="str">
        <f t="shared" si="13"/>
        <v>EVQLVESGGGLVQPGGSLRLSCAASGFNISSSSIHWVRQAPGKGLEWVASISSSSGSTYYADSVKGRFTISADTSKNTAYLQMNSLRAEDTAVYYCARGGDVPNGWYALDYWGQGTLVTVSSGGGSGGGSGGGSGGGSDIQMTQSPSSLSASVGDRVTITCRASQSVYTAVAWYQQKPGKAPKLLIYRASDRYAGVPSRFSGSRSGTDFTLTISSLQPEDFATYYCQQYYYYPLTFGQGTKVEIK</v>
      </c>
      <c r="N143" s="4">
        <f t="shared" si="14"/>
        <v>245</v>
      </c>
      <c r="O143" s="1" t="b">
        <f t="shared" si="15"/>
        <v>1</v>
      </c>
      <c r="P143" s="1" t="b">
        <v>0</v>
      </c>
      <c r="Q143" s="1" t="b">
        <f>TRUE()</f>
        <v>1</v>
      </c>
      <c r="R143" s="4">
        <v>0</v>
      </c>
      <c r="S143" s="4">
        <v>1.976E-2</v>
      </c>
      <c r="T143" s="10">
        <v>45989</v>
      </c>
      <c r="U143" s="2" t="s">
        <v>604</v>
      </c>
      <c r="V143" s="4">
        <v>0.01</v>
      </c>
      <c r="W143" s="1" t="b">
        <v>1</v>
      </c>
    </row>
    <row r="144" spans="1:23" ht="75" x14ac:dyDescent="0.25">
      <c r="A144" s="1" t="s">
        <v>581</v>
      </c>
      <c r="B144" s="1" t="s">
        <v>515</v>
      </c>
      <c r="C144" s="2" t="s">
        <v>526</v>
      </c>
      <c r="D144" s="4">
        <v>0.2</v>
      </c>
      <c r="E144" s="1" t="s">
        <v>49</v>
      </c>
      <c r="F144" s="1" t="s">
        <v>516</v>
      </c>
      <c r="G144" s="1" t="s">
        <v>258</v>
      </c>
      <c r="I144" s="2" t="s">
        <v>600</v>
      </c>
      <c r="J144" s="2" t="s">
        <v>595</v>
      </c>
      <c r="K144" s="1" t="b">
        <v>1</v>
      </c>
      <c r="L144" s="2" t="s">
        <v>125</v>
      </c>
      <c r="M144" s="2" t="str">
        <f t="shared" si="13"/>
        <v>EVQLVESGGGLVQPGGSLRLSCAASGFNISYSSIHWVRQAPGKGLEWVASISSYSGSTYYADSVKGRFTISADTSKNTAYLQMNSLRAEDTAVYYCARGGDVPVGYYALDYWGQGTLVTVSSGGGSGGGSGGGSGGGSDIQMTQSPSSLSASVGDRVTITCRASQSVNTAVAWYQQKPGKAPKLLIYSASDRYFGVPSRFSGSRSGTDFTLTISSLQPEDFATYYCQQHYSYPLTFGQGTKVEIK</v>
      </c>
      <c r="N144" s="4">
        <f t="shared" si="14"/>
        <v>245</v>
      </c>
      <c r="O144" s="1" t="b">
        <f t="shared" si="15"/>
        <v>1</v>
      </c>
      <c r="P144" s="1" t="b">
        <v>0</v>
      </c>
      <c r="Q144" s="1" t="b">
        <f>TRUE()</f>
        <v>1</v>
      </c>
      <c r="R144" s="4">
        <v>0</v>
      </c>
      <c r="S144" s="4">
        <v>5.0769999999999999E-3</v>
      </c>
      <c r="T144" s="10">
        <v>45989</v>
      </c>
      <c r="U144" s="2" t="s">
        <v>607</v>
      </c>
      <c r="V144" s="4">
        <v>0.28000000000000003</v>
      </c>
      <c r="W144" s="1" t="b">
        <v>0</v>
      </c>
    </row>
    <row r="145" spans="1:23" ht="75" x14ac:dyDescent="0.25">
      <c r="A145" s="1" t="s">
        <v>582</v>
      </c>
      <c r="B145" s="1" t="s">
        <v>515</v>
      </c>
      <c r="C145" s="2" t="s">
        <v>526</v>
      </c>
      <c r="D145" s="4">
        <v>0.2</v>
      </c>
      <c r="E145" s="1" t="s">
        <v>49</v>
      </c>
      <c r="F145" s="1" t="s">
        <v>516</v>
      </c>
      <c r="G145" s="1" t="s">
        <v>258</v>
      </c>
      <c r="I145" s="2" t="s">
        <v>590</v>
      </c>
      <c r="J145" s="2" t="s">
        <v>596</v>
      </c>
      <c r="K145" s="1" t="b">
        <v>1</v>
      </c>
      <c r="L145" s="2" t="s">
        <v>125</v>
      </c>
      <c r="M145" s="2" t="str">
        <f t="shared" si="13"/>
        <v>EVQLVESGGGLVQPGGSLRLSCAASGFNISYSSIHWVRQAPGKGLEWVASISSYSGSTYYADSVKGRFTISADTSKNTAYLQMNSLRAEDTAVYYCARGGDVPNGWYALDYWGQGTLVTVSSGGGSGGGSGGGSGGGSDIQMTQSPSSLSASVGDRVTITCRASQSVYTAVAWYQQKPGKAPKLLIYSASDRYSGVPSRFSGSRSGTDFTLTISSLQPEDFATYYCQQYASYPITFGQGTKVEIK</v>
      </c>
      <c r="N145" s="4">
        <f t="shared" si="14"/>
        <v>245</v>
      </c>
      <c r="O145" s="1" t="b">
        <f t="shared" si="15"/>
        <v>1</v>
      </c>
      <c r="P145" s="1" t="b">
        <v>0</v>
      </c>
      <c r="Q145" s="1" t="b">
        <f>TRUE()</f>
        <v>1</v>
      </c>
      <c r="R145" s="4">
        <v>0</v>
      </c>
      <c r="S145" s="4">
        <v>5.5199999999999997E-3</v>
      </c>
      <c r="T145" s="10">
        <v>45989</v>
      </c>
      <c r="U145" s="2" t="s">
        <v>608</v>
      </c>
      <c r="V145" s="4">
        <v>0</v>
      </c>
      <c r="W145" s="1" t="b">
        <v>0</v>
      </c>
    </row>
    <row r="146" spans="1:23" ht="75" x14ac:dyDescent="0.25">
      <c r="A146" s="1" t="s">
        <v>583</v>
      </c>
      <c r="B146" s="1" t="s">
        <v>515</v>
      </c>
      <c r="C146" s="2" t="s">
        <v>526</v>
      </c>
      <c r="D146" s="4">
        <v>0.2</v>
      </c>
      <c r="E146" s="1" t="s">
        <v>49</v>
      </c>
      <c r="F146" s="1" t="s">
        <v>516</v>
      </c>
      <c r="G146" s="1" t="s">
        <v>258</v>
      </c>
      <c r="I146" s="2" t="s">
        <v>589</v>
      </c>
      <c r="J146" s="2" t="s">
        <v>597</v>
      </c>
      <c r="K146" s="1" t="b">
        <v>1</v>
      </c>
      <c r="L146" s="2" t="s">
        <v>125</v>
      </c>
      <c r="M146" s="2" t="str">
        <f t="shared" si="13"/>
        <v>EVQLVESGGGLVQPGGSLRLSCAASGFNISYSSIHWVRQAPGKGLEWVASISSYSGSTYYADSVKGRFTISADTSKNTAYLQMNSLRAEDTAVYYCARGGAVPVGWYALDYWGQGTLVTVSSGGGSGGGSGGGSGGGSDIQMTQSPSSLSASVGDRVTITCRASQSVSIAVAWYQQKPGKAPKLLIYSASDRYFGVPSRFSGSRSGTDFTLTISSLQPEDFATYYCQQYYSYPLTFGQGTKVEIK</v>
      </c>
      <c r="N146" s="4">
        <f t="shared" si="14"/>
        <v>245</v>
      </c>
      <c r="O146" s="1" t="b">
        <f t="shared" si="15"/>
        <v>1</v>
      </c>
      <c r="P146" s="1" t="b">
        <v>0</v>
      </c>
      <c r="Q146" s="1" t="b">
        <f>TRUE()</f>
        <v>1</v>
      </c>
      <c r="R146" s="4">
        <v>5.6620000000000004E-3</v>
      </c>
      <c r="S146" s="4">
        <v>9.3252000000000002E-2</v>
      </c>
      <c r="T146" s="10">
        <v>45989</v>
      </c>
      <c r="U146" s="2" t="s">
        <v>609</v>
      </c>
      <c r="V146" s="4">
        <v>0.01</v>
      </c>
      <c r="W146" s="1" t="b">
        <v>0</v>
      </c>
    </row>
    <row r="147" spans="1:23" ht="75" x14ac:dyDescent="0.25">
      <c r="A147" s="1" t="s">
        <v>584</v>
      </c>
      <c r="B147" s="1" t="s">
        <v>515</v>
      </c>
      <c r="C147" s="2" t="s">
        <v>526</v>
      </c>
      <c r="D147" s="4">
        <v>0.2</v>
      </c>
      <c r="E147" s="1" t="s">
        <v>49</v>
      </c>
      <c r="F147" s="1" t="s">
        <v>516</v>
      </c>
      <c r="G147" s="1" t="s">
        <v>258</v>
      </c>
      <c r="I147" s="2" t="s">
        <v>592</v>
      </c>
      <c r="J147" s="2" t="s">
        <v>598</v>
      </c>
      <c r="K147" s="1" t="b">
        <v>1</v>
      </c>
      <c r="L147" s="2" t="s">
        <v>125</v>
      </c>
      <c r="M147" s="2" t="str">
        <f>_xlfn.CONCAT(I147,L147,J147)</f>
        <v>EVQLVESGGGLVQPGGSLRLSCAASGFNISYSSIHWVRQAPGKGLEWVASISSYSGSTYYADSVKGRFTISADTSKNTAYLQMNSLRAEDTAVYYCARGGDVPVGWYALDYWGQGTLVTVSSGGGSGGGSGGGSGGGSDIQMTQSPSSLSASVGDRVTITCRASQSVYYAVAWYQQKPGKAPKLLIYRASDRYSGVPSRFSGSRSGTDFTLTISSLQPEDFATYYCQQYYSYPLTFGQGTKVEIK</v>
      </c>
      <c r="N147" s="4">
        <f t="shared" si="14"/>
        <v>245</v>
      </c>
      <c r="O147" s="1" t="b">
        <f t="shared" si="15"/>
        <v>1</v>
      </c>
      <c r="P147" s="1" t="b">
        <v>0</v>
      </c>
      <c r="Q147" s="1" t="b">
        <f>TRUE()</f>
        <v>1</v>
      </c>
      <c r="R147" s="4">
        <v>0.53020900000000004</v>
      </c>
      <c r="S147" s="4">
        <v>0.60767899999999997</v>
      </c>
      <c r="T147" s="10">
        <v>45989</v>
      </c>
      <c r="U147" s="2" t="s">
        <v>610</v>
      </c>
      <c r="V147" s="4">
        <v>0.71</v>
      </c>
      <c r="W147" s="1" t="b">
        <v>0</v>
      </c>
    </row>
    <row r="148" spans="1:23" ht="75" x14ac:dyDescent="0.25">
      <c r="A148" s="1" t="s">
        <v>585</v>
      </c>
      <c r="B148" s="1" t="s">
        <v>515</v>
      </c>
      <c r="C148" s="2" t="s">
        <v>526</v>
      </c>
      <c r="D148" s="4">
        <v>0.2</v>
      </c>
      <c r="E148" s="1" t="s">
        <v>49</v>
      </c>
      <c r="F148" s="1" t="s">
        <v>516</v>
      </c>
      <c r="G148" s="1" t="s">
        <v>258</v>
      </c>
      <c r="I148" s="2" t="s">
        <v>586</v>
      </c>
      <c r="J148" s="2" t="s">
        <v>599</v>
      </c>
      <c r="K148" s="1" t="b">
        <v>1</v>
      </c>
      <c r="L148" s="2" t="s">
        <v>125</v>
      </c>
      <c r="M148" s="2" t="str">
        <f t="shared" si="13"/>
        <v>EVQLVESGGGLVQPGGSLRLSCAASGFNISYSSIHWVRQAPGKGLEWVASISSYSGSTYYADSVKGRFTISADTSKNTAYLQMNSLRAEDTAVYYCARGGYVPVGWYALDYWGQGTLVTVSSGGGSGGGSGGGSGGGSDIQMTQSPSSLSASVGDRVTITCRASQSVYTAVAWYQQKPGKAPKLLIYRASDRYFGVPSRFSGSRSGTDFTLTISSLQPEDFATYYCQQYYYYPLTFGQGTKVEIK</v>
      </c>
      <c r="N148" s="4">
        <f t="shared" si="14"/>
        <v>245</v>
      </c>
      <c r="O148" s="1" t="b">
        <f t="shared" si="15"/>
        <v>1</v>
      </c>
      <c r="P148" s="1" t="b">
        <v>0</v>
      </c>
      <c r="Q148" s="1" t="b">
        <f>TRUE()</f>
        <v>1</v>
      </c>
      <c r="R148" s="4">
        <v>0.18842400000000001</v>
      </c>
      <c r="S148" s="4">
        <v>0.29170499999999999</v>
      </c>
      <c r="T148" s="10">
        <v>45989</v>
      </c>
      <c r="U148" s="2" t="s">
        <v>611</v>
      </c>
      <c r="V148" s="4">
        <v>0.51</v>
      </c>
      <c r="W148" s="1" t="b">
        <v>0</v>
      </c>
    </row>
    <row r="149" spans="1:23" ht="75" x14ac:dyDescent="0.25">
      <c r="A149" s="1" t="s">
        <v>612</v>
      </c>
      <c r="B149" s="1" t="s">
        <v>515</v>
      </c>
      <c r="C149" s="2" t="s">
        <v>526</v>
      </c>
      <c r="D149" s="4">
        <v>0.4</v>
      </c>
      <c r="E149" s="1" t="s">
        <v>49</v>
      </c>
      <c r="F149" s="1" t="s">
        <v>584</v>
      </c>
      <c r="G149" s="1" t="s">
        <v>258</v>
      </c>
      <c r="I149" s="2" t="s">
        <v>622</v>
      </c>
      <c r="J149" s="2" t="s">
        <v>637</v>
      </c>
      <c r="K149" s="1" t="b">
        <v>1</v>
      </c>
      <c r="L149" s="2" t="s">
        <v>642</v>
      </c>
      <c r="M149" s="2" t="str">
        <f t="shared" si="13"/>
        <v>EVQLVESGGGLVQPGGSLRLSCAASGFNISYSSIHWVRQAPGKGLEWVASISSYSGYTYYADSVKGRFTISADTSKNTAYLQMNSLRAEDTAVYYCARGGWRPIGSYALDYWGQGTLVTVSSGGGSGGGSGGGSGGGSGGGSDIQMTQSPSSLSASVGDRVTITCRASQDVFSAVAWYQQKPGKAPKLLIYYASFLYSGVPSRFSGSRSGTDFTLTISSLQPEDFATYYCQQHSVVPITFGQGTKVEIK</v>
      </c>
      <c r="N149" s="4">
        <f t="shared" si="14"/>
        <v>249</v>
      </c>
      <c r="O149" s="1" t="b">
        <f t="shared" si="15"/>
        <v>1</v>
      </c>
      <c r="P149" s="1" t="b">
        <v>0</v>
      </c>
      <c r="Q149" s="1" t="b">
        <f>TRUE()</f>
        <v>1</v>
      </c>
      <c r="R149" s="4">
        <v>0.19544600000000001</v>
      </c>
      <c r="S149" s="4">
        <v>0.27416499999999999</v>
      </c>
      <c r="T149" s="10">
        <v>45990</v>
      </c>
      <c r="U149" s="2" t="s">
        <v>644</v>
      </c>
      <c r="V149" s="4">
        <v>0.02</v>
      </c>
      <c r="W149" s="1" t="b">
        <v>0</v>
      </c>
    </row>
    <row r="150" spans="1:23" ht="75" x14ac:dyDescent="0.25">
      <c r="A150" s="1" t="s">
        <v>613</v>
      </c>
      <c r="B150" s="1" t="s">
        <v>515</v>
      </c>
      <c r="C150" s="2" t="s">
        <v>526</v>
      </c>
      <c r="D150" s="4">
        <v>0.4</v>
      </c>
      <c r="E150" s="1" t="s">
        <v>49</v>
      </c>
      <c r="F150" s="1" t="s">
        <v>584</v>
      </c>
      <c r="G150" s="1" t="s">
        <v>258</v>
      </c>
      <c r="I150" s="2" t="s">
        <v>623</v>
      </c>
      <c r="J150" s="2" t="s">
        <v>639</v>
      </c>
      <c r="K150" s="1" t="b">
        <v>1</v>
      </c>
      <c r="L150" s="2" t="s">
        <v>642</v>
      </c>
      <c r="M150" s="2" t="str">
        <f t="shared" si="13"/>
        <v>EVQLVESGGGLVQPGGSLRLSCAASGFNISYSSIHWVRQAPGKGLEWVASISSYSGSTYYADSVKGRFTISADTSKNTAYLQMNSLRAEDTAVYYCARGGYRPIGNYALDYWGQGTLVTVSSGGGSGGGSGGGSGGGSGGGSDIQMTQSPSSLSASVGDRVTITCRASQDVDSAVAWYQQKPGKAPKLLIYYASFLYSGVPSRFSGSRSGTDFTLTISSLQPEDFATYYCQQHYVVPVTFGQGTKVEIK</v>
      </c>
      <c r="N150" s="4">
        <f t="shared" si="14"/>
        <v>249</v>
      </c>
      <c r="O150" s="1" t="b">
        <f t="shared" si="15"/>
        <v>1</v>
      </c>
      <c r="P150" s="1" t="b">
        <v>0</v>
      </c>
      <c r="Q150" s="1" t="b">
        <f>TRUE()</f>
        <v>1</v>
      </c>
      <c r="R150" s="4">
        <v>0</v>
      </c>
      <c r="S150" s="4">
        <v>5.4689999999999999E-3</v>
      </c>
      <c r="T150" s="10">
        <v>45990</v>
      </c>
      <c r="U150" s="2" t="s">
        <v>646</v>
      </c>
      <c r="V150" s="4">
        <v>0.01</v>
      </c>
      <c r="W150" s="1" t="b">
        <v>0</v>
      </c>
    </row>
    <row r="151" spans="1:23" ht="75" x14ac:dyDescent="0.25">
      <c r="A151" s="1" t="s">
        <v>614</v>
      </c>
      <c r="B151" s="1" t="s">
        <v>515</v>
      </c>
      <c r="C151" s="2" t="s">
        <v>526</v>
      </c>
      <c r="D151" s="4">
        <v>0.4</v>
      </c>
      <c r="E151" s="1" t="s">
        <v>49</v>
      </c>
      <c r="F151" s="1" t="s">
        <v>584</v>
      </c>
      <c r="G151" s="1" t="s">
        <v>258</v>
      </c>
      <c r="I151" s="2" t="s">
        <v>624</v>
      </c>
      <c r="J151" s="2" t="s">
        <v>638</v>
      </c>
      <c r="K151" s="1" t="b">
        <v>1</v>
      </c>
      <c r="L151" s="2" t="s">
        <v>642</v>
      </c>
      <c r="M151" s="2" t="str">
        <f t="shared" si="13"/>
        <v>EVQLVESGGGLVQPGGSLRLSCAASGFNISYYSIHWVRQAPGKGLEWVASISSYSGYTYYADSVKGRFTISADTSKNTAYLQMNSLRAEDTAVYYCARGGDRPSGCYALDYWGQGTLVTVSSGGGSGGGSGGGSGGGSGGGSDIQMTQSPSSLSASVGDRVTITCRASQDVFSAVAWYQQKPGKAPKLLIYFASFLYSGVPSRFSGSRSGTDFTLTISSLQPEDFATYYCQQHYEVPITFGQGTKVEIK</v>
      </c>
      <c r="N151" s="4">
        <f t="shared" si="14"/>
        <v>249</v>
      </c>
      <c r="O151" s="1" t="b">
        <f t="shared" si="15"/>
        <v>1</v>
      </c>
      <c r="P151" s="1" t="b">
        <v>0</v>
      </c>
      <c r="Q151" s="1" t="b">
        <f>TRUE()</f>
        <v>1</v>
      </c>
      <c r="R151" s="4">
        <v>0</v>
      </c>
      <c r="S151" s="4">
        <v>5.169E-3</v>
      </c>
      <c r="T151" s="10">
        <v>45990</v>
      </c>
      <c r="U151" s="2" t="s">
        <v>645</v>
      </c>
      <c r="V151" s="4">
        <v>0</v>
      </c>
      <c r="W151" s="1" t="b">
        <v>1</v>
      </c>
    </row>
    <row r="152" spans="1:23" ht="75" x14ac:dyDescent="0.25">
      <c r="A152" s="1" t="s">
        <v>615</v>
      </c>
      <c r="B152" s="1" t="s">
        <v>515</v>
      </c>
      <c r="C152" s="2" t="s">
        <v>526</v>
      </c>
      <c r="D152" s="4">
        <v>0.4</v>
      </c>
      <c r="E152" s="1" t="s">
        <v>49</v>
      </c>
      <c r="F152" s="1" t="s">
        <v>584</v>
      </c>
      <c r="G152" s="1" t="s">
        <v>258</v>
      </c>
      <c r="I152" s="2" t="s">
        <v>625</v>
      </c>
      <c r="J152" s="2" t="s">
        <v>640</v>
      </c>
      <c r="K152" s="1" t="b">
        <v>1</v>
      </c>
      <c r="L152" s="2" t="s">
        <v>642</v>
      </c>
      <c r="M152" s="2" t="str">
        <f t="shared" si="13"/>
        <v>EVQLVESGGGLVQPGGSLRLSCAASGFNISYSSIHWVRQAPGKGLEWVASISSYSGYTYYADSVKGRFTISADTSKNTAYLQMNSLRAEDTAVYYCARGGSLPTGCYALDYWGQGTLVTVSSGGGSGGGSGGGSGGGSGGGSDIQMTQSPSSLSASVGDRVTITCRASQDVDSAVAWYQQKPGKAPKLLIYFASSLYSGVPSRFSGSRSGTDFTLTISSLQPEDFATYYCQQHYDAPITFGQGTKVEIK</v>
      </c>
      <c r="N152" s="4">
        <f t="shared" si="14"/>
        <v>249</v>
      </c>
      <c r="O152" s="1" t="b">
        <f t="shared" si="15"/>
        <v>1</v>
      </c>
      <c r="P152" s="1" t="b">
        <v>0</v>
      </c>
      <c r="Q152" s="1" t="b">
        <f>TRUE()</f>
        <v>1</v>
      </c>
      <c r="R152" s="4">
        <v>0</v>
      </c>
      <c r="S152" s="4">
        <v>0</v>
      </c>
      <c r="T152" s="10">
        <v>45990</v>
      </c>
      <c r="U152" s="2" t="s">
        <v>647</v>
      </c>
      <c r="V152" s="4">
        <v>0.04</v>
      </c>
      <c r="W152" s="1" t="b">
        <v>1</v>
      </c>
    </row>
    <row r="153" spans="1:23" ht="75" x14ac:dyDescent="0.25">
      <c r="A153" s="1" t="s">
        <v>616</v>
      </c>
      <c r="B153" s="1" t="s">
        <v>515</v>
      </c>
      <c r="C153" s="2" t="s">
        <v>526</v>
      </c>
      <c r="D153" s="4">
        <v>0.4</v>
      </c>
      <c r="E153" s="1" t="s">
        <v>49</v>
      </c>
      <c r="F153" s="1" t="s">
        <v>584</v>
      </c>
      <c r="G153" s="1" t="s">
        <v>258</v>
      </c>
      <c r="I153" s="2" t="s">
        <v>626</v>
      </c>
      <c r="J153" s="2" t="s">
        <v>641</v>
      </c>
      <c r="K153" s="1" t="b">
        <v>1</v>
      </c>
      <c r="L153" s="2" t="s">
        <v>642</v>
      </c>
      <c r="M153" s="2" t="str">
        <f t="shared" si="13"/>
        <v>EVQLVESGGGLVQPGGSLRLSCAASGFNISYSSIHWVRQAPGKGLEWVASISSYSGYTYYADSVKGRFTISADTSKNTAYLQMNSLRAEDTAVYYCARGGWYPWGCDALDYWGQGTLVTVSSGGGSGGGSGGGSGGGSGGGSDIQMTQSPSSLSASVGDRVTITCRASQDVDSAVAWYQQKPGKAPKLLIYFASFLYSGVPSRFSGSRSGTDFTLTISSLQPEDFATYYCQQHYDVPITFGQGTKVEIK</v>
      </c>
      <c r="N153" s="4">
        <f t="shared" si="14"/>
        <v>249</v>
      </c>
      <c r="O153" s="1" t="b">
        <f t="shared" si="15"/>
        <v>1</v>
      </c>
      <c r="P153" s="1" t="b">
        <v>0</v>
      </c>
      <c r="Q153" s="1" t="b">
        <f>TRUE()</f>
        <v>1</v>
      </c>
      <c r="R153" s="4">
        <v>0.572295</v>
      </c>
      <c r="S153" s="4">
        <v>0.62021400000000004</v>
      </c>
      <c r="T153" s="10">
        <v>45990</v>
      </c>
      <c r="U153" s="2" t="s">
        <v>649</v>
      </c>
      <c r="V153" s="4">
        <v>0.01</v>
      </c>
      <c r="W153" s="1" t="b">
        <v>0</v>
      </c>
    </row>
    <row r="154" spans="1:23" ht="75" x14ac:dyDescent="0.25">
      <c r="A154" s="1" t="s">
        <v>617</v>
      </c>
      <c r="B154" s="1" t="s">
        <v>515</v>
      </c>
      <c r="C154" s="2" t="s">
        <v>526</v>
      </c>
      <c r="D154" s="4">
        <v>0.4</v>
      </c>
      <c r="E154" s="1" t="s">
        <v>49</v>
      </c>
      <c r="F154" s="1" t="s">
        <v>584</v>
      </c>
      <c r="G154" s="1" t="s">
        <v>258</v>
      </c>
      <c r="I154" s="2" t="s">
        <v>631</v>
      </c>
      <c r="J154" s="2" t="s">
        <v>636</v>
      </c>
      <c r="K154" s="1" t="b">
        <v>1</v>
      </c>
      <c r="L154" s="2" t="s">
        <v>642</v>
      </c>
      <c r="M154" s="2" t="str">
        <f t="shared" si="13"/>
        <v>EVQLVESGGGLVQPGGSLRLSCAASGFNISYSSIHWVRQAPGKGLEWVASISSYSGYTYYADSVKGRFTISADTSKNTAYLQMNSLRAEDTAVYYCARGGDRPVGCYALDYWGQGTLVTVSSGGGSGGGSGGGSGGGSGGGSDIQMTQSPSSLSASVGDRVTITCRASQDVTSAVAWYQQKPGKAPKLLIYSASFRYSGVPSRFSGSRSGTDFTLTISSLQPEDFATYYCQQHYVVPVTFGQGTKVEIK</v>
      </c>
      <c r="N154" s="4">
        <f t="shared" si="14"/>
        <v>249</v>
      </c>
      <c r="O154" s="1" t="b">
        <f t="shared" si="15"/>
        <v>1</v>
      </c>
      <c r="P154" s="1" t="b">
        <v>0</v>
      </c>
      <c r="Q154" s="1" t="b">
        <f>TRUE()</f>
        <v>1</v>
      </c>
      <c r="R154" s="4">
        <v>3.0435E-2</v>
      </c>
      <c r="S154" s="4">
        <v>6.3978999999999994E-2</v>
      </c>
      <c r="T154" s="10">
        <v>45990</v>
      </c>
      <c r="U154" s="2" t="s">
        <v>650</v>
      </c>
      <c r="V154" s="4">
        <v>7.0000000000000007E-2</v>
      </c>
      <c r="W154" s="1" t="b">
        <v>1</v>
      </c>
    </row>
    <row r="155" spans="1:23" ht="75" x14ac:dyDescent="0.25">
      <c r="A155" s="1" t="s">
        <v>618</v>
      </c>
      <c r="B155" s="1" t="s">
        <v>515</v>
      </c>
      <c r="C155" s="2" t="s">
        <v>526</v>
      </c>
      <c r="D155" s="4">
        <v>0.4</v>
      </c>
      <c r="E155" s="1" t="s">
        <v>49</v>
      </c>
      <c r="F155" s="1" t="s">
        <v>584</v>
      </c>
      <c r="G155" s="1" t="s">
        <v>258</v>
      </c>
      <c r="I155" s="2" t="s">
        <v>630</v>
      </c>
      <c r="J155" s="2" t="s">
        <v>635</v>
      </c>
      <c r="K155" s="1" t="b">
        <v>1</v>
      </c>
      <c r="L155" s="2" t="s">
        <v>642</v>
      </c>
      <c r="M155" s="2" t="str">
        <f t="shared" si="13"/>
        <v>EVQLVESGGGLVQPGGSLRLSCAASGFNISYSSIHWVRQAPGKGLEWVASISSYSGYTYYADSVKGRFTISADTSKNTAYLQMNSLRAEDTAVYYCARGGWYPLGCYAMDYWGQGTLVTVSSGGGSGGGSGGGSGGGSGGGSDIQMTQSPSSLSASVGDRVTITCRASQDVLSDVAWYQQKPGKAPKLLIYYASFRYSGVPSRFSGSRSGTDFTLTISSLQPEDFATYYCQQHYVVPVTFGQGTKVEIK</v>
      </c>
      <c r="N155" s="4">
        <f t="shared" si="14"/>
        <v>249</v>
      </c>
      <c r="O155" s="1" t="b">
        <f t="shared" si="15"/>
        <v>1</v>
      </c>
      <c r="P155" s="1" t="b">
        <v>0</v>
      </c>
      <c r="Q155" s="1" t="b">
        <f>TRUE()</f>
        <v>1</v>
      </c>
      <c r="R155" s="4">
        <v>0</v>
      </c>
      <c r="S155" s="4">
        <v>4.908E-3</v>
      </c>
      <c r="T155" s="10">
        <v>45990</v>
      </c>
      <c r="U155" s="2" t="s">
        <v>648</v>
      </c>
      <c r="V155" s="4">
        <v>0</v>
      </c>
      <c r="W155" s="1" t="b">
        <v>1</v>
      </c>
    </row>
    <row r="156" spans="1:23" ht="75" x14ac:dyDescent="0.25">
      <c r="A156" s="1" t="s">
        <v>619</v>
      </c>
      <c r="B156" s="1" t="s">
        <v>515</v>
      </c>
      <c r="C156" s="2" t="s">
        <v>526</v>
      </c>
      <c r="D156" s="4">
        <v>0.4</v>
      </c>
      <c r="E156" s="1" t="s">
        <v>49</v>
      </c>
      <c r="F156" s="1" t="s">
        <v>584</v>
      </c>
      <c r="G156" s="1" t="s">
        <v>258</v>
      </c>
      <c r="I156" s="2" t="s">
        <v>629</v>
      </c>
      <c r="J156" s="2" t="s">
        <v>634</v>
      </c>
      <c r="K156" s="1" t="b">
        <v>1</v>
      </c>
      <c r="L156" s="2" t="s">
        <v>642</v>
      </c>
      <c r="M156" s="2" t="str">
        <f t="shared" si="13"/>
        <v>EVQLVESGGGLVQPGGSLRLSCAASGFNISYSSIHWVRQAPGKGLEWVASISSYSGYTYYADSVKGRFTISADTSKNTAYLQMNSLRAEDTAVYYCARGGWRPFGCYALDYWGQGTLVTVSSGGGSGGGSGGGSGGGSGGGSDIQMTQSPSSLSASVGDRVTITCRASQDVFSAVAWYQQKPGKAPKLLIYSASFLYSGVPSRFSGSRSGTDFTLTISSLQPEDFATYYCQQHYIYPVTFGQGTKVEIK</v>
      </c>
      <c r="N156" s="4">
        <f t="shared" si="14"/>
        <v>249</v>
      </c>
      <c r="O156" s="1" t="b">
        <f t="shared" si="15"/>
        <v>1</v>
      </c>
      <c r="P156" s="1" t="b">
        <v>0</v>
      </c>
      <c r="Q156" s="1" t="b">
        <f>TRUE()</f>
        <v>1</v>
      </c>
      <c r="R156" s="4">
        <v>4.2744999999999998E-2</v>
      </c>
      <c r="S156" s="4">
        <v>0.14049900000000001</v>
      </c>
      <c r="T156" s="10">
        <v>45990</v>
      </c>
      <c r="U156" s="2" t="s">
        <v>652</v>
      </c>
      <c r="V156" s="4">
        <v>7.0000000000000007E-2</v>
      </c>
      <c r="W156" s="1" t="b">
        <v>0</v>
      </c>
    </row>
    <row r="157" spans="1:23" ht="75" x14ac:dyDescent="0.25">
      <c r="A157" s="1" t="s">
        <v>620</v>
      </c>
      <c r="B157" s="1" t="s">
        <v>515</v>
      </c>
      <c r="C157" s="2" t="s">
        <v>526</v>
      </c>
      <c r="D157" s="4">
        <v>0.4</v>
      </c>
      <c r="E157" s="1" t="s">
        <v>49</v>
      </c>
      <c r="F157" s="1" t="s">
        <v>584</v>
      </c>
      <c r="G157" s="1" t="s">
        <v>258</v>
      </c>
      <c r="I157" s="2" t="s">
        <v>628</v>
      </c>
      <c r="J157" s="2" t="s">
        <v>633</v>
      </c>
      <c r="K157" s="1" t="b">
        <v>1</v>
      </c>
      <c r="L157" s="2" t="s">
        <v>642</v>
      </c>
      <c r="M157" s="2" t="str">
        <f t="shared" si="13"/>
        <v>EVQLVESGGGLVQPGGSLRLSCAASGFNISYSSIHWVRQAPGKGLEWVASISSYSGSTYYADSVKGRFTISADTSKNTAYLQMNSLRAEDTAVYYCARGGWYPWGNYALDYWGQGTLVTVSSGGGSGGGSGGGSGGGSGGGSDIQMTQSPSSLSASVGDRVTITCRASQDVNTAVAWYQQKPGKAPKLLIYEASFRYSGVPSRFSGSRSGTDFTLTISSLQPEDFATYYCQQHYEVPITFGQGTKVEIK</v>
      </c>
      <c r="N157" s="4">
        <f t="shared" si="14"/>
        <v>249</v>
      </c>
      <c r="O157" s="1" t="b">
        <f t="shared" si="15"/>
        <v>1</v>
      </c>
      <c r="P157" s="1" t="b">
        <v>0</v>
      </c>
      <c r="Q157" s="1" t="b">
        <f>TRUE()</f>
        <v>1</v>
      </c>
      <c r="R157" s="4">
        <v>0</v>
      </c>
      <c r="S157" s="4">
        <v>1.0083E-2</v>
      </c>
      <c r="T157" s="10">
        <v>45990</v>
      </c>
      <c r="U157" s="2" t="s">
        <v>651</v>
      </c>
      <c r="V157" s="4">
        <v>0.02</v>
      </c>
      <c r="W157" s="1" t="b">
        <v>0</v>
      </c>
    </row>
    <row r="158" spans="1:23" ht="75" x14ac:dyDescent="0.25">
      <c r="A158" s="1" t="s">
        <v>621</v>
      </c>
      <c r="B158" s="1" t="s">
        <v>515</v>
      </c>
      <c r="C158" s="2" t="s">
        <v>526</v>
      </c>
      <c r="D158" s="4">
        <v>0.4</v>
      </c>
      <c r="E158" s="1" t="s">
        <v>49</v>
      </c>
      <c r="F158" s="1" t="s">
        <v>584</v>
      </c>
      <c r="G158" s="1" t="s">
        <v>258</v>
      </c>
      <c r="I158" s="2" t="s">
        <v>627</v>
      </c>
      <c r="J158" s="2" t="s">
        <v>632</v>
      </c>
      <c r="K158" s="1" t="b">
        <v>1</v>
      </c>
      <c r="L158" s="2" t="s">
        <v>642</v>
      </c>
      <c r="M158" s="2" t="str">
        <f t="shared" si="13"/>
        <v>EVQLVESGGGLVQPGGSLRLSCAASGFNISYSSIHWVRQAPGKGLEWVASISSYSGSTYYADSVKGRFTISADTSKNTAYLQMNSLRAEDTAVYYCARGGSRPWGCYALDYWGQGTLVTVSSGGGSGGGSGGGSGGGSGGGSDIQMTQSPSSLSASVGDRVTITCRASQDVFTAVAWYQQKPGKAPKLLIYFASFLYSGVPSRFSGSRSGTDFTLTISSLQPEDFATYYCQQYSIVPVTFGQGTKVEIK</v>
      </c>
      <c r="N158" s="4">
        <f t="shared" si="14"/>
        <v>249</v>
      </c>
      <c r="O158" s="1" t="b">
        <f t="shared" si="15"/>
        <v>1</v>
      </c>
      <c r="P158" s="1" t="b">
        <v>0</v>
      </c>
      <c r="Q158" s="1" t="b">
        <f>TRUE()</f>
        <v>1</v>
      </c>
      <c r="R158" s="4">
        <v>0</v>
      </c>
      <c r="S158" s="4">
        <v>4.7800000000000004E-3</v>
      </c>
      <c r="T158" s="10">
        <v>45990</v>
      </c>
      <c r="U158" s="2" t="s">
        <v>643</v>
      </c>
      <c r="V158" s="4">
        <v>0.01</v>
      </c>
      <c r="W158" s="1" t="b">
        <v>1</v>
      </c>
    </row>
    <row r="159" spans="1:23" ht="75" x14ac:dyDescent="0.25">
      <c r="A159" s="1" t="s">
        <v>654</v>
      </c>
      <c r="B159" s="1" t="s">
        <v>515</v>
      </c>
      <c r="C159" s="2" t="s">
        <v>526</v>
      </c>
      <c r="D159" s="4">
        <v>0.2</v>
      </c>
      <c r="E159" s="1" t="s">
        <v>49</v>
      </c>
      <c r="F159" s="1" t="s">
        <v>584</v>
      </c>
      <c r="G159" s="1" t="s">
        <v>258</v>
      </c>
      <c r="H159" s="1">
        <v>4</v>
      </c>
      <c r="I159" s="2" t="s">
        <v>592</v>
      </c>
      <c r="J159" s="2" t="s">
        <v>655</v>
      </c>
      <c r="K159" s="1" t="b">
        <v>1</v>
      </c>
      <c r="L159" s="2" t="s">
        <v>642</v>
      </c>
      <c r="M159" s="2" t="str">
        <f t="shared" ref="M159" si="16">_xlfn.CONCAT(I159,L159,J159)</f>
        <v>EVQLVESGGGLVQPGGSLRLSCAASGFNISYSSIHWVRQAPGKGLEWVASISSYSGSTYYADSVKGRFTISADTSKNTAYLQMNSLRAEDTAVYYCARGGDVPVGWYALDYWGQGTLVTVSSGGGSGGGSGGGSGGGSGGGSDIQMTQSPSSLSASVGDRVTITCRASQSVYYAVAWYQQKPGKAPKLLIYRASDLYSGVPSRFSGSRSGTDFTLTISSLQPEDFATYYCQQYYSYPLTFGQGTKVEIK</v>
      </c>
      <c r="N159" s="4">
        <f t="shared" ref="N159" si="17">LEN(M159)</f>
        <v>249</v>
      </c>
      <c r="O159" s="1" t="b">
        <f t="shared" ref="O159" si="18">IF(N159&lt;=250,TRUE,FALSE)</f>
        <v>1</v>
      </c>
      <c r="P159" s="1" t="b">
        <v>0</v>
      </c>
      <c r="Q159" s="1" t="b">
        <v>0</v>
      </c>
      <c r="T159" s="10">
        <v>45991</v>
      </c>
      <c r="U159" s="2" t="s">
        <v>657</v>
      </c>
      <c r="V159" s="4">
        <v>0.17</v>
      </c>
      <c r="W159" s="1" t="b">
        <v>0</v>
      </c>
    </row>
  </sheetData>
  <autoFilter ref="A1:V138" xr:uid="{00000000-0001-0000-0100-000000000000}"/>
  <phoneticPr fontId="1" type="noConversion"/>
  <conditionalFormatting sqref="K1:L1048576">
    <cfRule type="cellIs" dxfId="23" priority="25" operator="equal">
      <formula>TRUE</formula>
    </cfRule>
    <cfRule type="cellIs" dxfId="22" priority="26" operator="equal">
      <formula>FALSE</formula>
    </cfRule>
    <cfRule type="containsBlanks" dxfId="21" priority="26">
      <formula>LEN(TRIM(K1))=0</formula>
    </cfRule>
  </conditionalFormatting>
  <conditionalFormatting sqref="O2:O159">
    <cfRule type="containsBlanks" dxfId="20" priority="18">
      <formula>LEN(TRIM(O2))=0</formula>
    </cfRule>
  </conditionalFormatting>
  <conditionalFormatting sqref="O84:P159">
    <cfRule type="cellIs" dxfId="19" priority="6" operator="equal">
      <formula>FALSE</formula>
    </cfRule>
    <cfRule type="cellIs" dxfId="18" priority="7" operator="equal">
      <formula>TRUE</formula>
    </cfRule>
  </conditionalFormatting>
  <conditionalFormatting sqref="O2:S2 O3:Q30 O31:P83 R3:S22 S3:S158 R12:R158 R159:S159">
    <cfRule type="cellIs" dxfId="17" priority="19" operator="equal">
      <formula>FALSE</formula>
    </cfRule>
    <cfRule type="cellIs" dxfId="16" priority="27" operator="equal">
      <formula>TRUE</formula>
    </cfRule>
  </conditionalFormatting>
  <conditionalFormatting sqref="Q31:Q159">
    <cfRule type="cellIs" dxfId="15" priority="4" operator="equal">
      <formula>FALSE</formula>
    </cfRule>
    <cfRule type="cellIs" dxfId="14" priority="5" operator="equal">
      <formula>TRUE</formula>
    </cfRule>
  </conditionalFormatting>
  <conditionalFormatting sqref="V1:V1048576 R1:S1048576">
    <cfRule type="colorScale" priority="17">
      <colorScale>
        <cfvo type="num" val="0"/>
        <cfvo type="percent" val="0.5"/>
        <cfvo type="num" val="1"/>
        <color rgb="FFF8696B"/>
        <color rgb="FFFFEB84"/>
        <color rgb="FF63BE7B"/>
      </colorScale>
    </cfRule>
  </conditionalFormatting>
  <conditionalFormatting sqref="V2:V22">
    <cfRule type="cellIs" dxfId="13" priority="13" operator="equal">
      <formula>FALSE</formula>
    </cfRule>
    <cfRule type="cellIs" dxfId="12" priority="14" operator="equal">
      <formula>TRUE</formula>
    </cfRule>
  </conditionalFormatting>
  <conditionalFormatting sqref="W2:W159">
    <cfRule type="containsBlanks" dxfId="2" priority="1">
      <formula>LEN(TRIM(W2))=0</formula>
    </cfRule>
  </conditionalFormatting>
  <conditionalFormatting sqref="W2:W159">
    <cfRule type="cellIs" dxfId="1" priority="2" operator="equal">
      <formula>FALSE</formula>
    </cfRule>
    <cfRule type="cellIs" dxfId="0" priority="3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D17" sqref="D17"/>
    </sheetView>
  </sheetViews>
  <sheetFormatPr defaultColWidth="9.140625" defaultRowHeight="15" x14ac:dyDescent="0.25"/>
  <cols>
    <col min="1" max="2" width="19.42578125" style="1" bestFit="1" customWidth="1"/>
    <col min="3" max="3" width="14.42578125" style="4" customWidth="1"/>
    <col min="4" max="4" width="122.140625" style="1" customWidth="1"/>
    <col min="5" max="5" width="44.140625" style="1" customWidth="1"/>
    <col min="6" max="6" width="93.28515625" style="1" customWidth="1"/>
    <col min="7" max="7" width="10.85546875" style="1" bestFit="1" customWidth="1"/>
    <col min="8" max="8" width="41" style="1" customWidth="1"/>
    <col min="9" max="9" width="10.42578125" style="1" bestFit="1" customWidth="1"/>
    <col min="10" max="10" width="10.140625" style="1" bestFit="1" customWidth="1"/>
    <col min="11" max="1027" width="9.140625" style="1"/>
  </cols>
  <sheetData>
    <row r="1" spans="1:10" x14ac:dyDescent="0.25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90" x14ac:dyDescent="0.25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05" x14ac:dyDescent="0.25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20" x14ac:dyDescent="0.25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5"/>
  <sheetViews>
    <sheetView topLeftCell="E1" workbookViewId="0">
      <selection activeCell="K5" sqref="K5"/>
    </sheetView>
  </sheetViews>
  <sheetFormatPr defaultColWidth="9.140625" defaultRowHeight="15" x14ac:dyDescent="0.25"/>
  <cols>
    <col min="1" max="1" width="15" style="1" bestFit="1" customWidth="1"/>
    <col min="2" max="2" width="11.42578125" style="1" customWidth="1"/>
    <col min="3" max="3" width="46.140625" style="2" customWidth="1"/>
    <col min="4" max="4" width="48.85546875" style="2" customWidth="1"/>
    <col min="5" max="5" width="20.7109375" style="1" bestFit="1" customWidth="1"/>
    <col min="6" max="6" width="74" style="1" customWidth="1"/>
    <col min="7" max="7" width="17.42578125" style="1" bestFit="1" customWidth="1"/>
    <col min="8" max="8" width="11" style="1" bestFit="1" customWidth="1"/>
    <col min="9" max="9" width="10.140625" style="1" bestFit="1" customWidth="1"/>
    <col min="10" max="10" width="10.42578125" style="1" bestFit="1" customWidth="1"/>
    <col min="11" max="16384" width="9.140625" style="1"/>
  </cols>
  <sheetData>
    <row r="1" spans="1:10" x14ac:dyDescent="0.25">
      <c r="A1" s="3" t="s">
        <v>355</v>
      </c>
      <c r="B1" s="3" t="s">
        <v>356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0" x14ac:dyDescent="0.25">
      <c r="A2" s="1" t="s">
        <v>359</v>
      </c>
      <c r="B2" s="1" t="s">
        <v>360</v>
      </c>
      <c r="C2" s="2" t="s">
        <v>357</v>
      </c>
      <c r="D2" s="2" t="s">
        <v>358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0" x14ac:dyDescent="0.25">
      <c r="A3" s="1" t="s">
        <v>361</v>
      </c>
      <c r="B3" s="1" t="s">
        <v>362</v>
      </c>
      <c r="C3" s="2" t="s">
        <v>363</v>
      </c>
      <c r="D3" s="2" t="s">
        <v>364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0" x14ac:dyDescent="0.25">
      <c r="A4" s="1" t="s">
        <v>365</v>
      </c>
      <c r="B4" s="1" t="s">
        <v>366</v>
      </c>
      <c r="C4" s="2" t="s">
        <v>368</v>
      </c>
      <c r="D4" s="2" t="s">
        <v>367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  <row r="5" spans="1:10" ht="60" x14ac:dyDescent="0.25">
      <c r="A5" s="1" t="s">
        <v>567</v>
      </c>
      <c r="B5" s="1" t="s">
        <v>568</v>
      </c>
      <c r="C5" s="2" t="s">
        <v>566</v>
      </c>
      <c r="D5" s="2" t="s">
        <v>565</v>
      </c>
      <c r="E5" s="2" t="s">
        <v>569</v>
      </c>
      <c r="F5" s="2" t="str">
        <f>_xlfn.CONCAT(C5,E5,D5)</f>
        <v>EVQLVQSGAEVKKRGSSVKVSCKSSGGTFSNYAINWVRQAPGQGLEWMGGIIPILGIANYAQKFQGRVTITTDESTSTAYMELSSLRSEDTAVYYCARGWGREQLAPHPSQYYYYYYGMDVWGQGTTVTVSSGGGSGGGSGGGEIVMTQSPGTPSLSPGERATLSCRASQSIRSTYLAWYQQKPGQAPRLLIYGASSRATGIPDRFSGSGSGTDFTLTISRLEPEDFAVYYCQQYGRSPSFGQGTKVEIK</v>
      </c>
      <c r="G5" s="4">
        <f>LEN(F5)</f>
        <v>250</v>
      </c>
      <c r="H5" s="1" t="b">
        <f>IF(G5&lt;=250,TRUE,FALSE)</f>
        <v>1</v>
      </c>
      <c r="I5" s="4">
        <v>0.47112500000000002</v>
      </c>
      <c r="J5" s="4">
        <v>0.66756800000000005</v>
      </c>
    </row>
  </sheetData>
  <conditionalFormatting sqref="E1:E5">
    <cfRule type="cellIs" dxfId="11" priority="18" operator="equal">
      <formula>TRUE</formula>
    </cfRule>
    <cfRule type="cellIs" dxfId="10" priority="19" operator="equal">
      <formula>FALSE</formula>
    </cfRule>
  </conditionalFormatting>
  <conditionalFormatting sqref="H2:H5">
    <cfRule type="containsBlanks" dxfId="9" priority="16">
      <formula>LEN(TRIM(H2))=0</formula>
    </cfRule>
    <cfRule type="cellIs" dxfId="8" priority="17" operator="equal">
      <formula>FALSE</formula>
    </cfRule>
    <cfRule type="cellIs" dxfId="7" priority="20" operator="equal">
      <formula>TRUE</formula>
    </cfRule>
  </conditionalFormatting>
  <conditionalFormatting sqref="I5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6" priority="5" operator="equal">
      <formula>FALSE</formula>
    </cfRule>
    <cfRule type="cellIs" dxfId="5" priority="6" operator="equal">
      <formula>TRUE</formula>
    </cfRule>
  </conditionalFormatting>
  <conditionalFormatting sqref="I1:J1048576">
    <cfRule type="colorScale" priority="13">
      <colorScale>
        <cfvo type="num" val="0"/>
        <cfvo type="num" val="0.5"/>
        <cfvo type="num" val="1"/>
        <color rgb="FFF8696B"/>
        <color rgb="FFFFEB84"/>
        <color rgb="FF63BE7B"/>
      </colorScale>
    </cfRule>
    <cfRule type="cellIs" dxfId="4" priority="14" operator="equal">
      <formula>FALSE</formula>
    </cfRule>
    <cfRule type="cellIs" dxfId="3" priority="15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8"/>
  <sheetViews>
    <sheetView workbookViewId="0">
      <selection activeCell="D16" sqref="D16"/>
    </sheetView>
  </sheetViews>
  <sheetFormatPr defaultColWidth="9.140625" defaultRowHeight="15" x14ac:dyDescent="0.25"/>
  <cols>
    <col min="1" max="1" width="9.140625" style="4"/>
    <col min="2" max="2" width="53" style="2" customWidth="1"/>
    <col min="3" max="16384" width="9.140625" style="1"/>
  </cols>
  <sheetData>
    <row r="1" spans="1:2" x14ac:dyDescent="0.25">
      <c r="A1" s="3" t="s">
        <v>94</v>
      </c>
      <c r="B1" s="6" t="s">
        <v>95</v>
      </c>
    </row>
    <row r="2" spans="1:2" ht="60" x14ac:dyDescent="0.25">
      <c r="A2" s="4">
        <v>1</v>
      </c>
      <c r="B2" s="2" t="s">
        <v>93</v>
      </c>
    </row>
    <row r="3" spans="1:2" ht="75" x14ac:dyDescent="0.25">
      <c r="A3" s="4">
        <v>2</v>
      </c>
      <c r="B3" s="2" t="s">
        <v>111</v>
      </c>
    </row>
    <row r="4" spans="1:2" ht="30" x14ac:dyDescent="0.25">
      <c r="A4" s="4">
        <v>3</v>
      </c>
      <c r="B4" s="2" t="s">
        <v>342</v>
      </c>
    </row>
    <row r="5" spans="1:2" x14ac:dyDescent="0.25">
      <c r="A5" s="4">
        <v>4</v>
      </c>
      <c r="B5" s="2" t="s">
        <v>653</v>
      </c>
    </row>
    <row r="6" spans="1:2" x14ac:dyDescent="0.25">
      <c r="A6" s="4" t="s">
        <v>233</v>
      </c>
      <c r="B6" s="2" t="s">
        <v>235</v>
      </c>
    </row>
    <row r="7" spans="1:2" x14ac:dyDescent="0.25">
      <c r="A7" s="4" t="s">
        <v>234</v>
      </c>
      <c r="B7" s="2" t="s">
        <v>262</v>
      </c>
    </row>
    <row r="8" spans="1:2" x14ac:dyDescent="0.25">
      <c r="A8" s="4" t="s">
        <v>256</v>
      </c>
      <c r="B8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workbookViewId="0">
      <selection activeCell="A29" sqref="A29"/>
    </sheetView>
  </sheetViews>
  <sheetFormatPr defaultColWidth="11.42578125" defaultRowHeight="15" x14ac:dyDescent="0.25"/>
  <cols>
    <col min="1" max="1" width="20.85546875" customWidth="1"/>
    <col min="2" max="2" width="28.42578125" bestFit="1" customWidth="1"/>
    <col min="3" max="3" width="255.85546875" bestFit="1" customWidth="1"/>
    <col min="4" max="4" width="255.7109375" bestFit="1" customWidth="1"/>
    <col min="5" max="5" width="10" bestFit="1" customWidth="1"/>
  </cols>
  <sheetData>
    <row r="2" spans="1:3" x14ac:dyDescent="0.25">
      <c r="A2" s="8" t="s">
        <v>98</v>
      </c>
      <c r="B2" s="9">
        <v>45991</v>
      </c>
    </row>
    <row r="4" spans="1:3" x14ac:dyDescent="0.25">
      <c r="A4" t="s">
        <v>654</v>
      </c>
      <c r="B4" t="s">
        <v>526</v>
      </c>
      <c r="C4" t="s">
        <v>656</v>
      </c>
    </row>
    <row r="29" spans="1:1" x14ac:dyDescent="0.25">
      <c r="A29" t="str">
        <f>_xlfn.CONCAT("&gt;",A4,"\n",C4)</f>
        <v>&gt;sbio-nipahgpg-160\nEVQLVESGGGLVQPGGSLRLSCAASGFNISYSSIHWVRQAPGKGLEWVASISSYSGSTYYADSVKGRFTISADTSKNTAYLQMNSLRAEDTAVYYCARGGDVPVGWYALDYWGQGTLVTVSSGGGSGGGSGGGSGGGSGGGSDIQMTQSPSSLSASVGDRVTITCRASQSVYYAVAWYQQKPGKAPKLLIYRASDLYSGVPSRFSGSRSGTDFTLTISSLQPEDFATYYCQQYYSYPLTFGQGTKVEIK</v>
      </c>
    </row>
    <row r="30" spans="1:1" x14ac:dyDescent="0.25">
      <c r="A30" t="str">
        <f t="shared" ref="A30:A38" si="0">_xlfn.CONCAT("&gt;",A5,"\n",C5)</f>
        <v>&gt;\n</v>
      </c>
    </row>
    <row r="31" spans="1:1" x14ac:dyDescent="0.25">
      <c r="A31" t="str">
        <f t="shared" si="0"/>
        <v>&gt;\n</v>
      </c>
    </row>
    <row r="32" spans="1:1" x14ac:dyDescent="0.25">
      <c r="A32" t="str">
        <f t="shared" si="0"/>
        <v>&gt;\n</v>
      </c>
    </row>
    <row r="33" spans="1:1" x14ac:dyDescent="0.25">
      <c r="A33" t="str">
        <f t="shared" si="0"/>
        <v>&gt;\n</v>
      </c>
    </row>
    <row r="34" spans="1:1" x14ac:dyDescent="0.25">
      <c r="A34" t="str">
        <f t="shared" si="0"/>
        <v>&gt;\n</v>
      </c>
    </row>
    <row r="35" spans="1:1" x14ac:dyDescent="0.25">
      <c r="A35" t="str">
        <f t="shared" si="0"/>
        <v>&gt;\n</v>
      </c>
    </row>
    <row r="36" spans="1:1" x14ac:dyDescent="0.25">
      <c r="A36" t="str">
        <f t="shared" si="0"/>
        <v>&gt;\n</v>
      </c>
    </row>
    <row r="37" spans="1:1" x14ac:dyDescent="0.25">
      <c r="A37" t="str">
        <f t="shared" si="0"/>
        <v>&gt;\n</v>
      </c>
    </row>
    <row r="38" spans="1:1" x14ac:dyDescent="0.25">
      <c r="A38" t="str">
        <f t="shared" si="0"/>
        <v>&gt;\n</v>
      </c>
    </row>
  </sheetData>
  <pageMargins left="0.7" right="0.7" top="0.75" bottom="0.75" header="0.3" footer="0.3"/>
  <pageSetup orientation="portrait" horizontalDpi="1200" verticalDpi="12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885C-871B-F74B-B1CA-2C911915002A}">
  <dimension ref="A1:G159"/>
  <sheetViews>
    <sheetView zoomScale="260" workbookViewId="0">
      <selection activeCell="E5" sqref="E5"/>
    </sheetView>
  </sheetViews>
  <sheetFormatPr defaultColWidth="11.42578125" defaultRowHeight="15" x14ac:dyDescent="0.25"/>
  <cols>
    <col min="1" max="1" width="17.85546875" bestFit="1" customWidth="1"/>
  </cols>
  <sheetData>
    <row r="1" spans="1:7" x14ac:dyDescent="0.25">
      <c r="A1" t="s">
        <v>9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</row>
    <row r="2" spans="1:7" x14ac:dyDescent="0.25">
      <c r="A2" t="s">
        <v>17</v>
      </c>
      <c r="B2">
        <v>-55.501600000000003</v>
      </c>
      <c r="C2">
        <v>-38.388300000000001</v>
      </c>
      <c r="D2">
        <v>-74.485200000000006</v>
      </c>
      <c r="E2">
        <v>-2.2162199999999999</v>
      </c>
      <c r="F2">
        <v>2642.75</v>
      </c>
      <c r="G2">
        <v>-112.87350000000001</v>
      </c>
    </row>
    <row r="3" spans="1:7" x14ac:dyDescent="0.25">
      <c r="A3" t="s">
        <v>22</v>
      </c>
      <c r="B3">
        <v>-51.150100000000002</v>
      </c>
      <c r="C3">
        <v>-44.585900000000002</v>
      </c>
      <c r="D3">
        <v>-11.402900000000001</v>
      </c>
      <c r="E3">
        <v>-4.2836400000000001</v>
      </c>
      <c r="F3">
        <v>1944.51</v>
      </c>
      <c r="G3">
        <v>-55.988799999999998</v>
      </c>
    </row>
    <row r="4" spans="1:7" x14ac:dyDescent="0.25">
      <c r="A4" t="s">
        <v>25</v>
      </c>
      <c r="B4">
        <v>-17.5215</v>
      </c>
      <c r="C4">
        <v>-18.676600000000001</v>
      </c>
      <c r="D4">
        <v>-27.587199999999999</v>
      </c>
      <c r="E4">
        <v>6.6725700000000003</v>
      </c>
      <c r="F4">
        <v>958.87099999999998</v>
      </c>
      <c r="G4">
        <v>-46.263800000000003</v>
      </c>
    </row>
    <row r="5" spans="1:7" x14ac:dyDescent="0.25">
      <c r="A5" t="s">
        <v>28</v>
      </c>
      <c r="B5">
        <v>-60.354300000000002</v>
      </c>
      <c r="C5">
        <v>-35.3322</v>
      </c>
      <c r="D5">
        <v>-97.282700000000006</v>
      </c>
      <c r="E5">
        <v>-5.5655999999999999</v>
      </c>
      <c r="F5">
        <v>2098.27</v>
      </c>
      <c r="G5">
        <v>-132.61490000000001</v>
      </c>
    </row>
    <row r="6" spans="1:7" x14ac:dyDescent="0.25">
      <c r="A6" t="s">
        <v>31</v>
      </c>
      <c r="B6">
        <v>78.381900000000002</v>
      </c>
      <c r="C6">
        <v>73.120500000000007</v>
      </c>
      <c r="D6">
        <v>-5.1633599999999999</v>
      </c>
      <c r="E6">
        <v>6.2940800000000001</v>
      </c>
      <c r="F6">
        <v>1974.77</v>
      </c>
      <c r="G6">
        <v>67.957139999999995</v>
      </c>
    </row>
    <row r="7" spans="1:7" x14ac:dyDescent="0.25">
      <c r="A7" t="s">
        <v>37</v>
      </c>
      <c r="B7">
        <v>-54.599499999999999</v>
      </c>
      <c r="C7">
        <v>-46.629600000000003</v>
      </c>
      <c r="D7">
        <v>-61.430700000000002</v>
      </c>
      <c r="E7">
        <v>4.3162599999999998</v>
      </c>
      <c r="F7">
        <v>2332.56</v>
      </c>
      <c r="G7">
        <v>-108.0603</v>
      </c>
    </row>
    <row r="8" spans="1:7" x14ac:dyDescent="0.25">
      <c r="A8" t="s">
        <v>43</v>
      </c>
      <c r="B8">
        <v>-8.3158999999999992</v>
      </c>
      <c r="C8">
        <v>1.02119</v>
      </c>
      <c r="D8">
        <v>-135.084</v>
      </c>
      <c r="E8">
        <v>17.6797</v>
      </c>
      <c r="F8">
        <v>1612.48</v>
      </c>
      <c r="G8">
        <v>-134.06281000000001</v>
      </c>
    </row>
    <row r="9" spans="1:7" x14ac:dyDescent="0.25">
      <c r="A9" t="s">
        <v>44</v>
      </c>
      <c r="B9">
        <v>-31.4603</v>
      </c>
      <c r="C9">
        <v>-16.3443</v>
      </c>
      <c r="D9">
        <v>-23.0959</v>
      </c>
      <c r="E9">
        <v>-10.4968</v>
      </c>
      <c r="F9">
        <v>1130.92</v>
      </c>
      <c r="G9">
        <v>-39.440199999999997</v>
      </c>
    </row>
    <row r="10" spans="1:7" x14ac:dyDescent="0.25">
      <c r="A10" t="s">
        <v>45</v>
      </c>
      <c r="B10">
        <v>-108.0765</v>
      </c>
      <c r="C10">
        <v>-72.727400000000003</v>
      </c>
      <c r="D10">
        <v>-225.98699999999999</v>
      </c>
      <c r="E10">
        <v>9.8482800000000008</v>
      </c>
      <c r="F10">
        <v>2489.4899999999998</v>
      </c>
      <c r="G10">
        <v>-298.71440000000001</v>
      </c>
    </row>
    <row r="11" spans="1:7" x14ac:dyDescent="0.25">
      <c r="A11" t="s">
        <v>46</v>
      </c>
      <c r="B11">
        <v>-2.5352999999999999</v>
      </c>
      <c r="C11">
        <v>-4.8882099999999999</v>
      </c>
      <c r="D11">
        <v>-10.786199999999999</v>
      </c>
      <c r="E11">
        <v>4.5101500000000003</v>
      </c>
      <c r="F11">
        <v>2243.12</v>
      </c>
      <c r="G11">
        <v>-15.6744099999999</v>
      </c>
    </row>
    <row r="12" spans="1:7" x14ac:dyDescent="0.25">
      <c r="A12" t="s">
        <v>47</v>
      </c>
      <c r="B12">
        <v>-20.5517</v>
      </c>
      <c r="C12">
        <v>-35.757300000000001</v>
      </c>
      <c r="D12">
        <v>10.131600000000001</v>
      </c>
      <c r="E12">
        <v>13.1793</v>
      </c>
      <c r="F12">
        <v>2222.86</v>
      </c>
      <c r="G12">
        <v>-25.625699999999998</v>
      </c>
    </row>
    <row r="13" spans="1:7" x14ac:dyDescent="0.25">
      <c r="A13" t="s">
        <v>48</v>
      </c>
      <c r="B13">
        <v>-24.188400000000001</v>
      </c>
      <c r="C13">
        <v>-19.3353</v>
      </c>
      <c r="D13">
        <v>-19.4712</v>
      </c>
      <c r="E13">
        <v>-0.95881799999999995</v>
      </c>
      <c r="F13">
        <v>1462.85</v>
      </c>
      <c r="G13">
        <v>-38.8065</v>
      </c>
    </row>
    <row r="14" spans="1:7" x14ac:dyDescent="0.25">
      <c r="A14" t="s">
        <v>53</v>
      </c>
      <c r="B14">
        <v>-74.927300000000002</v>
      </c>
      <c r="C14">
        <v>-40.940899999999999</v>
      </c>
      <c r="D14">
        <v>-148.417</v>
      </c>
      <c r="E14">
        <v>-4.3029599999999997</v>
      </c>
      <c r="F14">
        <v>2508.69</v>
      </c>
      <c r="G14">
        <v>-189.3579</v>
      </c>
    </row>
    <row r="15" spans="1:7" x14ac:dyDescent="0.25">
      <c r="A15" t="s">
        <v>69</v>
      </c>
      <c r="B15">
        <v>-30.916599999999999</v>
      </c>
      <c r="C15">
        <v>-23.961400000000001</v>
      </c>
      <c r="D15">
        <v>-10.4665</v>
      </c>
      <c r="E15">
        <v>-4.8618800000000002</v>
      </c>
      <c r="F15">
        <v>1141.9000000000001</v>
      </c>
      <c r="G15">
        <v>-34.427900000000001</v>
      </c>
    </row>
    <row r="16" spans="1:7" x14ac:dyDescent="0.25">
      <c r="A16" t="s">
        <v>70</v>
      </c>
      <c r="B16">
        <v>-37.731900000000003</v>
      </c>
      <c r="C16">
        <v>-25.684100000000001</v>
      </c>
      <c r="D16">
        <v>-157.30199999999999</v>
      </c>
      <c r="E16">
        <v>19.412600000000001</v>
      </c>
      <c r="F16">
        <v>1805.09</v>
      </c>
      <c r="G16">
        <v>-182.98609999999999</v>
      </c>
    </row>
    <row r="17" spans="1:7" x14ac:dyDescent="0.25">
      <c r="A17" t="s">
        <v>71</v>
      </c>
      <c r="B17">
        <v>-40.457299999999996</v>
      </c>
      <c r="C17">
        <v>-22.994700000000002</v>
      </c>
      <c r="D17">
        <v>-42.025300000000001</v>
      </c>
      <c r="E17">
        <v>-9.0575799999999997</v>
      </c>
      <c r="F17">
        <v>1473.63</v>
      </c>
      <c r="G17">
        <v>-65.02</v>
      </c>
    </row>
    <row r="18" spans="1:7" x14ac:dyDescent="0.25">
      <c r="A18" t="s">
        <v>72</v>
      </c>
      <c r="B18">
        <v>-34.353499999999997</v>
      </c>
      <c r="C18">
        <v>-18.3795</v>
      </c>
      <c r="D18">
        <v>-84.392099999999999</v>
      </c>
      <c r="E18">
        <v>0.90446300000000002</v>
      </c>
      <c r="F18">
        <v>756.49099999999999</v>
      </c>
      <c r="G18">
        <v>-102.77160000000001</v>
      </c>
    </row>
    <row r="19" spans="1:7" x14ac:dyDescent="0.25">
      <c r="A19" t="s">
        <v>73</v>
      </c>
      <c r="B19">
        <v>-72.092399999999998</v>
      </c>
      <c r="C19">
        <v>-37.816400000000002</v>
      </c>
      <c r="D19">
        <v>-283.59100000000001</v>
      </c>
      <c r="E19">
        <v>22.4422</v>
      </c>
      <c r="F19">
        <v>2122.62</v>
      </c>
      <c r="G19">
        <v>-321.4074</v>
      </c>
    </row>
    <row r="20" spans="1:7" x14ac:dyDescent="0.25">
      <c r="A20" t="s">
        <v>74</v>
      </c>
      <c r="B20">
        <v>-65.717399999999998</v>
      </c>
      <c r="C20">
        <v>-23.157900000000001</v>
      </c>
      <c r="D20">
        <v>-171.5</v>
      </c>
      <c r="E20">
        <v>-8.2594999999999992</v>
      </c>
      <c r="F20">
        <v>1667.7</v>
      </c>
      <c r="G20">
        <v>-194.65790000000001</v>
      </c>
    </row>
    <row r="21" spans="1:7" x14ac:dyDescent="0.25">
      <c r="A21" t="s">
        <v>75</v>
      </c>
      <c r="B21">
        <v>-32.724499999999999</v>
      </c>
      <c r="C21">
        <v>-46.609099999999998</v>
      </c>
      <c r="D21">
        <v>15.303100000000001</v>
      </c>
      <c r="E21">
        <v>10.824</v>
      </c>
      <c r="F21">
        <v>1921.99</v>
      </c>
      <c r="G21">
        <v>-31.305999999999901</v>
      </c>
    </row>
    <row r="22" spans="1:7" x14ac:dyDescent="0.25">
      <c r="A22" t="s">
        <v>76</v>
      </c>
      <c r="B22">
        <v>-23.790700000000001</v>
      </c>
      <c r="C22">
        <v>-9.1974900000000002</v>
      </c>
      <c r="D22">
        <v>-127.364</v>
      </c>
      <c r="E22">
        <v>10.8796</v>
      </c>
      <c r="F22">
        <v>982.11</v>
      </c>
      <c r="G22">
        <v>-136.56148999999999</v>
      </c>
    </row>
    <row r="23" spans="1:7" x14ac:dyDescent="0.25">
      <c r="A23" t="s">
        <v>101</v>
      </c>
      <c r="B23">
        <v>-64.947199999999995</v>
      </c>
      <c r="C23">
        <v>-48.370199999999997</v>
      </c>
      <c r="D23">
        <v>-119.123</v>
      </c>
      <c r="E23">
        <v>7.2475899999999998</v>
      </c>
      <c r="F23">
        <v>2176.5700000000002</v>
      </c>
      <c r="G23">
        <v>-167.4932</v>
      </c>
    </row>
    <row r="24" spans="1:7" x14ac:dyDescent="0.25">
      <c r="A24" t="s">
        <v>102</v>
      </c>
      <c r="B24">
        <v>-67.848200000000006</v>
      </c>
      <c r="C24">
        <v>-38.996499999999997</v>
      </c>
      <c r="D24">
        <v>-96.273700000000005</v>
      </c>
      <c r="E24">
        <v>-9.5970099999999992</v>
      </c>
      <c r="F24">
        <v>1423.6</v>
      </c>
      <c r="G24">
        <v>-135.27019999999999</v>
      </c>
    </row>
    <row r="25" spans="1:7" x14ac:dyDescent="0.25">
      <c r="A25" t="s">
        <v>103</v>
      </c>
      <c r="B25">
        <v>-128.7364</v>
      </c>
      <c r="C25">
        <v>-63.096800000000002</v>
      </c>
      <c r="D25">
        <v>-264.58699999999999</v>
      </c>
      <c r="E25">
        <v>-12.722200000000001</v>
      </c>
      <c r="F25">
        <v>2713.27</v>
      </c>
      <c r="G25">
        <v>-327.68380000000002</v>
      </c>
    </row>
    <row r="26" spans="1:7" x14ac:dyDescent="0.25">
      <c r="A26" t="s">
        <v>104</v>
      </c>
      <c r="B26">
        <v>-57.217399999999998</v>
      </c>
      <c r="C26">
        <v>-37.195300000000003</v>
      </c>
      <c r="D26">
        <v>-36.8842</v>
      </c>
      <c r="E26">
        <v>-12.645300000000001</v>
      </c>
      <c r="F26">
        <v>2170.0300000000002</v>
      </c>
      <c r="G26">
        <v>-74.079499999999996</v>
      </c>
    </row>
    <row r="27" spans="1:7" x14ac:dyDescent="0.25">
      <c r="A27" t="s">
        <v>105</v>
      </c>
      <c r="B27">
        <v>-92.761700000000005</v>
      </c>
      <c r="C27">
        <v>-45.959299999999999</v>
      </c>
      <c r="D27">
        <v>-122.20099999999999</v>
      </c>
      <c r="E27">
        <v>-22.362200000000001</v>
      </c>
      <c r="F27">
        <v>2080.7800000000002</v>
      </c>
      <c r="G27">
        <v>-168.16030000000001</v>
      </c>
    </row>
    <row r="28" spans="1:7" x14ac:dyDescent="0.25">
      <c r="A28" t="s">
        <v>106</v>
      </c>
      <c r="B28">
        <v>-92.121600000000001</v>
      </c>
      <c r="C28">
        <v>-61.3001</v>
      </c>
      <c r="D28">
        <v>-38.330500000000001</v>
      </c>
      <c r="E28">
        <v>-23.1554</v>
      </c>
      <c r="F28">
        <v>3193.04</v>
      </c>
      <c r="G28">
        <v>-99.630600000000001</v>
      </c>
    </row>
    <row r="29" spans="1:7" x14ac:dyDescent="0.25">
      <c r="A29" t="s">
        <v>107</v>
      </c>
      <c r="B29">
        <v>-56.684199999999997</v>
      </c>
      <c r="C29">
        <v>-36.390999999999998</v>
      </c>
      <c r="D29">
        <v>-14.5116</v>
      </c>
      <c r="E29">
        <v>-17.390899999999998</v>
      </c>
      <c r="F29">
        <v>1241.8499999999999</v>
      </c>
      <c r="G29">
        <v>-50.9026</v>
      </c>
    </row>
    <row r="30" spans="1:7" x14ac:dyDescent="0.25">
      <c r="A30" t="s">
        <v>108</v>
      </c>
      <c r="B30">
        <v>-104.24420000000001</v>
      </c>
      <c r="C30">
        <v>-68.940799999999996</v>
      </c>
      <c r="D30">
        <v>-92.499899999999997</v>
      </c>
      <c r="E30">
        <v>-16.8034</v>
      </c>
      <c r="F30">
        <v>2157.12</v>
      </c>
      <c r="G30">
        <v>-161.44069999999999</v>
      </c>
    </row>
    <row r="31" spans="1:7" x14ac:dyDescent="0.25">
      <c r="A31" t="s">
        <v>174</v>
      </c>
      <c r="B31">
        <v>-108.4979</v>
      </c>
      <c r="C31">
        <v>-72.6858</v>
      </c>
      <c r="D31">
        <v>-181.47900000000001</v>
      </c>
      <c r="E31">
        <v>0.48365200000000003</v>
      </c>
      <c r="F31">
        <v>3648.86</v>
      </c>
      <c r="G31">
        <v>-254.16480000000001</v>
      </c>
    </row>
    <row r="32" spans="1:7" x14ac:dyDescent="0.25">
      <c r="A32" t="s">
        <v>175</v>
      </c>
      <c r="B32">
        <v>-58.342100000000002</v>
      </c>
      <c r="C32">
        <v>-41.7879</v>
      </c>
      <c r="D32">
        <v>-53.062800000000003</v>
      </c>
      <c r="E32">
        <v>-5.9416799999999999</v>
      </c>
      <c r="F32">
        <v>1909</v>
      </c>
      <c r="G32">
        <v>-94.850700000000003</v>
      </c>
    </row>
    <row r="33" spans="1:7" x14ac:dyDescent="0.25">
      <c r="A33" t="s">
        <v>176</v>
      </c>
      <c r="B33">
        <v>-41.680900000000001</v>
      </c>
      <c r="C33">
        <v>-26.0137</v>
      </c>
      <c r="D33">
        <v>-40.412500000000001</v>
      </c>
      <c r="E33">
        <v>-7.58474</v>
      </c>
      <c r="F33">
        <v>1761.89</v>
      </c>
      <c r="G33">
        <v>-66.426199999999994</v>
      </c>
    </row>
    <row r="34" spans="1:7" x14ac:dyDescent="0.25">
      <c r="A34" t="s">
        <v>177</v>
      </c>
      <c r="B34">
        <v>-80.417199999999994</v>
      </c>
      <c r="C34">
        <v>-35.189700000000002</v>
      </c>
      <c r="D34">
        <v>-136.762</v>
      </c>
      <c r="E34">
        <v>-17.8751</v>
      </c>
      <c r="F34">
        <v>2311.42</v>
      </c>
      <c r="G34">
        <v>-171.95169999999999</v>
      </c>
    </row>
    <row r="35" spans="1:7" x14ac:dyDescent="0.25">
      <c r="A35" t="s">
        <v>178</v>
      </c>
      <c r="B35">
        <v>-53.598999999999997</v>
      </c>
      <c r="C35">
        <v>-48.357999999999997</v>
      </c>
      <c r="D35">
        <v>7.8243799999999997</v>
      </c>
      <c r="E35">
        <v>-6.8058899999999998</v>
      </c>
      <c r="F35">
        <v>2675.2</v>
      </c>
      <c r="G35">
        <v>-40.533619999999999</v>
      </c>
    </row>
    <row r="36" spans="1:7" x14ac:dyDescent="0.25">
      <c r="A36" t="s">
        <v>179</v>
      </c>
      <c r="B36">
        <v>-53.824399999999997</v>
      </c>
      <c r="C36">
        <v>-24.810600000000001</v>
      </c>
      <c r="D36">
        <v>-82.440799999999996</v>
      </c>
      <c r="E36">
        <v>-12.525600000000001</v>
      </c>
      <c r="F36">
        <v>1376.33</v>
      </c>
      <c r="G36">
        <v>-107.25139999999899</v>
      </c>
    </row>
    <row r="37" spans="1:7" x14ac:dyDescent="0.25">
      <c r="A37" t="s">
        <v>180</v>
      </c>
      <c r="B37">
        <v>-58.098799999999997</v>
      </c>
      <c r="C37">
        <v>-32.406500000000001</v>
      </c>
      <c r="D37">
        <v>5.4323899999999998</v>
      </c>
      <c r="E37">
        <v>-26.7788</v>
      </c>
      <c r="F37">
        <v>1819.76</v>
      </c>
      <c r="G37">
        <v>-26.97411</v>
      </c>
    </row>
    <row r="38" spans="1:7" x14ac:dyDescent="0.25">
      <c r="A38" t="s">
        <v>181</v>
      </c>
      <c r="B38">
        <v>-44.408499999999997</v>
      </c>
      <c r="C38">
        <v>-31.633800000000001</v>
      </c>
      <c r="D38">
        <v>-116.98099999999999</v>
      </c>
      <c r="E38">
        <v>10.621499999999999</v>
      </c>
      <c r="F38">
        <v>2345.5100000000002</v>
      </c>
      <c r="G38">
        <v>-148.6148</v>
      </c>
    </row>
    <row r="39" spans="1:7" x14ac:dyDescent="0.25">
      <c r="A39" t="s">
        <v>182</v>
      </c>
      <c r="B39">
        <v>-70.919300000000007</v>
      </c>
      <c r="C39">
        <v>-27.106300000000001</v>
      </c>
      <c r="D39">
        <v>-0.69079100000000004</v>
      </c>
      <c r="E39">
        <v>-43.674799999999998</v>
      </c>
      <c r="F39">
        <v>2165.15</v>
      </c>
      <c r="G39">
        <v>-27.797091000000002</v>
      </c>
    </row>
    <row r="40" spans="1:7" x14ac:dyDescent="0.25">
      <c r="A40" t="s">
        <v>183</v>
      </c>
      <c r="B40">
        <v>-41.0657</v>
      </c>
      <c r="C40">
        <v>-21.454799999999999</v>
      </c>
      <c r="D40">
        <v>-44.034999999999997</v>
      </c>
      <c r="E40">
        <v>-10.803900000000001</v>
      </c>
      <c r="F40">
        <v>1506.52</v>
      </c>
      <c r="G40">
        <v>-65.489800000000002</v>
      </c>
    </row>
    <row r="41" spans="1:7" x14ac:dyDescent="0.25">
      <c r="A41" t="s">
        <v>184</v>
      </c>
      <c r="B41">
        <v>-47.466000000000001</v>
      </c>
      <c r="C41">
        <v>-23.3126</v>
      </c>
      <c r="D41">
        <v>-30.0075</v>
      </c>
      <c r="E41">
        <v>-18.151900000000001</v>
      </c>
      <c r="F41">
        <v>2472.12</v>
      </c>
      <c r="G41">
        <v>-53.320099999999996</v>
      </c>
    </row>
    <row r="42" spans="1:7" x14ac:dyDescent="0.25">
      <c r="A42" t="s">
        <v>185</v>
      </c>
      <c r="B42">
        <v>-49.961799999999997</v>
      </c>
      <c r="C42">
        <v>-35.824800000000003</v>
      </c>
      <c r="D42">
        <v>-3.5055700000000001</v>
      </c>
      <c r="E42">
        <v>-13.4359</v>
      </c>
      <c r="F42">
        <v>1312.01</v>
      </c>
      <c r="G42">
        <v>-39.330370000000002</v>
      </c>
    </row>
    <row r="43" spans="1:7" x14ac:dyDescent="0.25">
      <c r="A43" t="s">
        <v>186</v>
      </c>
      <c r="B43">
        <v>-16.96</v>
      </c>
      <c r="C43">
        <v>-5.7164700000000002</v>
      </c>
      <c r="D43">
        <v>-90.093999999999994</v>
      </c>
      <c r="E43">
        <v>6.7752600000000003</v>
      </c>
      <c r="F43">
        <v>1364.28</v>
      </c>
      <c r="G43">
        <v>-95.810469999999995</v>
      </c>
    </row>
    <row r="44" spans="1:7" x14ac:dyDescent="0.25">
      <c r="A44" t="s">
        <v>187</v>
      </c>
      <c r="B44">
        <v>-21.334099999999999</v>
      </c>
      <c r="C44">
        <v>-1.7875300000000001</v>
      </c>
      <c r="D44">
        <v>-35.597200000000001</v>
      </c>
      <c r="E44">
        <v>-12.427099999999999</v>
      </c>
      <c r="F44">
        <v>1270.17</v>
      </c>
      <c r="G44">
        <v>-37.384729999999998</v>
      </c>
    </row>
    <row r="45" spans="1:7" x14ac:dyDescent="0.25">
      <c r="A45" t="s">
        <v>188</v>
      </c>
      <c r="B45">
        <v>-29.568899999999999</v>
      </c>
      <c r="C45">
        <v>-19.977499999999999</v>
      </c>
      <c r="D45">
        <v>-45.081000000000003</v>
      </c>
      <c r="E45">
        <v>-0.575187</v>
      </c>
      <c r="F45">
        <v>1286.77</v>
      </c>
      <c r="G45">
        <v>-65.058499999999995</v>
      </c>
    </row>
    <row r="46" spans="1:7" x14ac:dyDescent="0.25">
      <c r="A46" t="s">
        <v>189</v>
      </c>
      <c r="B46">
        <v>-109.0292</v>
      </c>
      <c r="C46">
        <v>-70.939800000000005</v>
      </c>
      <c r="D46">
        <v>-168.90100000000001</v>
      </c>
      <c r="E46">
        <v>-4.3091699999999999</v>
      </c>
      <c r="F46">
        <v>2415.92</v>
      </c>
      <c r="G46">
        <v>-239.8408</v>
      </c>
    </row>
    <row r="47" spans="1:7" x14ac:dyDescent="0.25">
      <c r="A47" t="s">
        <v>190</v>
      </c>
      <c r="B47">
        <v>-29.223800000000001</v>
      </c>
      <c r="C47">
        <v>-3.16012</v>
      </c>
      <c r="D47">
        <v>-3.3677600000000001</v>
      </c>
      <c r="E47">
        <v>-25.3901</v>
      </c>
      <c r="F47">
        <v>1730.89</v>
      </c>
      <c r="G47">
        <v>-6.5278799999999997</v>
      </c>
    </row>
    <row r="48" spans="1:7" x14ac:dyDescent="0.25">
      <c r="A48" t="s">
        <v>191</v>
      </c>
      <c r="B48">
        <v>-52.698999999999998</v>
      </c>
      <c r="C48">
        <v>-30.730899999999998</v>
      </c>
      <c r="D48">
        <v>-104.35</v>
      </c>
      <c r="E48">
        <v>-1.09815</v>
      </c>
      <c r="F48">
        <v>1398.88</v>
      </c>
      <c r="G48">
        <v>-135.08089999999899</v>
      </c>
    </row>
    <row r="49" spans="1:7" x14ac:dyDescent="0.25">
      <c r="A49" t="s">
        <v>192</v>
      </c>
      <c r="B49">
        <v>-65.563500000000005</v>
      </c>
      <c r="C49">
        <v>-49.991399999999999</v>
      </c>
      <c r="D49">
        <v>-88.500600000000006</v>
      </c>
      <c r="E49">
        <v>2.1280199999999998</v>
      </c>
      <c r="F49">
        <v>1778.87</v>
      </c>
      <c r="G49">
        <v>-138.49199999999999</v>
      </c>
    </row>
    <row r="50" spans="1:7" x14ac:dyDescent="0.25">
      <c r="A50" t="s">
        <v>193</v>
      </c>
      <c r="B50">
        <v>-11.3306</v>
      </c>
      <c r="C50">
        <v>-12.278</v>
      </c>
      <c r="D50">
        <v>13.8202</v>
      </c>
      <c r="E50">
        <v>-1.8166599999999999</v>
      </c>
      <c r="F50">
        <v>1377.86</v>
      </c>
      <c r="G50">
        <v>1.54219999999999</v>
      </c>
    </row>
    <row r="51" spans="1:7" x14ac:dyDescent="0.25">
      <c r="A51" t="s">
        <v>263</v>
      </c>
      <c r="B51">
        <v>-85.704499999999996</v>
      </c>
      <c r="C51">
        <v>-33.633299999999998</v>
      </c>
      <c r="D51">
        <v>-175.18600000000001</v>
      </c>
      <c r="E51">
        <v>-17.033999999999999</v>
      </c>
      <c r="F51">
        <v>1979.5</v>
      </c>
      <c r="G51">
        <v>-208.8193</v>
      </c>
    </row>
    <row r="52" spans="1:7" x14ac:dyDescent="0.25">
      <c r="A52" t="s">
        <v>264</v>
      </c>
      <c r="B52">
        <v>-63.915399999999998</v>
      </c>
      <c r="C52">
        <v>-26.103300000000001</v>
      </c>
      <c r="D52">
        <v>-93.96</v>
      </c>
      <c r="E52">
        <v>-19.020099999999999</v>
      </c>
      <c r="F52">
        <v>1582.89</v>
      </c>
      <c r="G52">
        <v>-120.0633</v>
      </c>
    </row>
    <row r="53" spans="1:7" x14ac:dyDescent="0.25">
      <c r="A53" t="s">
        <v>265</v>
      </c>
      <c r="B53">
        <v>-65.691500000000005</v>
      </c>
      <c r="C53">
        <v>-21.399699999999999</v>
      </c>
      <c r="D53">
        <v>-165.80199999999999</v>
      </c>
      <c r="E53">
        <v>-11.131399999999999</v>
      </c>
      <c r="F53">
        <v>2263.0500000000002</v>
      </c>
      <c r="G53">
        <v>-187.20169999999999</v>
      </c>
    </row>
    <row r="54" spans="1:7" x14ac:dyDescent="0.25">
      <c r="A54" t="s">
        <v>266</v>
      </c>
      <c r="B54">
        <v>-82.741200000000006</v>
      </c>
      <c r="C54">
        <v>-37.889699999999998</v>
      </c>
      <c r="D54">
        <v>-108.70699999999999</v>
      </c>
      <c r="E54">
        <v>-23.110099999999999</v>
      </c>
      <c r="F54">
        <v>2561.71</v>
      </c>
      <c r="G54">
        <v>-146.5967</v>
      </c>
    </row>
    <row r="55" spans="1:7" x14ac:dyDescent="0.25">
      <c r="A55" t="s">
        <v>267</v>
      </c>
      <c r="B55">
        <v>-81.5274</v>
      </c>
      <c r="C55">
        <v>-55.2864</v>
      </c>
      <c r="D55">
        <v>-92.794899999999998</v>
      </c>
      <c r="E55">
        <v>-7.6819899999999999</v>
      </c>
      <c r="F55">
        <v>2413.8200000000002</v>
      </c>
      <c r="G55">
        <v>-148.0813</v>
      </c>
    </row>
    <row r="56" spans="1:7" x14ac:dyDescent="0.25">
      <c r="A56" t="s">
        <v>268</v>
      </c>
      <c r="B56">
        <v>-41.4681</v>
      </c>
      <c r="C56">
        <v>-8.3910900000000002</v>
      </c>
      <c r="D56">
        <v>-23.895099999999999</v>
      </c>
      <c r="E56">
        <v>-28.297999999999998</v>
      </c>
      <c r="F56">
        <v>1362</v>
      </c>
      <c r="G56">
        <v>-32.286189999999998</v>
      </c>
    </row>
    <row r="57" spans="1:7" x14ac:dyDescent="0.25">
      <c r="A57" t="s">
        <v>269</v>
      </c>
      <c r="B57">
        <v>-71.436199999999999</v>
      </c>
      <c r="C57">
        <v>-55.285299999999999</v>
      </c>
      <c r="D57">
        <v>-135.06800000000001</v>
      </c>
      <c r="E57">
        <v>10.8627</v>
      </c>
      <c r="F57">
        <v>2847.78</v>
      </c>
      <c r="G57">
        <v>-190.35329999999999</v>
      </c>
    </row>
    <row r="58" spans="1:7" x14ac:dyDescent="0.25">
      <c r="A58" t="s">
        <v>270</v>
      </c>
      <c r="B58">
        <v>-72.114900000000006</v>
      </c>
      <c r="C58">
        <v>-22.9269</v>
      </c>
      <c r="D58">
        <v>-35.260800000000003</v>
      </c>
      <c r="E58">
        <v>-42.135800000000003</v>
      </c>
      <c r="F58">
        <v>3216.61</v>
      </c>
      <c r="G58">
        <v>-58.1877</v>
      </c>
    </row>
    <row r="59" spans="1:7" x14ac:dyDescent="0.25">
      <c r="A59" t="s">
        <v>271</v>
      </c>
      <c r="B59">
        <v>-34.762300000000003</v>
      </c>
      <c r="C59">
        <v>-17.774799999999999</v>
      </c>
      <c r="D59">
        <v>-10.735799999999999</v>
      </c>
      <c r="E59">
        <v>-14.840299999999999</v>
      </c>
      <c r="F59">
        <v>1422.78</v>
      </c>
      <c r="G59">
        <v>-28.510599999999901</v>
      </c>
    </row>
    <row r="60" spans="1:7" x14ac:dyDescent="0.25">
      <c r="A60" t="s">
        <v>272</v>
      </c>
      <c r="B60">
        <v>-39.517699999999998</v>
      </c>
      <c r="C60">
        <v>-10.170199999999999</v>
      </c>
      <c r="D60">
        <v>-2.0871900000000001</v>
      </c>
      <c r="E60">
        <v>-28.930099999999999</v>
      </c>
      <c r="F60">
        <v>1540.91</v>
      </c>
      <c r="G60">
        <v>-12.257389999999999</v>
      </c>
    </row>
    <row r="61" spans="1:7" x14ac:dyDescent="0.25">
      <c r="A61" t="s">
        <v>273</v>
      </c>
      <c r="B61">
        <v>11.041700000000001</v>
      </c>
      <c r="C61">
        <v>2.6473</v>
      </c>
      <c r="D61">
        <v>23.2058</v>
      </c>
      <c r="E61">
        <v>3.75326</v>
      </c>
      <c r="F61">
        <v>2457.77</v>
      </c>
      <c r="G61">
        <v>25.853100000000001</v>
      </c>
    </row>
    <row r="62" spans="1:7" x14ac:dyDescent="0.25">
      <c r="A62" t="s">
        <v>274</v>
      </c>
      <c r="B62">
        <v>-82.740799999999993</v>
      </c>
      <c r="C62">
        <v>-60.234099999999998</v>
      </c>
      <c r="D62">
        <v>-59.8249</v>
      </c>
      <c r="E62">
        <v>-10.541700000000001</v>
      </c>
      <c r="F62">
        <v>2239.83</v>
      </c>
      <c r="G62">
        <v>-120.059</v>
      </c>
    </row>
    <row r="63" spans="1:7" x14ac:dyDescent="0.25">
      <c r="A63" t="s">
        <v>275</v>
      </c>
      <c r="B63">
        <v>-84.433599999999998</v>
      </c>
      <c r="C63">
        <v>-37.611499999999999</v>
      </c>
      <c r="D63">
        <v>-158.166</v>
      </c>
      <c r="E63">
        <v>-15.1889</v>
      </c>
      <c r="F63">
        <v>2209</v>
      </c>
      <c r="G63">
        <v>-195.7775</v>
      </c>
    </row>
    <row r="64" spans="1:7" x14ac:dyDescent="0.25">
      <c r="A64" t="s">
        <v>276</v>
      </c>
      <c r="B64">
        <v>-44.441400000000002</v>
      </c>
      <c r="C64">
        <v>-18.4894</v>
      </c>
      <c r="D64">
        <v>-31.7685</v>
      </c>
      <c r="E64">
        <v>-19.598299999999998</v>
      </c>
      <c r="F64">
        <v>1826.01</v>
      </c>
      <c r="G64">
        <v>-50.257899999999999</v>
      </c>
    </row>
    <row r="65" spans="1:7" x14ac:dyDescent="0.25">
      <c r="A65" t="s">
        <v>277</v>
      </c>
      <c r="B65">
        <v>-54.939900000000002</v>
      </c>
      <c r="C65">
        <v>-21.705300000000001</v>
      </c>
      <c r="D65">
        <v>-88.931299999999993</v>
      </c>
      <c r="E65">
        <v>-15.4483</v>
      </c>
      <c r="F65">
        <v>2186.61</v>
      </c>
      <c r="G65">
        <v>-110.63659999999901</v>
      </c>
    </row>
    <row r="66" spans="1:7" x14ac:dyDescent="0.25">
      <c r="A66" t="s">
        <v>278</v>
      </c>
      <c r="B66">
        <v>39.232999999999997</v>
      </c>
      <c r="C66">
        <v>50.616700000000002</v>
      </c>
      <c r="D66">
        <v>-51.738399999999999</v>
      </c>
      <c r="E66">
        <v>-1.0360199999999999</v>
      </c>
      <c r="F66">
        <v>2817.32</v>
      </c>
      <c r="G66">
        <v>-1.1216999999999899</v>
      </c>
    </row>
    <row r="67" spans="1:7" x14ac:dyDescent="0.25">
      <c r="A67" t="s">
        <v>279</v>
      </c>
      <c r="B67">
        <v>-23.293800000000001</v>
      </c>
      <c r="C67">
        <v>-16.830400000000001</v>
      </c>
      <c r="D67">
        <v>-16.532299999999999</v>
      </c>
      <c r="E67">
        <v>-3.1569799999999999</v>
      </c>
      <c r="F67">
        <v>1931.43</v>
      </c>
      <c r="G67">
        <v>-33.362699999999997</v>
      </c>
    </row>
    <row r="68" spans="1:7" x14ac:dyDescent="0.25">
      <c r="A68" t="s">
        <v>280</v>
      </c>
      <c r="B68">
        <v>-101.2822</v>
      </c>
      <c r="C68">
        <v>-43.766800000000003</v>
      </c>
      <c r="D68">
        <v>-219.179</v>
      </c>
      <c r="E68">
        <v>-13.679600000000001</v>
      </c>
      <c r="F68">
        <v>2549.27</v>
      </c>
      <c r="G68">
        <v>-262.94580000000002</v>
      </c>
    </row>
    <row r="69" spans="1:7" x14ac:dyDescent="0.25">
      <c r="A69" t="s">
        <v>281</v>
      </c>
      <c r="B69">
        <v>-45.816099999999999</v>
      </c>
      <c r="C69">
        <v>-37.060600000000001</v>
      </c>
      <c r="D69">
        <v>-20.267499999999998</v>
      </c>
      <c r="E69">
        <v>-4.7019700000000002</v>
      </c>
      <c r="F69">
        <v>1333.51</v>
      </c>
      <c r="G69">
        <v>-57.328099999999999</v>
      </c>
    </row>
    <row r="70" spans="1:7" x14ac:dyDescent="0.25">
      <c r="A70" t="s">
        <v>282</v>
      </c>
      <c r="B70">
        <v>-34.725299999999997</v>
      </c>
      <c r="C70">
        <v>-25.085100000000001</v>
      </c>
      <c r="D70">
        <v>37.615200000000002</v>
      </c>
      <c r="E70">
        <v>-17.1632</v>
      </c>
      <c r="F70">
        <v>1577.15</v>
      </c>
      <c r="G70">
        <v>12.530099999999999</v>
      </c>
    </row>
    <row r="71" spans="1:7" x14ac:dyDescent="0.25">
      <c r="A71" t="s">
        <v>283</v>
      </c>
      <c r="B71">
        <v>-119.3231</v>
      </c>
      <c r="C71">
        <v>-78.201300000000003</v>
      </c>
      <c r="D71">
        <v>-65.254900000000006</v>
      </c>
      <c r="E71">
        <v>-28.070799999999998</v>
      </c>
      <c r="F71">
        <v>3280.39</v>
      </c>
      <c r="G71">
        <v>-143.4562</v>
      </c>
    </row>
    <row r="72" spans="1:7" x14ac:dyDescent="0.25">
      <c r="A72" t="s">
        <v>284</v>
      </c>
      <c r="B72">
        <v>-66.846500000000006</v>
      </c>
      <c r="C72">
        <v>-47.704000000000001</v>
      </c>
      <c r="D72">
        <v>26.767800000000001</v>
      </c>
      <c r="E72">
        <v>-24.496099999999998</v>
      </c>
      <c r="F72">
        <v>2488.14</v>
      </c>
      <c r="G72">
        <v>-20.936199999999999</v>
      </c>
    </row>
    <row r="73" spans="1:7" x14ac:dyDescent="0.25">
      <c r="A73" t="s">
        <v>285</v>
      </c>
      <c r="B73">
        <v>-48.260899999999999</v>
      </c>
      <c r="C73">
        <v>-23.064</v>
      </c>
      <c r="D73">
        <v>-120.548</v>
      </c>
      <c r="E73">
        <v>-1.08734</v>
      </c>
      <c r="F73">
        <v>1496.08</v>
      </c>
      <c r="G73">
        <v>-143.61199999999999</v>
      </c>
    </row>
    <row r="74" spans="1:7" x14ac:dyDescent="0.25">
      <c r="A74" t="s">
        <v>286</v>
      </c>
      <c r="B74">
        <v>-59.988300000000002</v>
      </c>
      <c r="C74">
        <v>-41.218000000000004</v>
      </c>
      <c r="D74">
        <v>-119.136</v>
      </c>
      <c r="E74">
        <v>5.0569300000000004</v>
      </c>
      <c r="F74">
        <v>1375.51</v>
      </c>
      <c r="G74">
        <v>-160.35399999999899</v>
      </c>
    </row>
    <row r="75" spans="1:7" x14ac:dyDescent="0.25">
      <c r="A75" t="s">
        <v>287</v>
      </c>
      <c r="B75">
        <v>-133.97739999999999</v>
      </c>
      <c r="C75">
        <v>-87.212199999999996</v>
      </c>
      <c r="D75">
        <v>-258.572</v>
      </c>
      <c r="E75">
        <v>4.9492500000000001</v>
      </c>
      <c r="F75">
        <v>3777.54</v>
      </c>
      <c r="G75">
        <v>-345.7842</v>
      </c>
    </row>
    <row r="76" spans="1:7" x14ac:dyDescent="0.25">
      <c r="A76" t="s">
        <v>288</v>
      </c>
      <c r="B76">
        <v>-67.070700000000002</v>
      </c>
      <c r="C76">
        <v>-57.508200000000002</v>
      </c>
      <c r="D76">
        <v>-184.51599999999999</v>
      </c>
      <c r="E76">
        <v>27.340699999999998</v>
      </c>
      <c r="F76">
        <v>2417.4</v>
      </c>
      <c r="G76">
        <v>-242.02420000000001</v>
      </c>
    </row>
    <row r="77" spans="1:7" x14ac:dyDescent="0.25">
      <c r="A77" t="s">
        <v>289</v>
      </c>
      <c r="B77">
        <v>-76.349900000000005</v>
      </c>
      <c r="C77">
        <v>-46.016800000000003</v>
      </c>
      <c r="D77">
        <v>-97.473600000000005</v>
      </c>
      <c r="E77">
        <v>-10.8384</v>
      </c>
      <c r="F77">
        <v>2416.34</v>
      </c>
      <c r="G77">
        <v>-143.49039999999999</v>
      </c>
    </row>
    <row r="78" spans="1:7" x14ac:dyDescent="0.25">
      <c r="A78" t="s">
        <v>290</v>
      </c>
      <c r="B78">
        <v>-26.806999999999999</v>
      </c>
      <c r="C78">
        <v>-13.8416</v>
      </c>
      <c r="D78">
        <v>-9.5820600000000002</v>
      </c>
      <c r="E78">
        <v>-11.048999999999999</v>
      </c>
      <c r="F78">
        <v>2333</v>
      </c>
      <c r="G78">
        <v>-23.423659999999899</v>
      </c>
    </row>
    <row r="79" spans="1:7" x14ac:dyDescent="0.25">
      <c r="A79" t="s">
        <v>291</v>
      </c>
      <c r="B79">
        <v>-23.462</v>
      </c>
      <c r="C79">
        <v>38.029699999999998</v>
      </c>
      <c r="D79">
        <v>-129.77600000000001</v>
      </c>
      <c r="E79">
        <v>-35.536499999999997</v>
      </c>
      <c r="F79">
        <v>1879.35</v>
      </c>
      <c r="G79">
        <v>-91.746300000000005</v>
      </c>
    </row>
    <row r="80" spans="1:7" x14ac:dyDescent="0.25">
      <c r="A80" t="s">
        <v>292</v>
      </c>
      <c r="B80">
        <v>-99.479200000000006</v>
      </c>
      <c r="C80">
        <v>-72.504800000000003</v>
      </c>
      <c r="D80">
        <v>-95.598699999999994</v>
      </c>
      <c r="E80">
        <v>-7.8547000000000002</v>
      </c>
      <c r="F80">
        <v>2642.97</v>
      </c>
      <c r="G80">
        <v>-168.1035</v>
      </c>
    </row>
    <row r="81" spans="1:7" x14ac:dyDescent="0.25">
      <c r="A81" t="s">
        <v>341</v>
      </c>
      <c r="B81">
        <v>-64.563400000000001</v>
      </c>
      <c r="C81">
        <v>-33.557600000000001</v>
      </c>
      <c r="D81">
        <v>-40.706200000000003</v>
      </c>
      <c r="E81">
        <v>-22.864599999999999</v>
      </c>
      <c r="F81">
        <v>1730.81</v>
      </c>
      <c r="G81">
        <v>-74.263800000000003</v>
      </c>
    </row>
    <row r="82" spans="1:7" x14ac:dyDescent="0.25">
      <c r="A82" t="s">
        <v>369</v>
      </c>
      <c r="B82">
        <v>-50.405500000000004</v>
      </c>
      <c r="C82">
        <v>-24.747800000000002</v>
      </c>
      <c r="D82">
        <v>-81.432500000000005</v>
      </c>
      <c r="E82">
        <v>-9.3712400000000002</v>
      </c>
      <c r="F82">
        <v>1256.25</v>
      </c>
      <c r="G82">
        <v>-106.1803</v>
      </c>
    </row>
    <row r="83" spans="1:7" x14ac:dyDescent="0.25">
      <c r="A83" t="s">
        <v>385</v>
      </c>
      <c r="B83">
        <v>-5.4623999999999997</v>
      </c>
      <c r="C83">
        <v>-29.597100000000001</v>
      </c>
      <c r="D83">
        <v>56.499499999999998</v>
      </c>
      <c r="E83">
        <v>12.8348</v>
      </c>
      <c r="F83">
        <v>1673.44</v>
      </c>
      <c r="G83">
        <v>26.902399999999901</v>
      </c>
    </row>
    <row r="84" spans="1:7" x14ac:dyDescent="0.25">
      <c r="A84" t="s">
        <v>386</v>
      </c>
      <c r="B84">
        <v>-60.488799999999998</v>
      </c>
      <c r="C84">
        <v>-40.8538</v>
      </c>
      <c r="D84">
        <v>-74.081500000000005</v>
      </c>
      <c r="E84">
        <v>-4.8187199999999999</v>
      </c>
      <c r="F84">
        <v>2116.8000000000002</v>
      </c>
      <c r="G84">
        <v>-114.9353</v>
      </c>
    </row>
    <row r="85" spans="1:7" x14ac:dyDescent="0.25">
      <c r="A85" t="s">
        <v>387</v>
      </c>
      <c r="B85">
        <v>-7.0014000000000003</v>
      </c>
      <c r="C85">
        <v>4.4712300000000003</v>
      </c>
      <c r="D85">
        <v>-41.295299999999997</v>
      </c>
      <c r="E85">
        <v>-3.2135699999999998</v>
      </c>
      <c r="F85">
        <v>1636.02</v>
      </c>
      <c r="G85">
        <v>-36.824069999999999</v>
      </c>
    </row>
    <row r="86" spans="1:7" x14ac:dyDescent="0.25">
      <c r="A86" t="s">
        <v>392</v>
      </c>
      <c r="B86">
        <v>-50.3078</v>
      </c>
      <c r="C86">
        <v>-33.9392</v>
      </c>
      <c r="D86">
        <v>-117.649</v>
      </c>
      <c r="E86">
        <v>7.1612400000000003</v>
      </c>
      <c r="F86">
        <v>2217.21</v>
      </c>
      <c r="G86">
        <v>-151.5882</v>
      </c>
    </row>
    <row r="87" spans="1:7" x14ac:dyDescent="0.25">
      <c r="A87" t="s">
        <v>396</v>
      </c>
      <c r="B87">
        <v>-110.5009</v>
      </c>
      <c r="C87">
        <v>-59.745399999999997</v>
      </c>
      <c r="D87">
        <v>-218.49</v>
      </c>
      <c r="E87">
        <v>-7.0575299999999999</v>
      </c>
      <c r="F87">
        <v>2525.1999999999998</v>
      </c>
      <c r="G87">
        <v>-278.23540000000003</v>
      </c>
    </row>
    <row r="88" spans="1:7" x14ac:dyDescent="0.25">
      <c r="A88" t="s">
        <v>397</v>
      </c>
      <c r="B88">
        <v>-23.1157</v>
      </c>
      <c r="C88">
        <v>-29.428899999999999</v>
      </c>
      <c r="D88">
        <v>7.9680999999999997</v>
      </c>
      <c r="E88">
        <v>4.7196199999999999</v>
      </c>
      <c r="F88">
        <v>1552.77</v>
      </c>
      <c r="G88">
        <v>-21.460799999999999</v>
      </c>
    </row>
    <row r="89" spans="1:7" x14ac:dyDescent="0.25">
      <c r="A89" t="s">
        <v>398</v>
      </c>
      <c r="B89">
        <v>-77.303399999999996</v>
      </c>
      <c r="C89">
        <v>-36.943600000000004</v>
      </c>
      <c r="D89">
        <v>-124.325</v>
      </c>
      <c r="E89">
        <v>-15.4948</v>
      </c>
      <c r="F89">
        <v>1930.15</v>
      </c>
      <c r="G89">
        <v>-161.26859999999999</v>
      </c>
    </row>
    <row r="90" spans="1:7" x14ac:dyDescent="0.25">
      <c r="A90" t="s">
        <v>399</v>
      </c>
      <c r="B90">
        <v>-96.100700000000003</v>
      </c>
      <c r="C90">
        <v>-66.570999999999998</v>
      </c>
      <c r="D90">
        <v>-136.79900000000001</v>
      </c>
      <c r="E90">
        <v>-2.1698499999999998</v>
      </c>
      <c r="F90">
        <v>2751.17</v>
      </c>
      <c r="G90">
        <v>-203.37</v>
      </c>
    </row>
    <row r="91" spans="1:7" x14ac:dyDescent="0.25">
      <c r="A91" t="s">
        <v>400</v>
      </c>
      <c r="B91">
        <v>-57.697200000000002</v>
      </c>
      <c r="C91">
        <v>-37.110399999999998</v>
      </c>
      <c r="D91">
        <v>-38.877600000000001</v>
      </c>
      <c r="E91">
        <v>-12.811299999999999</v>
      </c>
      <c r="F91">
        <v>1350.74</v>
      </c>
      <c r="G91">
        <v>-75.988</v>
      </c>
    </row>
    <row r="92" spans="1:7" x14ac:dyDescent="0.25">
      <c r="A92" t="s">
        <v>401</v>
      </c>
      <c r="B92">
        <v>9.2781000000000002</v>
      </c>
      <c r="C92">
        <v>10.406000000000001</v>
      </c>
      <c r="D92">
        <v>6.9481899999999999E-2</v>
      </c>
      <c r="E92">
        <v>-1.14177</v>
      </c>
      <c r="F92">
        <v>1634.21</v>
      </c>
      <c r="G92">
        <v>10.4754819</v>
      </c>
    </row>
    <row r="93" spans="1:7" x14ac:dyDescent="0.25">
      <c r="A93" t="s">
        <v>402</v>
      </c>
      <c r="B93">
        <v>-53.7346</v>
      </c>
      <c r="C93">
        <v>-13.395300000000001</v>
      </c>
      <c r="D93">
        <v>-49.612699999999997</v>
      </c>
      <c r="E93">
        <v>-30.416799999999999</v>
      </c>
      <c r="F93">
        <v>1744.08</v>
      </c>
      <c r="G93">
        <v>-63.007999999999903</v>
      </c>
    </row>
    <row r="94" spans="1:7" x14ac:dyDescent="0.25">
      <c r="A94" t="s">
        <v>403</v>
      </c>
      <c r="B94">
        <v>-32.973399999999998</v>
      </c>
      <c r="C94">
        <v>-12.6699</v>
      </c>
      <c r="D94">
        <v>26.487300000000001</v>
      </c>
      <c r="E94">
        <v>-25.600999999999999</v>
      </c>
      <c r="F94">
        <v>1912.26</v>
      </c>
      <c r="G94">
        <v>13.817399999999999</v>
      </c>
    </row>
    <row r="95" spans="1:7" x14ac:dyDescent="0.25">
      <c r="A95" t="s">
        <v>404</v>
      </c>
      <c r="B95">
        <v>-59.916800000000002</v>
      </c>
      <c r="C95">
        <v>-32.550699999999999</v>
      </c>
      <c r="D95">
        <v>-58.763599999999997</v>
      </c>
      <c r="E95">
        <v>-15.6134</v>
      </c>
      <c r="F95">
        <v>1601.3</v>
      </c>
      <c r="G95">
        <v>-91.314300000000003</v>
      </c>
    </row>
    <row r="96" spans="1:7" x14ac:dyDescent="0.25">
      <c r="A96" t="s">
        <v>405</v>
      </c>
      <c r="B96">
        <v>-100.47020000000001</v>
      </c>
      <c r="C96">
        <v>-50.708100000000002</v>
      </c>
      <c r="D96">
        <v>-118.337</v>
      </c>
      <c r="E96">
        <v>-26.0947</v>
      </c>
      <c r="F96">
        <v>2106.9699999999998</v>
      </c>
      <c r="G96">
        <v>-169.04509999999999</v>
      </c>
    </row>
    <row r="97" spans="1:7" x14ac:dyDescent="0.25">
      <c r="A97" t="s">
        <v>406</v>
      </c>
      <c r="B97">
        <v>-34.535600000000002</v>
      </c>
      <c r="C97">
        <v>-29.5931</v>
      </c>
      <c r="D97">
        <v>-9.8779900000000005</v>
      </c>
      <c r="E97">
        <v>-2.9668999999999999</v>
      </c>
      <c r="F97">
        <v>1390.22</v>
      </c>
      <c r="G97">
        <v>-39.471089999999997</v>
      </c>
    </row>
    <row r="98" spans="1:7" x14ac:dyDescent="0.25">
      <c r="A98" t="s">
        <v>407</v>
      </c>
      <c r="B98">
        <v>-33.405200000000001</v>
      </c>
      <c r="C98">
        <v>-4.15252</v>
      </c>
      <c r="D98">
        <v>-49.262500000000003</v>
      </c>
      <c r="E98">
        <v>-19.400200000000002</v>
      </c>
      <c r="F98">
        <v>2496.5100000000002</v>
      </c>
      <c r="G98">
        <v>-53.415019999999998</v>
      </c>
    </row>
    <row r="99" spans="1:7" x14ac:dyDescent="0.25">
      <c r="A99" t="s">
        <v>408</v>
      </c>
      <c r="B99">
        <v>-74.121399999999994</v>
      </c>
      <c r="C99">
        <v>-43.0471</v>
      </c>
      <c r="D99">
        <v>-147.47300000000001</v>
      </c>
      <c r="E99">
        <v>-1.5797099999999999</v>
      </c>
      <c r="F99">
        <v>2589.38</v>
      </c>
      <c r="G99">
        <v>-190.52010000000001</v>
      </c>
    </row>
    <row r="100" spans="1:7" x14ac:dyDescent="0.25">
      <c r="A100" t="s">
        <v>409</v>
      </c>
      <c r="B100">
        <v>-55.720399999999998</v>
      </c>
      <c r="C100">
        <v>-20.2699</v>
      </c>
      <c r="D100">
        <v>-22.180399999999999</v>
      </c>
      <c r="E100">
        <v>-31.014399999999998</v>
      </c>
      <c r="F100">
        <v>1780.57</v>
      </c>
      <c r="G100">
        <v>-42.450299999999999</v>
      </c>
    </row>
    <row r="101" spans="1:7" x14ac:dyDescent="0.25">
      <c r="A101" t="s">
        <v>410</v>
      </c>
      <c r="B101">
        <v>-44.996400000000001</v>
      </c>
      <c r="C101">
        <v>-33.297699999999999</v>
      </c>
      <c r="D101">
        <v>-62.185899999999997</v>
      </c>
      <c r="E101">
        <v>0.73843499999999995</v>
      </c>
      <c r="F101">
        <v>2010.05</v>
      </c>
      <c r="G101">
        <v>-95.483599999999996</v>
      </c>
    </row>
    <row r="102" spans="1:7" x14ac:dyDescent="0.25">
      <c r="A102" t="s">
        <v>411</v>
      </c>
      <c r="B102">
        <v>-71.087299999999999</v>
      </c>
      <c r="C102">
        <v>-27.369800000000001</v>
      </c>
      <c r="D102">
        <v>-85.513800000000003</v>
      </c>
      <c r="E102">
        <v>-26.614699999999999</v>
      </c>
      <c r="F102">
        <v>2189.9499999999998</v>
      </c>
      <c r="G102">
        <v>-112.8836</v>
      </c>
    </row>
    <row r="103" spans="1:7" x14ac:dyDescent="0.25">
      <c r="A103" t="s">
        <v>412</v>
      </c>
      <c r="B103">
        <v>-45.856200000000001</v>
      </c>
      <c r="C103">
        <v>-29.339500000000001</v>
      </c>
      <c r="D103">
        <v>-36.8643</v>
      </c>
      <c r="E103">
        <v>-9.1438500000000005</v>
      </c>
      <c r="F103">
        <v>1788.08</v>
      </c>
      <c r="G103">
        <v>-66.203800000000001</v>
      </c>
    </row>
    <row r="104" spans="1:7" x14ac:dyDescent="0.25">
      <c r="A104" t="s">
        <v>413</v>
      </c>
      <c r="B104">
        <v>-43.371099999999998</v>
      </c>
      <c r="C104">
        <v>12.0373</v>
      </c>
      <c r="D104">
        <v>-256.22399999999999</v>
      </c>
      <c r="E104">
        <v>-4.1635600000000004</v>
      </c>
      <c r="F104">
        <v>2903.08</v>
      </c>
      <c r="G104">
        <v>-244.1867</v>
      </c>
    </row>
    <row r="105" spans="1:7" x14ac:dyDescent="0.25">
      <c r="A105" t="s">
        <v>414</v>
      </c>
      <c r="B105">
        <v>-13.8812</v>
      </c>
      <c r="C105">
        <v>-0.459509</v>
      </c>
      <c r="D105">
        <v>-49.704799999999999</v>
      </c>
      <c r="E105">
        <v>-3.4807100000000002</v>
      </c>
      <c r="F105">
        <v>1826.02</v>
      </c>
      <c r="G105">
        <v>-50.164308999999903</v>
      </c>
    </row>
    <row r="106" spans="1:7" x14ac:dyDescent="0.25">
      <c r="A106" t="s">
        <v>415</v>
      </c>
      <c r="B106">
        <v>-43.650599999999997</v>
      </c>
      <c r="C106">
        <v>-31.4938</v>
      </c>
      <c r="D106">
        <v>-35.8932</v>
      </c>
      <c r="E106">
        <v>-4.9781599999999999</v>
      </c>
      <c r="F106">
        <v>1485.82</v>
      </c>
      <c r="G106">
        <v>-67.387</v>
      </c>
    </row>
    <row r="107" spans="1:7" x14ac:dyDescent="0.25">
      <c r="A107" t="s">
        <v>416</v>
      </c>
      <c r="B107">
        <v>-92.944299999999998</v>
      </c>
      <c r="C107">
        <v>-57.471299999999999</v>
      </c>
      <c r="D107">
        <v>-175.9</v>
      </c>
      <c r="E107">
        <v>-0.29300100000000001</v>
      </c>
      <c r="F107">
        <v>2332.27</v>
      </c>
      <c r="G107">
        <v>-233.37129999999999</v>
      </c>
    </row>
    <row r="108" spans="1:7" x14ac:dyDescent="0.25">
      <c r="A108" t="s">
        <v>417</v>
      </c>
      <c r="B108">
        <v>-57.909399999999998</v>
      </c>
      <c r="C108">
        <v>-51.066200000000002</v>
      </c>
      <c r="D108">
        <v>-2.0899100000000002</v>
      </c>
      <c r="E108">
        <v>-6.4252000000000002</v>
      </c>
      <c r="F108">
        <v>2161.61</v>
      </c>
      <c r="G108">
        <v>-53.156109999999998</v>
      </c>
    </row>
    <row r="109" spans="1:7" x14ac:dyDescent="0.25">
      <c r="A109" t="s">
        <v>418</v>
      </c>
      <c r="B109">
        <v>-62.3232</v>
      </c>
      <c r="C109">
        <v>-37.699399999999997</v>
      </c>
      <c r="D109">
        <v>-58.064300000000003</v>
      </c>
      <c r="E109">
        <v>-13.010899999999999</v>
      </c>
      <c r="F109">
        <v>1651.82</v>
      </c>
      <c r="G109">
        <v>-95.7637</v>
      </c>
    </row>
    <row r="110" spans="1:7" x14ac:dyDescent="0.25">
      <c r="A110" t="s">
        <v>419</v>
      </c>
      <c r="B110">
        <v>-78.714699999999993</v>
      </c>
      <c r="C110">
        <v>-39.144399999999997</v>
      </c>
      <c r="D110">
        <v>-257.90499999999997</v>
      </c>
      <c r="E110">
        <v>12.0107</v>
      </c>
      <c r="F110">
        <v>2922.44</v>
      </c>
      <c r="G110">
        <v>-297.04939999999999</v>
      </c>
    </row>
    <row r="111" spans="1:7" x14ac:dyDescent="0.25">
      <c r="A111" t="s">
        <v>420</v>
      </c>
      <c r="B111">
        <v>-82.9756</v>
      </c>
      <c r="C111">
        <v>-63.136000000000003</v>
      </c>
      <c r="D111">
        <v>-1.27973</v>
      </c>
      <c r="E111">
        <v>-19.5837</v>
      </c>
      <c r="F111">
        <v>2217.48</v>
      </c>
      <c r="G111">
        <v>-64.415729999999996</v>
      </c>
    </row>
    <row r="112" spans="1:7" x14ac:dyDescent="0.25">
      <c r="A112" t="s">
        <v>421</v>
      </c>
      <c r="B112">
        <v>-89.389200000000002</v>
      </c>
      <c r="C112">
        <v>-51.429400000000001</v>
      </c>
      <c r="D112">
        <v>-234.42599999999999</v>
      </c>
      <c r="E112">
        <v>8.9253999999999998</v>
      </c>
      <c r="F112">
        <v>2522.42</v>
      </c>
      <c r="G112">
        <v>-285.85539999999997</v>
      </c>
    </row>
    <row r="113" spans="1:7" x14ac:dyDescent="0.25">
      <c r="A113" t="s">
        <v>422</v>
      </c>
      <c r="B113">
        <v>-92.313900000000004</v>
      </c>
      <c r="C113">
        <v>-57.200099999999999</v>
      </c>
      <c r="D113">
        <v>-148.58199999999999</v>
      </c>
      <c r="E113">
        <v>-5.3974299999999999</v>
      </c>
      <c r="F113">
        <v>2740.74</v>
      </c>
      <c r="G113">
        <v>-205.78209999999899</v>
      </c>
    </row>
    <row r="114" spans="1:7" x14ac:dyDescent="0.25">
      <c r="A114" t="s">
        <v>423</v>
      </c>
      <c r="B114">
        <v>-41.323099999999997</v>
      </c>
      <c r="C114">
        <v>-35.481000000000002</v>
      </c>
      <c r="D114">
        <v>-62.181100000000001</v>
      </c>
      <c r="E114">
        <v>6.5941700000000001</v>
      </c>
      <c r="F114">
        <v>1760.05</v>
      </c>
      <c r="G114">
        <v>-97.662099999999995</v>
      </c>
    </row>
    <row r="115" spans="1:7" x14ac:dyDescent="0.25">
      <c r="A115" t="s">
        <v>424</v>
      </c>
      <c r="B115">
        <v>-46.856000000000002</v>
      </c>
      <c r="C115">
        <v>-31.742699999999999</v>
      </c>
      <c r="D115">
        <v>-67.741100000000003</v>
      </c>
      <c r="E115">
        <v>-1.56507</v>
      </c>
      <c r="F115">
        <v>1648.85</v>
      </c>
      <c r="G115">
        <v>-99.483800000000002</v>
      </c>
    </row>
    <row r="116" spans="1:7" x14ac:dyDescent="0.25">
      <c r="A116" t="s">
        <v>425</v>
      </c>
      <c r="B116">
        <v>-52.3232</v>
      </c>
      <c r="C116">
        <v>-21.965399999999999</v>
      </c>
      <c r="D116">
        <v>-1.5766199999999999</v>
      </c>
      <c r="E116">
        <v>-30.0425</v>
      </c>
      <c r="F116">
        <v>2105.1999999999998</v>
      </c>
      <c r="G116">
        <v>-23.542019999999901</v>
      </c>
    </row>
    <row r="117" spans="1:7" x14ac:dyDescent="0.25">
      <c r="A117" t="s">
        <v>502</v>
      </c>
      <c r="B117">
        <v>-26.886500000000002</v>
      </c>
      <c r="C117">
        <v>-9.0870300000000004</v>
      </c>
      <c r="D117">
        <v>-17.158899999999999</v>
      </c>
      <c r="E117">
        <v>-14.367699999999999</v>
      </c>
      <c r="F117">
        <v>882.06899999999996</v>
      </c>
      <c r="G117">
        <v>-26.245930000000001</v>
      </c>
    </row>
    <row r="118" spans="1:7" x14ac:dyDescent="0.25">
      <c r="A118" t="s">
        <v>503</v>
      </c>
      <c r="B118">
        <v>-66.971999999999994</v>
      </c>
      <c r="C118">
        <v>-47.745600000000003</v>
      </c>
      <c r="D118">
        <v>9.5053300000000007</v>
      </c>
      <c r="E118">
        <v>-21.127500000000001</v>
      </c>
      <c r="F118">
        <v>2657.18</v>
      </c>
      <c r="G118">
        <v>-38.240270000000002</v>
      </c>
    </row>
    <row r="119" spans="1:7" x14ac:dyDescent="0.25">
      <c r="A119" t="s">
        <v>516</v>
      </c>
      <c r="B119">
        <v>1.3620000000000001</v>
      </c>
      <c r="C119">
        <v>4.5704399999999996</v>
      </c>
      <c r="D119">
        <v>22.3383</v>
      </c>
      <c r="E119">
        <v>-7.6760599999999997</v>
      </c>
      <c r="F119">
        <v>1319.39</v>
      </c>
      <c r="G119">
        <v>26.908740000000002</v>
      </c>
    </row>
    <row r="120" spans="1:7" x14ac:dyDescent="0.25">
      <c r="A120" t="s">
        <v>517</v>
      </c>
      <c r="B120">
        <v>-60.122799999999998</v>
      </c>
      <c r="C120">
        <v>-24.860399999999998</v>
      </c>
      <c r="D120">
        <v>-170.571</v>
      </c>
      <c r="E120">
        <v>-1.1482300000000001</v>
      </c>
      <c r="F120">
        <v>2986.51</v>
      </c>
      <c r="G120">
        <v>-195.4314</v>
      </c>
    </row>
    <row r="121" spans="1:7" x14ac:dyDescent="0.25">
      <c r="A121" t="s">
        <v>518</v>
      </c>
      <c r="B121">
        <v>-50.5242</v>
      </c>
      <c r="C121">
        <v>-40.856200000000001</v>
      </c>
      <c r="D121">
        <v>-152.54400000000001</v>
      </c>
      <c r="E121">
        <v>20.840800000000002</v>
      </c>
      <c r="F121">
        <v>1948.91</v>
      </c>
      <c r="G121">
        <v>-193.40020000000001</v>
      </c>
    </row>
    <row r="122" spans="1:7" x14ac:dyDescent="0.25">
      <c r="A122" t="s">
        <v>519</v>
      </c>
      <c r="B122">
        <v>-34.625599999999999</v>
      </c>
      <c r="C122">
        <v>-21.479800000000001</v>
      </c>
      <c r="D122">
        <v>-46.150799999999997</v>
      </c>
      <c r="E122">
        <v>-3.9156</v>
      </c>
      <c r="F122">
        <v>2294.35</v>
      </c>
      <c r="G122">
        <v>-67.630600000000001</v>
      </c>
    </row>
    <row r="123" spans="1:7" x14ac:dyDescent="0.25">
      <c r="A123" t="s">
        <v>520</v>
      </c>
      <c r="B123">
        <v>-67.778300000000002</v>
      </c>
      <c r="C123">
        <v>-54.405900000000003</v>
      </c>
      <c r="D123">
        <v>-47.899900000000002</v>
      </c>
      <c r="E123">
        <v>-3.7924000000000002</v>
      </c>
      <c r="F123">
        <v>2573.35</v>
      </c>
      <c r="G123">
        <v>-102.3058</v>
      </c>
    </row>
    <row r="124" spans="1:7" x14ac:dyDescent="0.25">
      <c r="A124" t="s">
        <v>521</v>
      </c>
      <c r="B124">
        <v>-51.897100000000002</v>
      </c>
      <c r="C124">
        <v>-36.812899999999999</v>
      </c>
      <c r="D124">
        <v>-169.006</v>
      </c>
      <c r="E124">
        <v>18.716999999999999</v>
      </c>
      <c r="F124">
        <v>2949.51</v>
      </c>
      <c r="G124">
        <v>-205.81889999999899</v>
      </c>
    </row>
    <row r="125" spans="1:7" x14ac:dyDescent="0.25">
      <c r="A125" t="s">
        <v>522</v>
      </c>
      <c r="B125">
        <v>-58.822600000000001</v>
      </c>
      <c r="C125">
        <v>-41.107399999999998</v>
      </c>
      <c r="D125">
        <v>-54.2806</v>
      </c>
      <c r="E125">
        <v>-6.8590400000000002</v>
      </c>
      <c r="F125">
        <v>2352.37</v>
      </c>
      <c r="G125">
        <v>-95.388000000000005</v>
      </c>
    </row>
    <row r="126" spans="1:7" x14ac:dyDescent="0.25">
      <c r="A126" t="s">
        <v>523</v>
      </c>
      <c r="B126">
        <v>-37.232300000000002</v>
      </c>
      <c r="C126">
        <v>11.6197</v>
      </c>
      <c r="D126">
        <v>-176.94499999999999</v>
      </c>
      <c r="E126">
        <v>-13.462999999999999</v>
      </c>
      <c r="F126">
        <v>2505.34</v>
      </c>
      <c r="G126">
        <v>-165.3253</v>
      </c>
    </row>
    <row r="127" spans="1:7" x14ac:dyDescent="0.25">
      <c r="A127" t="s">
        <v>524</v>
      </c>
      <c r="B127">
        <v>-29.758199999999999</v>
      </c>
      <c r="C127">
        <v>-17.619499999999999</v>
      </c>
      <c r="D127">
        <v>-45.017600000000002</v>
      </c>
      <c r="E127">
        <v>-3.1351399999999998</v>
      </c>
      <c r="F127">
        <v>2651.74</v>
      </c>
      <c r="G127">
        <v>-62.637099999999997</v>
      </c>
    </row>
    <row r="128" spans="1:7" x14ac:dyDescent="0.25">
      <c r="A128" t="s">
        <v>525</v>
      </c>
      <c r="B128">
        <v>-58.419400000000003</v>
      </c>
      <c r="C128">
        <v>-10.273400000000001</v>
      </c>
      <c r="D128">
        <v>-274.41199999999998</v>
      </c>
      <c r="E128">
        <v>6.7363799999999996</v>
      </c>
      <c r="F128">
        <v>2659.26</v>
      </c>
      <c r="G128">
        <v>-284.68539999999899</v>
      </c>
    </row>
    <row r="129" spans="1:7" x14ac:dyDescent="0.25">
      <c r="A129" t="s">
        <v>547</v>
      </c>
      <c r="B129">
        <v>-19.684799999999999</v>
      </c>
      <c r="C129">
        <v>16.866199999999999</v>
      </c>
      <c r="D129">
        <v>-155.744</v>
      </c>
      <c r="E129">
        <v>-5.40219</v>
      </c>
      <c r="F129">
        <v>1374.57</v>
      </c>
      <c r="G129">
        <v>-138.87780000000001</v>
      </c>
    </row>
    <row r="130" spans="1:7" x14ac:dyDescent="0.25">
      <c r="A130" t="s">
        <v>548</v>
      </c>
      <c r="B130">
        <v>-41.926900000000003</v>
      </c>
      <c r="C130">
        <v>-14.3795</v>
      </c>
      <c r="D130">
        <v>-176.26300000000001</v>
      </c>
      <c r="E130">
        <v>7.7051600000000002</v>
      </c>
      <c r="F130">
        <v>1266.05</v>
      </c>
      <c r="G130">
        <v>-190.64250000000001</v>
      </c>
    </row>
    <row r="131" spans="1:7" x14ac:dyDescent="0.25">
      <c r="A131" t="s">
        <v>549</v>
      </c>
      <c r="B131">
        <v>-37.592399999999998</v>
      </c>
      <c r="C131">
        <v>-41.116100000000003</v>
      </c>
      <c r="D131">
        <v>-67.976299999999995</v>
      </c>
      <c r="E131">
        <v>17.119</v>
      </c>
      <c r="F131">
        <v>1750.72</v>
      </c>
      <c r="G131">
        <v>-109.0924</v>
      </c>
    </row>
    <row r="132" spans="1:7" x14ac:dyDescent="0.25">
      <c r="A132" t="s">
        <v>550</v>
      </c>
      <c r="B132">
        <v>-90.152500000000003</v>
      </c>
      <c r="C132">
        <v>-18.022099999999998</v>
      </c>
      <c r="D132">
        <v>-294.73700000000002</v>
      </c>
      <c r="E132">
        <v>-13.183</v>
      </c>
      <c r="F132">
        <v>2279.35</v>
      </c>
      <c r="G132">
        <v>-312.75909999999999</v>
      </c>
    </row>
    <row r="133" spans="1:7" x14ac:dyDescent="0.25">
      <c r="A133" t="s">
        <v>551</v>
      </c>
      <c r="B133">
        <v>-94.168099999999995</v>
      </c>
      <c r="C133">
        <v>-41.461500000000001</v>
      </c>
      <c r="D133">
        <v>-244.96</v>
      </c>
      <c r="E133">
        <v>-3.7145800000000002</v>
      </c>
      <c r="F133">
        <v>1888.68</v>
      </c>
      <c r="G133">
        <v>-286.42149999999998</v>
      </c>
    </row>
    <row r="134" spans="1:7" x14ac:dyDescent="0.25">
      <c r="A134" t="s">
        <v>552</v>
      </c>
      <c r="B134">
        <v>-53.146000000000001</v>
      </c>
      <c r="C134">
        <v>-48.103099999999998</v>
      </c>
      <c r="D134">
        <v>46.793999999999997</v>
      </c>
      <c r="E134">
        <v>-14.4017</v>
      </c>
      <c r="F134">
        <v>1867.75</v>
      </c>
      <c r="G134">
        <v>-1.3090999999999999</v>
      </c>
    </row>
    <row r="135" spans="1:7" x14ac:dyDescent="0.25">
      <c r="A135" t="s">
        <v>553</v>
      </c>
      <c r="B135">
        <v>-27.520399999999999</v>
      </c>
      <c r="C135">
        <v>-18.4452</v>
      </c>
      <c r="D135">
        <v>7.5502500000000001</v>
      </c>
      <c r="E135">
        <v>-10.5852</v>
      </c>
      <c r="F135">
        <v>2241.9</v>
      </c>
      <c r="G135">
        <v>-10.89495</v>
      </c>
    </row>
    <row r="136" spans="1:7" x14ac:dyDescent="0.25">
      <c r="A136" t="s">
        <v>554</v>
      </c>
      <c r="B136">
        <v>-66.416399999999996</v>
      </c>
      <c r="C136">
        <v>-41.306800000000003</v>
      </c>
      <c r="D136">
        <v>-60.177799999999998</v>
      </c>
      <c r="E136">
        <v>-13.074</v>
      </c>
      <c r="F136">
        <v>1968.11</v>
      </c>
      <c r="G136">
        <v>-101.4846</v>
      </c>
    </row>
    <row r="137" spans="1:7" x14ac:dyDescent="0.25">
      <c r="A137" t="s">
        <v>555</v>
      </c>
      <c r="B137">
        <v>-41.714100000000002</v>
      </c>
      <c r="C137">
        <v>-21.6921</v>
      </c>
      <c r="D137">
        <v>-24.263300000000001</v>
      </c>
      <c r="E137">
        <v>-15.1693</v>
      </c>
      <c r="F137">
        <v>1218.53</v>
      </c>
      <c r="G137">
        <v>-45.955399999999997</v>
      </c>
    </row>
    <row r="138" spans="1:7" x14ac:dyDescent="0.25">
      <c r="A138" t="s">
        <v>556</v>
      </c>
      <c r="B138">
        <v>-93.685000000000002</v>
      </c>
      <c r="C138">
        <v>-47.778100000000002</v>
      </c>
      <c r="D138">
        <v>-302.27800000000002</v>
      </c>
      <c r="E138">
        <v>14.5487</v>
      </c>
      <c r="F138">
        <v>2656.75</v>
      </c>
      <c r="G138">
        <v>-350.05610000000001</v>
      </c>
    </row>
    <row r="139" spans="1:7" x14ac:dyDescent="0.25">
      <c r="A139" t="s">
        <v>576</v>
      </c>
      <c r="B139">
        <v>-163.03319999999999</v>
      </c>
      <c r="C139">
        <v>-121.684</v>
      </c>
      <c r="D139">
        <v>-101.002</v>
      </c>
      <c r="E139">
        <v>-21.148800000000001</v>
      </c>
      <c r="F139">
        <v>3590.88</v>
      </c>
      <c r="G139">
        <v>-222.68599999999901</v>
      </c>
    </row>
    <row r="140" spans="1:7" x14ac:dyDescent="0.25">
      <c r="A140" t="s">
        <v>577</v>
      </c>
      <c r="B140">
        <v>-141.12090000000001</v>
      </c>
      <c r="C140">
        <v>-96.388599999999997</v>
      </c>
      <c r="D140">
        <v>-204.03800000000001</v>
      </c>
      <c r="E140">
        <v>-3.92469</v>
      </c>
      <c r="F140">
        <v>4656.16</v>
      </c>
      <c r="G140">
        <v>-300.42660000000001</v>
      </c>
    </row>
    <row r="141" spans="1:7" x14ac:dyDescent="0.25">
      <c r="A141" t="s">
        <v>578</v>
      </c>
      <c r="B141">
        <v>-86.267099999999999</v>
      </c>
      <c r="C141">
        <v>-46.221200000000003</v>
      </c>
      <c r="D141">
        <v>-223.65899999999999</v>
      </c>
      <c r="E141">
        <v>4.6858899999999997</v>
      </c>
      <c r="F141">
        <v>2776.2</v>
      </c>
      <c r="G141">
        <v>-269.8802</v>
      </c>
    </row>
    <row r="142" spans="1:7" x14ac:dyDescent="0.25">
      <c r="A142" t="s">
        <v>579</v>
      </c>
      <c r="B142">
        <v>-104.58410000000001</v>
      </c>
      <c r="C142">
        <v>-56.277299999999997</v>
      </c>
      <c r="D142">
        <v>-165.78899999999999</v>
      </c>
      <c r="E142">
        <v>-15.148999999999999</v>
      </c>
      <c r="F142">
        <v>2035.02</v>
      </c>
      <c r="G142">
        <v>-222.06629999999899</v>
      </c>
    </row>
    <row r="143" spans="1:7" x14ac:dyDescent="0.25">
      <c r="A143" t="s">
        <v>580</v>
      </c>
      <c r="B143">
        <v>-46.101300000000002</v>
      </c>
      <c r="C143">
        <v>-20.082100000000001</v>
      </c>
      <c r="D143">
        <v>-70.391999999999996</v>
      </c>
      <c r="E143">
        <v>-11.940799999999999</v>
      </c>
      <c r="F143">
        <v>2530.6799999999998</v>
      </c>
      <c r="G143">
        <v>-90.474099999999893</v>
      </c>
    </row>
    <row r="144" spans="1:7" x14ac:dyDescent="0.25">
      <c r="A144" t="s">
        <v>581</v>
      </c>
      <c r="B144">
        <v>-47.9833</v>
      </c>
      <c r="C144">
        <v>-20.886299999999999</v>
      </c>
      <c r="D144">
        <v>-131.65199999999999</v>
      </c>
      <c r="E144">
        <v>-0.76656000000000002</v>
      </c>
      <c r="F144">
        <v>2021.38</v>
      </c>
      <c r="G144">
        <v>-152.53829999999999</v>
      </c>
    </row>
    <row r="145" spans="1:7" x14ac:dyDescent="0.25">
      <c r="A145" t="s">
        <v>582</v>
      </c>
      <c r="B145">
        <v>-62.697200000000002</v>
      </c>
      <c r="C145">
        <v>-34.8523</v>
      </c>
      <c r="D145">
        <v>-51.580800000000004</v>
      </c>
      <c r="E145">
        <v>-17.528700000000001</v>
      </c>
      <c r="F145">
        <v>2014.83</v>
      </c>
      <c r="G145">
        <v>-86.433099999999996</v>
      </c>
    </row>
    <row r="146" spans="1:7" x14ac:dyDescent="0.25">
      <c r="A146" t="s">
        <v>583</v>
      </c>
      <c r="B146">
        <v>-85.188599999999994</v>
      </c>
      <c r="C146">
        <v>-33.54</v>
      </c>
      <c r="D146">
        <v>-98.7667</v>
      </c>
      <c r="E146">
        <v>-31.895299999999999</v>
      </c>
      <c r="F146">
        <v>1920.88</v>
      </c>
      <c r="G146">
        <v>-132.30670000000001</v>
      </c>
    </row>
    <row r="147" spans="1:7" x14ac:dyDescent="0.25">
      <c r="A147" t="s">
        <v>584</v>
      </c>
      <c r="B147">
        <v>-82.049800000000005</v>
      </c>
      <c r="C147">
        <v>-40.525100000000002</v>
      </c>
      <c r="D147">
        <v>-26.206800000000001</v>
      </c>
      <c r="E147">
        <v>-36.283299999999997</v>
      </c>
      <c r="F147">
        <v>2647.14</v>
      </c>
      <c r="G147">
        <v>-66.731899999999996</v>
      </c>
    </row>
    <row r="148" spans="1:7" x14ac:dyDescent="0.25">
      <c r="A148" t="s">
        <v>585</v>
      </c>
      <c r="B148">
        <v>-99.147000000000006</v>
      </c>
      <c r="C148">
        <v>-57.807600000000001</v>
      </c>
      <c r="D148">
        <v>-56.305900000000001</v>
      </c>
      <c r="E148">
        <v>-30.078199999999999</v>
      </c>
      <c r="F148">
        <v>2620.1999999999998</v>
      </c>
      <c r="G148">
        <v>-114.1135</v>
      </c>
    </row>
    <row r="149" spans="1:7" x14ac:dyDescent="0.25">
      <c r="A149" t="s">
        <v>612</v>
      </c>
      <c r="B149">
        <v>-81.099299999999999</v>
      </c>
      <c r="C149">
        <v>-50.102499999999999</v>
      </c>
      <c r="D149">
        <v>-100.901</v>
      </c>
      <c r="E149">
        <v>-10.816599999999999</v>
      </c>
      <c r="F149">
        <v>2095.66</v>
      </c>
      <c r="G149">
        <v>-151.0035</v>
      </c>
    </row>
    <row r="150" spans="1:7" x14ac:dyDescent="0.25">
      <c r="A150" t="s">
        <v>613</v>
      </c>
      <c r="B150">
        <v>-108.7748</v>
      </c>
      <c r="C150">
        <v>-38.688499999999998</v>
      </c>
      <c r="D150">
        <v>-294.24700000000001</v>
      </c>
      <c r="E150">
        <v>-11.2369</v>
      </c>
      <c r="F150">
        <v>2848.66</v>
      </c>
      <c r="G150">
        <v>-332.93549999999999</v>
      </c>
    </row>
    <row r="151" spans="1:7" x14ac:dyDescent="0.25">
      <c r="A151" t="s">
        <v>614</v>
      </c>
      <c r="B151">
        <v>-71.016900000000007</v>
      </c>
      <c r="C151">
        <v>-28.990200000000002</v>
      </c>
      <c r="D151">
        <v>-68.421400000000006</v>
      </c>
      <c r="E151">
        <v>-28.342400000000001</v>
      </c>
      <c r="F151">
        <v>2042.91</v>
      </c>
      <c r="G151">
        <v>-97.411600000000007</v>
      </c>
    </row>
    <row r="152" spans="1:7" x14ac:dyDescent="0.25">
      <c r="A152" t="s">
        <v>615</v>
      </c>
      <c r="B152">
        <v>-63.432299999999998</v>
      </c>
      <c r="C152">
        <v>-28.203499999999998</v>
      </c>
      <c r="D152">
        <v>-102.879</v>
      </c>
      <c r="E152">
        <v>-14.653</v>
      </c>
      <c r="F152">
        <v>1584.4</v>
      </c>
      <c r="G152">
        <v>-131.08250000000001</v>
      </c>
    </row>
    <row r="153" spans="1:7" x14ac:dyDescent="0.25">
      <c r="A153" t="s">
        <v>616</v>
      </c>
      <c r="B153">
        <v>-98.546599999999998</v>
      </c>
      <c r="C153">
        <v>-39.380400000000002</v>
      </c>
      <c r="D153">
        <v>-80.598399999999998</v>
      </c>
      <c r="E153">
        <v>-43.046500000000002</v>
      </c>
      <c r="F153">
        <v>2863.24</v>
      </c>
      <c r="G153">
        <v>-119.97880000000001</v>
      </c>
    </row>
    <row r="154" spans="1:7" x14ac:dyDescent="0.25">
      <c r="A154" t="s">
        <v>617</v>
      </c>
      <c r="B154">
        <v>-12.794700000000001</v>
      </c>
      <c r="C154">
        <v>5.4390499999999999</v>
      </c>
      <c r="D154">
        <v>22.6189</v>
      </c>
      <c r="E154">
        <v>-22.7575</v>
      </c>
      <c r="F154">
        <v>2011.31</v>
      </c>
      <c r="G154">
        <v>28.057949999999899</v>
      </c>
    </row>
    <row r="155" spans="1:7" x14ac:dyDescent="0.25">
      <c r="A155" t="s">
        <v>618</v>
      </c>
      <c r="B155">
        <v>-51.512799999999999</v>
      </c>
      <c r="C155">
        <v>-28.786999999999999</v>
      </c>
      <c r="D155">
        <v>-8.3426500000000008</v>
      </c>
      <c r="E155">
        <v>-21.057300000000001</v>
      </c>
      <c r="F155">
        <v>1674.24</v>
      </c>
      <c r="G155">
        <v>-37.129649999999998</v>
      </c>
    </row>
    <row r="156" spans="1:7" x14ac:dyDescent="0.25">
      <c r="A156" t="s">
        <v>619</v>
      </c>
      <c r="B156">
        <v>-60.073300000000003</v>
      </c>
      <c r="C156">
        <v>-36.336599999999997</v>
      </c>
      <c r="D156">
        <v>-20.353899999999999</v>
      </c>
      <c r="E156">
        <v>-19.665900000000001</v>
      </c>
      <c r="F156">
        <v>1711.44</v>
      </c>
      <c r="G156">
        <v>-56.6905</v>
      </c>
    </row>
    <row r="157" spans="1:7" x14ac:dyDescent="0.25">
      <c r="A157" t="s">
        <v>620</v>
      </c>
      <c r="B157">
        <v>-69.063199999999995</v>
      </c>
      <c r="C157">
        <v>-34.712200000000003</v>
      </c>
      <c r="D157">
        <v>-44.078800000000001</v>
      </c>
      <c r="E157">
        <v>-25.5352</v>
      </c>
      <c r="F157">
        <v>1997.04</v>
      </c>
      <c r="G157">
        <v>-78.790999999999997</v>
      </c>
    </row>
    <row r="158" spans="1:7" x14ac:dyDescent="0.25">
      <c r="A158" t="s">
        <v>621</v>
      </c>
      <c r="B158">
        <v>-68.013599999999997</v>
      </c>
      <c r="C158">
        <v>-26.7712</v>
      </c>
      <c r="D158">
        <v>-2.8933300000000002</v>
      </c>
      <c r="E158">
        <v>-40.663699999999999</v>
      </c>
      <c r="F158">
        <v>2152.4699999999998</v>
      </c>
      <c r="G158">
        <v>-29.664529999999999</v>
      </c>
    </row>
    <row r="159" spans="1:7" x14ac:dyDescent="0.25">
      <c r="A159" t="s">
        <v>654</v>
      </c>
      <c r="B159">
        <v>-36.603999999999999</v>
      </c>
      <c r="C159">
        <v>-13.881500000000001</v>
      </c>
      <c r="D159">
        <v>-64.961399999999998</v>
      </c>
      <c r="E159">
        <v>-9.7302599999999995</v>
      </c>
      <c r="F159">
        <v>2071.83</v>
      </c>
      <c r="G159">
        <v>-78.8429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Antibody Candidates</vt:lpstr>
      <vt:lpstr>Antigens</vt:lpstr>
      <vt:lpstr>Reference Antibodies</vt:lpstr>
      <vt:lpstr>Notes</vt:lpstr>
      <vt:lpstr>FASTA Generation</vt:lpstr>
      <vt:lpstr>HADDOCK3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2025-12-04T01:10:35Z</dcterms:modified>
  <dc:language>en-US</dc:language>
</cp:coreProperties>
</file>