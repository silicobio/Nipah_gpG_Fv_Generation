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76BBAC4F-F65A-4A15-A168-CC6DE0B65D96}" xr6:coauthVersionLast="47" xr6:coauthVersionMax="47" xr10:uidLastSave="{00000000-0000-0000-0000-000000000000}"/>
  <bookViews>
    <workbookView xWindow="-12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Candidates'!$A$1:$V$138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" i="2" l="1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<sst xmlns="http://schemas.openxmlformats.org/spreadsheetml/2006/main" count="1608" uniqueCount="664">
  <si>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</si>
  <si>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</si>
  <si>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</si>
  <si>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</si>
  <si>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</si>
  <si>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</si>
  <si>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</si>
  <si>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</si>
  <si>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</si>
  <si>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</si>
  <si>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</si>
  <si>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</si>
  <si>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</si>
  <si>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</si>
  <si>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</si>
  <si>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</si>
  <si>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</si>
  <si>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</si>
  <si>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</si>
  <si>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</si>
  <si>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</si>
  <si>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</si>
  <si>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</si>
  <si>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</si>
  <si>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</si>
  <si>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</si>
  <si>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</si>
  <si>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</si>
  <si>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</si>
  <si>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</si>
  <si>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</si>
  <si>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</si>
  <si>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</si>
  <si>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</si>
  <si>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</si>
  <si>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</si>
  <si>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</si>
  <si>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</si>
  <si>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</si>
  <si>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</si>
  <si>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</si>
  <si>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</si>
  <si>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</si>
  <si>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</si>
  <si>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</si>
  <si>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</si>
  <si>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</si>
  <si>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</si>
  <si>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</si>
  <si>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</si>
  <si>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</si>
  <si>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</si>
  <si>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</si>
  <si>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</si>
  <si>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</si>
  <si>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</si>
  <si>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</si>
  <si>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</si>
  <si>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</si>
  <si>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</si>
  <si>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</si>
  <si>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</si>
  <si>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</si>
  <si>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</si>
  <si>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</si>
  <si>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</si>
  <si>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</si>
  <si>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</si>
  <si>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</si>
  <si>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</si>
  <si>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</si>
  <si>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</si>
  <si>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</si>
  <si>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</si>
  <si>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</si>
  <si>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</si>
  <si>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</si>
  <si>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</si>
  <si>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</si>
  <si>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</si>
  <si>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</si>
  <si>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</si>
  <si>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</si>
  <si>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</si>
  <si>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</si>
  <si>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</si>
  <si>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</si>
  <si>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</si>
  <si>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</si>
  <si>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</si>
  <si>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</si>
  <si>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</si>
  <si>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</si>
  <si>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</si>
  <si>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</si>
  <si>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</si>
  <si>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</si>
  <si>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</si>
  <si>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</si>
  <si>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</si>
  <si>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</si>
  <si>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</si>
  <si>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</si>
  <si>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</si>
  <si>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</si>
  <si>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</si>
  <si>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</si>
  <si>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</si>
  <si>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</si>
  <si>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</si>
  <si>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</si>
  <si>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</si>
  <si>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</si>
  <si>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</si>
  <si>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</si>
  <si>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</si>
  <si>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</si>
  <si>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</si>
  <si>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</si>
  <si>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</si>
  <si>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</si>
  <si>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</si>
  <si>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</si>
  <si>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</si>
  <si>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</si>
  <si>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</si>
  <si>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</si>
  <si>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</si>
  <si>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</si>
  <si>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</si>
  <si>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</si>
  <si>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</si>
  <si>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</si>
  <si>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</si>
  <si>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</si>
  <si>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</si>
  <si>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</si>
  <si>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</si>
  <si>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</si>
  <si>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</si>
  <si>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</si>
  <si>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</si>
  <si>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</si>
  <si>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</si>
  <si>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</si>
  <si>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</si>
  <si>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</si>
  <si>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</si>
  <si>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</si>
  <si>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</si>
  <si>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</si>
  <si>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</si>
  <si>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</si>
  <si>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</si>
  <si>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</si>
  <si>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</si>
  <si>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</si>
  <si>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</si>
  <si>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</si>
  <si>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</si>
  <si>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</si>
  <si>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</si>
  <si>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</si>
  <si>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</si>
  <si>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</si>
  <si>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</si>
  <si>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</si>
  <si>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</si>
  <si>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</si>
  <si>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</si>
  <si>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</si>
  <si>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</si>
  <si>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</si>
  <si>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</si>
  <si>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</si>
  <si>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</si>
  <si>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</si>
  <si>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</si>
  <si>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</si>
  <si>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</si>
  <si>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</si>
  <si>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</si>
  <si>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</si>
  <si>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</si>
  <si>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</si>
  <si>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</si>
  <si>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</si>
  <si>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</si>
  <si>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</si>
  <si>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</si>
  <si>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</si>
  <si>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</si>
  <si>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</si>
  <si>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</si>
  <si>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</si>
  <si>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</si>
  <si>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</si>
  <si>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</si>
  <si>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</si>
  <si>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</si>
  <si>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</si>
  <si>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</si>
  <si>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</si>
  <si>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</si>
  <si>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</si>
  <si>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</si>
  <si>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</si>
  <si>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</si>
  <si>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</si>
  <si>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</si>
  <si>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</si>
  <si>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</si>
  <si>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</si>
  <si>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</si>
  <si>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</si>
  <si>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</si>
  <si>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</si>
  <si>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</si>
  <si>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</si>
  <si>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</si>
  <si>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</si>
  <si>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</si>
  <si>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</si>
  <si>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</si>
  <si>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</si>
  <si>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</si>
  <si>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</si>
  <si>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</si>
  <si>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</si>
  <si>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</si>
  <si>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</si>
  <si>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</si>
  <si>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</si>
  <si>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</si>
  <si>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</si>
  <si>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</si>
  <si>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</si>
  <si>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</si>
  <si>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</si>
  <si>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</si>
  <si>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</si>
  <si>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</si>
  <si>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</si>
  <si>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</si>
  <si>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</si>
  <si>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</si>
  <si>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</si>
  <si>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</si>
  <si>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</si>
  <si>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</si>
  <si>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</si>
  <si>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</si>
  <si>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</si>
  <si>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</si>
  <si>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</si>
  <si>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</si>
  <si>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</si>
  <si>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</si>
  <si>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</si>
  <si>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</si>
  <si>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</si>
  <si>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</si>
  <si>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</si>
  <si>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</si>
  <si>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</si>
  <si>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</si>
  <si>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</si>
  <si>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</si>
  <si>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</si>
  <si>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</si>
  <si>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</si>
  <si>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</si>
  <si>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</si>
  <si>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</si>
  <si>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</si>
  <si>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</si>
  <si>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</si>
  <si>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</si>
  <si>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</si>
  <si>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</si>
  <si>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</si>
  <si>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</si>
  <si>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</si>
  <si>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</si>
  <si>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</si>
  <si>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</si>
  <si>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</si>
  <si>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</si>
  <si>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</si>
  <si>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</si>
  <si>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</si>
  <si>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</si>
  <si>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</si>
  <si>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</si>
  <si>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</si>
  <si>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</si>
  <si>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</si>
  <si>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</si>
  <si>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</si>
  <si>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</si>
  <si>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</si>
  <si>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</si>
  <si>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</si>
  <si>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</si>
  <si>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</si>
  <si>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</si>
  <si>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</si>
  <si>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</si>
  <si>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</si>
  <si>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</si>
  <si>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</si>
  <si>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</si>
  <si>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</si>
  <si>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</si>
  <si>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</si>
  <si>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</si>
  <si>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</si>
  <si>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</si>
  <si>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</si>
  <si>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</si>
  <si>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</si>
  <si>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</si>
  <si>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</si>
  <si>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</si>
  <si>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</si>
  <si>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</si>
  <si>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</si>
  <si>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</si>
  <si>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</si>
  <si>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</si>
  <si>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</si>
  <si>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</si>
  <si>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</si>
  <si>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</si>
  <si>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</si>
  <si>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</si>
  <si>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</si>
  <si>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</si>
  <si>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</si>
  <si>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</si>
  <si>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</si>
  <si>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</si>
  <si>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</si>
  <si>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</si>
  <si>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</si>
  <si>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</si>
  <si>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</si>
  <si>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</si>
  <si>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</si>
  <si>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</si>
  <si>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</si>
  <si>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</si>
  <si>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</si>
  <si>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</si>
  <si>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</si>
  <si>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</si>
  <si>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</si>
  <si>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</si>
  <si>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</si>
  <si>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</si>
  <si>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</si>
  <si>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</si>
  <si>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</si>
  <si>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</si>
  <si>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</si>
  <si>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</si>
  <si>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</si>
  <si>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</si>
  <si>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</si>
  <si>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</si>
  <si>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</si>
  <si>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</si>
  <si>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</si>
  <si>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</si>
  <si>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</si>
  <si>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</si>
  <si>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</si>
  <si>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</si>
  <si>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</si>
  <si>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</si>
  <si>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</si>
  <si>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</si>
  <si>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</si>
  <si>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</si>
  <si>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</si>
  <si>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</si>
  <si>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</si>
  <si>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</si>
  <si>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</si>
  <si>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</si>
  <si>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</si>
  <si>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</si>
  <si>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</si>
  <si>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</si>
  <si>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</si>
  <si>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</si>
  <si>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</si>
  <si>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</si>
  <si>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</si>
  <si>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</si>
  <si>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</si>
  <si>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</si>
  <si>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</si>
  <si>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</si>
  <si>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</si>
  <si>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</si>
  <si>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</si>
  <si>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</si>
  <si>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</si>
  <si>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</si>
  <si>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</si>
  <si>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</si>
  <si>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</si>
  <si>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</si>
  <si>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</si>
  <si>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</si>
  <si>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</si>
  <si>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</si>
  <si>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</si>
  <si>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</si>
  <si>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</si>
  <si>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</si>
  <si>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</si>
  <si>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</si>
  <si>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</si>
  <si>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</si>
  <si>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</si>
  <si>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</si>
  <si>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</si>
  <si>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</si>
  <si>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</si>
  <si>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</si>
  <si>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</si>
  <si>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</si>
  <si>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</si>
  <si>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</si>
  <si>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</si>
  <si>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</si>
  <si>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</si>
  <si>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</si>
  <si>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</si>
  <si>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</si>
  <si>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</si>
  <si>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</si>
  <si>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</si>
  <si>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</si>
  <si>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</si>
  <si>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</si>
  <si>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</si>
  <si>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</si>
  <si>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</si>
  <si>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</si>
  <si>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</si>
  <si>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</si>
  <si>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</si>
  <si>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</si>
  <si>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</si>
  <si>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</si>
  <si>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</si>
  <si>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</si>
  <si>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</si>
  <si>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</si>
  <si>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</si>
  <si>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</si>
  <si>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</si>
  <si>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</si>
  <si>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</si>
  <si>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</si>
  <si>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</si>
  <si>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</si>
  <si>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</si>
  <si>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</si>
  <si>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</si>
  <si>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</si>
  <si>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</si>
  <si>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</si>
  <si>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</si>
  <si>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</si>
  <si>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</si>
  <si>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</si>
  <si>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</si>
  <si>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</si>
  <si>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</si>
  <si>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</si>
  <si>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</si>
  <si>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</si>
  <si>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</si>
  <si>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</si>
  <si>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</si>
  <si>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</si>
  <si>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</si>
  <si>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</si>
  <si>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</si>
  <si>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</si>
  <si>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</si>
  <si>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</si>
  <si>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</si>
  <si>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</si>
  <si>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</si>
  <si>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</si>
  <si>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</si>
  <si>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</si>
  <si>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</si>
  <si>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</si>
  <si>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</si>
  <si>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</si>
  <si>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</si>
  <si>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</si>
  <si>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</si>
  <si>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</si>
  <si>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</si>
  <si>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</si>
  <si>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</si>
  <si>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</si>
  <si>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</si>
  <si>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</si>
  <si>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</si>
  <si>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</si>
  <si>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</si>
  <si>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</si>
  <si>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</si>
  <si>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</si>
  <si>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</si>
  <si>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</si>
  <si>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</si>
  <si>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</si>
  <si>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</si>
  <si>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</si>
  <si>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</si>
  <si>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</si>
  <si>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</si>
  <si>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</si>
  <si>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</si>
  <si>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</si>
  <si>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</si>
  <si>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</si>
  <si>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</si>
  <si>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</si>
  <si>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</si>
  <si>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</si>
  <si>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</si>
  <si>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</si>
  <si>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</si>
  <si>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</si>
  <si>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</si>
  <si>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</si>
  <si>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</si>
  <si>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</si>
  <si>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</si>
  <si>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</si>
  <si>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</si>
  <si>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</si>
  <si>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</si>
  <si>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</si>
  <si>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</si>
  <si>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</si>
  <si>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</si>
  <si>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</si>
  <si>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</si>
  <si>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</si>
  <si>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</si>
  <si>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</si>
  <si>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</si>
  <si>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</si>
  <si>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</si>
  <si>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</si>
  <si>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</si>
  <si>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</si>
  <si>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</si>
  <si>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</si>
  <si>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</si>
  <si>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</si>
  <si>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</si>
  <si>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</si>
  <si>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</si>
  <si>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</si>
  <si>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</si>
  <si>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</si>
  <si>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</si>
  <si>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</si>
  <si>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</si>
  <si>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</si>
  <si>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</si>
  <si>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</si>
  <si>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</si>
  <si>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</si>
  <si>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</si>
  <si>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</si>
  <si>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</si>
  <si>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</si>
  <si>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</si>
  <si>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</si>
  <si>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</si>
  <si>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</si>
  <si>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</si>
  <si>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</si>
  <si>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</si>
  <si>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</si>
  <si>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</si>
  <si>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</si>
  <si>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</si>
  <si>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</si>
  <si>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</si>
  <si>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</si>
  <si>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</si>
  <si>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</si>
  <si>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</si>
  <si>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</si>
  <si>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</si>
  <si>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</si>
  <si>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</si>
  <si>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</si>
  <si>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</si>
  <si>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</si>
  <si>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</si>
  <si>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</si>
  <si>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</si>
  <si>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</si>
  <si>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</si>
  <si>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</si>
  <si>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</si>
  <si>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</si>
  <si>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</si>
  <si>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</si>
  <si>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</si>
  <si>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</si>
  <si>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</si>
  <si>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</si>
  <si>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</si>
  <si>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</si>
  <si>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</si>
  <si>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</si>
  <si>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</si>
  <si>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</si>
  <si>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</si>
  <si>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</si>
  <si>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</si>
  <si>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</si>
  <si>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</si>
  <si>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</si>
  <si>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</si>
  <si>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</si>
  <si>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</si>
  <si>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EVQLVESGGGLVQPGGSLRLSCAASGFNISYSSIHWVRQAPGKGLEWVASISSYSGYTYYADSVKGRFTISADTSKNTAYLQMNSLRAEDTAVYYCARGGWRPIGSYALDYWGQGTLVTVSSGGGSGGGSGGGSGGGSGGGSDIQMTQSPSSLSASVGDRVTITCRASQDVFSAVAWYQQKPGKAPKLLIYYASFLYSGVPSRFSGSRSGTDFTLTISSLQPEDFATYYCQQHSVVPITFGQGTKVEIK</t>
  </si>
  <si>
    <t>EVQLVESGGGLVQPGGSLRLSCAASGFNISYSSIHWVRQAPGKGLEWVASISSYSGSTYYADSVKGRFTISADTSKNTAYLQMNSLRAEDTAVYYCARGGYRPIGNYALDYWGQGTLVTVSSGGGSGGGSGGGSGGGSGGGSDIQMTQSPSSLSASVGDRVTITCRASQDVDSAVAWYQQKPGKAPKLLIYYASFLYSGVPSRFSGSRSGTDFTLTISSLQPEDFATYYCQQHYVVPVTFGQGTKVEIK</t>
  </si>
  <si>
    <t>EVQLVESGGGLVQPGGSLRLSCAASGFNISYYSIHWVRQAPGKGLEWVASISSYSGYTYYADSVKGRFTISADTSKNTAYLQMNSLRAEDTAVYYCARGGDRPSGCYALDYWGQGTLVTVSSGGGSGGGSGGGSGGGSGGGSDIQMTQSPSSLSASVGDRVTITCRASQDVFSAVAWYQQKPGKAPKLLIYFASFLYSGVPSRFSGSRSGTDFTLTISSLQPEDFATYYCQQHYEVPITFGQGTKVEIK</t>
  </si>
  <si>
    <t>EVQLVESGGGLVQPGGSLRLSCAASGFNISYSSIHWVRQAPGKGLEWVASISSYSGYTYYADSVKGRFTISADTSKNTAYLQMNSLRAEDTAVYYCARGGSLPTGCYALDYWGQGTLVTVSSGGGSGGGSGGGSGGGSGGGSDIQMTQSPSSLSASVGDRVTITCRASQDVDSAVAWYQQKPGKAPKLLIYFASSLYSGVPSRFSGSRSGTDFTLTISSLQPEDFATYYCQQHYDAPITFGQGTKVEIK</t>
  </si>
  <si>
    <t>EVQLVESGGGLVQPGGSLRLSCAASGFNISYSSIHWVRQAPGKGLEWVASISSYSGYTYYADSVKGRFTISADTSKNTAYLQMNSLRAEDTAVYYCARGGWYPWGCDALDYWGQGTLVTVSSGGGSGGGSGGGSGGGSGGGSDIQMTQSPSSLSASVGDRVTITCRASQDVDSAVAWYQQKPGKAPKLLIYFASFLYSGVPSRFSGSRSGTDFTLTISSLQPEDFATYYCQQHYDVPITFGQGTKVEIK</t>
  </si>
  <si>
    <t>EVQLVESGGGLVQPGGSLRLSCAASGFNISYSSIHWVRQAPGKGLEWVASISSYSGYTYYADSVKGRFTISADTSKNTAYLQMNSLRAEDTAVYYCARGGDRPVGCYALDYWGQGTLVTVSSGGGSGGGSGGGSGGGSGGGSDIQMTQSPSSLSASVGDRVTITCRASQDVTSAVAWYQQKPGKAPKLLIYSASFRYSGVPSRFSGSRSGTDFTLTISSLQPEDFATYYCQQHYVVPVTFGQGTKVEIK</t>
  </si>
  <si>
    <t>EVQLVESGGGLVQPGGSLRLSCAASGFNISYSSIHWVRQAPGKGLEWVASISSYSGYTYYADSVKGRFTISADTSKNTAYLQMNSLRAEDTAVYYCARGGWYPLGCYAMDYWGQGTLVTVSSGGGSGGGSGGGSGGGSGGGSDIQMTQSPSSLSASVGDRVTITCRASQDVLSDVAWYQQKPGKAPKLLIYYASFRYSGVPSRFSGSRSGTDFTLTISSLQPEDFATYYCQQHYVVPVTFGQGTKVEIK</t>
  </si>
  <si>
    <t>EVQLVESGGGLVQPGGSLRLSCAASGFNISYSSIHWVRQAPGKGLEWVASISSYSGYTYYADSVKGRFTISADTSKNTAYLQMNSLRAEDTAVYYCARGGWRPFGCYALDYWGQGTLVTVSSGGGSGGGSGGGSGGGSGGGSDIQMTQSPSSLSASVGDRVTITCRASQDVFSAVAWYQQKPGKAPKLLIYSASFLYSGVPSRFSGSRSGTDFTLTISSLQPEDFATYYCQQHYIYPVTFGQGTKVEIK</t>
  </si>
  <si>
    <t>EVQLVESGGGLVQPGGSLRLSCAASGFNISYSSIHWVRQAPGKGLEWVASISSYSGSTYYADSVKGRFTISADTSKNTAYLQMNSLRAEDTAVYYCARGGWYPWGNYALDYWGQGTLVTVSSGGGSGGGSGGGSGGGSGGGSDIQMTQSPSSLSASVGDRVTITCRASQDVNTAVAWYQQKPGKAPKLLIYEASFRYSGVPSRFSGSRSGTDFTLTISSLQPEDFATYYCQQHYEVPITFGQGTKVEIK</t>
  </si>
  <si>
    <t>EVQLVESGGGLVQPGGSLRLSCAASGFNISYSSIHWVRQAPGKGLEWVASISSYSGSTYYADSVKGRFTISADTSKNTAYLQMNSLRAEDTAVYYCARGGSRPWGCYALDYWGQGTLVTVSSGGGSGGGSGGGSGGGSGGGSDIQMTQSPSSLSASVGDRVTITCRASQDVFTAVAWYQQKPGKAPKLLIYFASFLYSGVPSRFSGSRSGTDFTLTISSLQPEDFATYYCQQYSIVPVTFGQGTKVEIK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</si>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</sst>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0.369309837966" createdVersion="8" refreshedVersion="8" minRefreshableVersion="3" recordCount="158" xr:uid="{C69715DE-2A16-4198-9FD9-FAE4F60B2265}">
  <cacheSource type="worksheet">
    <worksheetSource ref="A1:T2969" sheet="Antibody Candidates"/>
  </cacheSource>
  <cacheFields count="20">
    <cacheField name="antibody_id" numFmtId="0">
      <sharedItems containsBlank="1" count="15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30T00:00:00" count="20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0"/>
    <m/>
    <m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0"/>
    <m/>
    <m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0"/>
    <m/>
    <m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0"/>
    <m/>
    <m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0"/>
    <m/>
    <m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0"/>
    <m/>
    <m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0"/>
    <m/>
    <m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0"/>
    <m/>
    <m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0"/>
    <m/>
    <m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0"/>
    <m/>
    <m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0"/>
    <m/>
    <m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0"/>
    <m/>
    <m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0"/>
    <m/>
    <m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0"/>
    <m/>
    <m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0"/>
    <m/>
    <m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0"/>
    <m/>
    <m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0"/>
    <m/>
    <m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0"/>
    <m/>
    <m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0"/>
    <m/>
    <m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0"/>
    <m/>
    <m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0"/>
    <m/>
    <m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0"/>
    <m/>
    <m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0"/>
    <m/>
    <m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0"/>
    <m/>
    <m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0"/>
    <m/>
    <m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0"/>
    <m/>
    <m/>
    <x v="15"/>
  </r>
  <r>
    <x v="157"/>
    <m/>
    <x v="10"/>
    <m/>
    <m/>
    <m/>
    <m/>
    <m/>
    <m/>
    <m/>
    <m/>
    <m/>
    <x v="15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0">
        <item h="1" x="8"/>
        <item h="1" x="0"/>
        <item h="1" x="1"/>
        <item h="1" x="2"/>
        <item h="1" x="3"/>
        <item h="1" x="4"/>
        <item h="1" x="5"/>
        <item h="1" m="1" x="19"/>
        <item h="1" x="6"/>
        <item h="1" m="1" x="18"/>
        <item h="1" x="7"/>
        <item h="1" x="9"/>
        <item h="1" x="10"/>
        <item h="1" x="11"/>
        <item h="1" m="1" x="17"/>
        <item h="1" x="12"/>
        <item h="1" m="1" x="16"/>
        <item h="1" x="13"/>
        <item h="1" x="14"/>
        <item x="15"/>
      </items>
    </pivotField>
  </pivotFields>
  <rowFields count="3">
    <field x="0"/>
    <field x="2"/>
    <field x="12"/>
  </rowFields>
  <rowItems count="10">
    <i>
      <x v="148"/>
      <x v="10"/>
      <x v="146"/>
    </i>
    <i>
      <x v="149"/>
      <x v="10"/>
      <x v="147"/>
    </i>
    <i>
      <x v="150"/>
      <x v="10"/>
      <x v="148"/>
    </i>
    <i>
      <x v="151"/>
      <x v="10"/>
      <x v="149"/>
    </i>
    <i>
      <x v="152"/>
      <x v="10"/>
      <x v="150"/>
    </i>
    <i>
      <x v="153"/>
      <x v="10"/>
      <x v="151"/>
    </i>
    <i>
      <x v="154"/>
      <x v="10"/>
      <x v="152"/>
    </i>
    <i>
      <x v="155"/>
      <x v="10"/>
      <x v="153"/>
    </i>
    <i>
      <x v="156"/>
      <x v="10"/>
      <x v="154"/>
    </i>
    <i>
      <x v="157"/>
      <x v="10"/>
      <x v="155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58"/>
  <sheetViews>
    <sheetView tabSelected="1" zoomScaleNormal="100" workbookViewId="0">
      <pane xSplit="1" ySplit="1" topLeftCell="I153" activePane="bottomRight" state="frozen"/>
      <selection pane="topRight" activeCell="B1" sqref="B1"/>
      <selection pane="bottomLeft" activeCell="A2" sqref="A2"/>
      <selection pane="bottomRight" activeCell="T157" sqref="T157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6.425781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42578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10">
        <v>45968</v>
      </c>
      <c r="U2" s="2" t="s">
        <v>215</v>
      </c>
      <c r="V2" s="4">
        <v>0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10">
        <v>45969</v>
      </c>
      <c r="U3" s="2" t="s">
        <v>205</v>
      </c>
      <c r="V3" s="4">
        <v>0.25329299999999999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10">
        <v>45969</v>
      </c>
      <c r="U4" s="2" t="s">
        <v>208</v>
      </c>
      <c r="V4" s="4">
        <v>0.530196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10">
        <v>45969</v>
      </c>
      <c r="U5" s="2" t="s">
        <v>206</v>
      </c>
      <c r="V5" s="4">
        <v>0.233075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10">
        <v>45969</v>
      </c>
      <c r="U6" s="2" t="s">
        <v>207</v>
      </c>
      <c r="V6" s="4">
        <v>0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10">
        <v>45969</v>
      </c>
      <c r="U7" s="2" t="s">
        <v>211</v>
      </c>
      <c r="V7" s="4">
        <v>5.9117999999999997E-2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10">
        <v>45968</v>
      </c>
      <c r="U8" s="2" t="s">
        <v>216</v>
      </c>
      <c r="V8" s="4">
        <v>0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10">
        <v>45968</v>
      </c>
      <c r="U10" s="2" t="s">
        <v>218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10">
        <v>45968</v>
      </c>
      <c r="U11" s="2" t="s">
        <v>217</v>
      </c>
      <c r="V11" s="4">
        <v>0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10">
        <v>45968</v>
      </c>
      <c r="U14" s="2" t="s">
        <v>219</v>
      </c>
      <c r="V14" s="4">
        <v>0.330536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R15" s="4" t="e">
        <v>#N/A</v>
      </c>
      <c r="S15" s="4" t="e">
        <v>#N/A</v>
      </c>
      <c r="T15" s="10">
        <v>45969</v>
      </c>
      <c r="U15" s="2" t="s">
        <v>213</v>
      </c>
      <c r="V15" s="4">
        <v>0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10">
        <v>45968</v>
      </c>
      <c r="U16" s="2" t="s">
        <v>222</v>
      </c>
      <c r="V16" s="4">
        <v>5.1409999999999997E-3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10">
        <v>45970</v>
      </c>
      <c r="U19" s="2" t="s">
        <v>197</v>
      </c>
      <c r="V19" s="4">
        <v>0.10117900000000001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10">
        <v>45970</v>
      </c>
      <c r="U20" s="2" t="s">
        <v>198</v>
      </c>
      <c r="V20" s="4">
        <v>5.2560000000000003E-3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10">
        <v>45970</v>
      </c>
      <c r="U21" s="2" t="s">
        <v>200</v>
      </c>
      <c r="V21" s="4">
        <v>0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10">
        <v>45970</v>
      </c>
      <c r="U22" s="2" t="s">
        <v>199</v>
      </c>
      <c r="V22" s="4">
        <v>0.33924399999999999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10">
        <v>45968</v>
      </c>
      <c r="U24" s="2" t="s">
        <v>220</v>
      </c>
      <c r="V24" s="4">
        <v>5.3039999999999997E-3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10">
        <v>45968</v>
      </c>
      <c r="U25" s="2" t="s">
        <v>221</v>
      </c>
      <c r="V25" s="4">
        <v>3.4557999999999998E-2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10">
        <v>45970</v>
      </c>
      <c r="U26" s="2" t="s">
        <v>202</v>
      </c>
      <c r="V26" s="4">
        <v>0.177148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10">
        <v>45970</v>
      </c>
      <c r="U27" s="2" t="s">
        <v>201</v>
      </c>
      <c r="V27" s="4">
        <v>0.18701400000000001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10">
        <v>45970</v>
      </c>
      <c r="U28" s="2" t="s">
        <v>203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10">
        <v>45968</v>
      </c>
      <c r="U29" s="2" t="s">
        <v>223</v>
      </c>
      <c r="V29" s="4">
        <v>0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10">
        <v>45968</v>
      </c>
      <c r="U30" s="2" t="s">
        <v>224</v>
      </c>
      <c r="V30" s="4">
        <v>0</v>
      </c>
    </row>
    <row r="31" spans="1:22" ht="60" x14ac:dyDescent="0.25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10">
        <v>45971</v>
      </c>
      <c r="U31" s="2" t="s">
        <v>245</v>
      </c>
      <c r="V31" s="4">
        <v>5.6360000000000004E-3</v>
      </c>
    </row>
    <row r="32" spans="1:22" ht="75" x14ac:dyDescent="0.25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10">
        <v>45971</v>
      </c>
      <c r="U32" s="2" t="s">
        <v>243</v>
      </c>
      <c r="V32" s="4">
        <v>4.999E-3</v>
      </c>
    </row>
    <row r="33" spans="1:22" ht="75" x14ac:dyDescent="0.25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10">
        <v>45971</v>
      </c>
      <c r="U33" s="2" t="s">
        <v>244</v>
      </c>
      <c r="V33" s="4">
        <v>0.17957600000000001</v>
      </c>
    </row>
    <row r="34" spans="1:22" ht="60" x14ac:dyDescent="0.25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10">
        <v>45971</v>
      </c>
      <c r="U34" s="2" t="s">
        <v>236</v>
      </c>
      <c r="V34" s="4">
        <v>0.120976</v>
      </c>
    </row>
    <row r="35" spans="1:22" ht="75" x14ac:dyDescent="0.25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10">
        <v>45971</v>
      </c>
      <c r="U35" s="2" t="s">
        <v>237</v>
      </c>
      <c r="V35" s="4">
        <v>0.44340800000000002</v>
      </c>
    </row>
    <row r="36" spans="1:22" ht="75" x14ac:dyDescent="0.25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10">
        <v>45971</v>
      </c>
      <c r="U36" s="2" t="s">
        <v>238</v>
      </c>
      <c r="V36" s="4">
        <v>1.5703000000000002E-2</v>
      </c>
    </row>
    <row r="37" spans="1:22" ht="75" x14ac:dyDescent="0.25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10">
        <v>45971</v>
      </c>
      <c r="U37" s="2" t="s">
        <v>239</v>
      </c>
      <c r="V37" s="4">
        <v>0</v>
      </c>
    </row>
    <row r="38" spans="1:22" ht="60" x14ac:dyDescent="0.25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10">
        <v>45971</v>
      </c>
      <c r="U38" s="2" t="s">
        <v>241</v>
      </c>
      <c r="V38" s="4">
        <v>5.2269999999999999E-3</v>
      </c>
    </row>
    <row r="39" spans="1:22" ht="60" x14ac:dyDescent="0.25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10">
        <v>45971</v>
      </c>
      <c r="U39" s="2" t="s">
        <v>240</v>
      </c>
      <c r="V39" s="4">
        <v>5.0480000000000004E-3</v>
      </c>
    </row>
    <row r="40" spans="1:22" ht="75" x14ac:dyDescent="0.25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10">
        <v>45971</v>
      </c>
      <c r="U40" s="2" t="s">
        <v>242</v>
      </c>
      <c r="V40" s="4">
        <v>0.11568299999999999</v>
      </c>
    </row>
    <row r="41" spans="1:22" ht="75" x14ac:dyDescent="0.25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10">
        <v>45972</v>
      </c>
      <c r="U41" s="2" t="s">
        <v>246</v>
      </c>
      <c r="V41" s="4">
        <v>0.152167</v>
      </c>
    </row>
    <row r="42" spans="1:22" ht="60" x14ac:dyDescent="0.25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10">
        <v>45972</v>
      </c>
      <c r="U42" s="2" t="s">
        <v>248</v>
      </c>
      <c r="V42" s="4">
        <v>0.28608699999999998</v>
      </c>
    </row>
    <row r="43" spans="1:22" ht="60" x14ac:dyDescent="0.25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10">
        <v>45972</v>
      </c>
      <c r="U43" s="2" t="s">
        <v>247</v>
      </c>
      <c r="V43" s="4">
        <v>0.35572100000000001</v>
      </c>
    </row>
    <row r="44" spans="1:22" ht="60" x14ac:dyDescent="0.25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10">
        <v>45972</v>
      </c>
      <c r="U44" s="2" t="s">
        <v>250</v>
      </c>
      <c r="V44" s="4">
        <v>0.29531000000000002</v>
      </c>
    </row>
    <row r="45" spans="1:22" ht="60" x14ac:dyDescent="0.25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10">
        <v>45972</v>
      </c>
      <c r="U45" s="2" t="s">
        <v>249</v>
      </c>
      <c r="V45" s="4">
        <v>0.27838000000000002</v>
      </c>
    </row>
    <row r="46" spans="1:22" ht="75" x14ac:dyDescent="0.25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10">
        <v>45972</v>
      </c>
      <c r="U46" s="2" t="s">
        <v>189</v>
      </c>
      <c r="V46" s="4">
        <v>0.35131800000000002</v>
      </c>
    </row>
    <row r="47" spans="1:22" ht="75" x14ac:dyDescent="0.25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10">
        <v>45972</v>
      </c>
      <c r="U47" s="2" t="s">
        <v>253</v>
      </c>
      <c r="V47" s="4">
        <v>7.9927999999999999E-2</v>
      </c>
    </row>
    <row r="48" spans="1:22" ht="60" x14ac:dyDescent="0.25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10">
        <v>45972</v>
      </c>
      <c r="U48" s="2" t="s">
        <v>254</v>
      </c>
      <c r="V48" s="4">
        <v>4.8339999999999998E-3</v>
      </c>
    </row>
    <row r="49" spans="1:22" ht="60" x14ac:dyDescent="0.25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f>TRUE()</f>
        <v>1</v>
      </c>
      <c r="T49" s="10">
        <v>45972</v>
      </c>
      <c r="U49" s="2" t="s">
        <v>251</v>
      </c>
      <c r="V49" s="4">
        <v>0.51755099999999998</v>
      </c>
    </row>
    <row r="50" spans="1:22" ht="75" x14ac:dyDescent="0.25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10">
        <v>45972</v>
      </c>
      <c r="U50" s="2" t="s">
        <v>252</v>
      </c>
      <c r="V50" s="4">
        <v>0.40934900000000002</v>
      </c>
    </row>
    <row r="51" spans="1:22" ht="75" x14ac:dyDescent="0.25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10">
        <v>45973</v>
      </c>
      <c r="U51" s="2" t="s">
        <v>345</v>
      </c>
      <c r="V51" s="4">
        <v>0.46119900000000003</v>
      </c>
    </row>
    <row r="52" spans="1:22" ht="60" x14ac:dyDescent="0.25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10">
        <v>45973</v>
      </c>
      <c r="U52" s="2" t="s">
        <v>346</v>
      </c>
      <c r="V52" s="4">
        <v>0.43406800000000001</v>
      </c>
    </row>
    <row r="53" spans="1:22" ht="60" x14ac:dyDescent="0.25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10">
        <v>45973</v>
      </c>
      <c r="U53" s="2" t="s">
        <v>347</v>
      </c>
      <c r="V53" s="4">
        <v>4.9569999999999996E-3</v>
      </c>
    </row>
    <row r="54" spans="1:22" ht="75" x14ac:dyDescent="0.25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10">
        <v>45974</v>
      </c>
      <c r="U54" s="2" t="s">
        <v>372</v>
      </c>
      <c r="V54" s="4">
        <v>0.63002499999999995</v>
      </c>
    </row>
    <row r="55" spans="1:22" ht="60" x14ac:dyDescent="0.25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10">
        <v>45974</v>
      </c>
      <c r="U55" s="11" t="s">
        <v>381</v>
      </c>
    </row>
    <row r="56" spans="1:22" ht="75" x14ac:dyDescent="0.25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10">
        <v>45974</v>
      </c>
      <c r="U56" s="2" t="s">
        <v>373</v>
      </c>
      <c r="V56" s="4">
        <v>0.33044200000000001</v>
      </c>
    </row>
    <row r="57" spans="1:22" ht="60" x14ac:dyDescent="0.25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10">
        <v>45976</v>
      </c>
      <c r="U57" s="11" t="s">
        <v>381</v>
      </c>
    </row>
    <row r="58" spans="1:22" ht="75" x14ac:dyDescent="0.25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10">
        <v>45976</v>
      </c>
      <c r="U58" s="2" t="s">
        <v>474</v>
      </c>
      <c r="V58" s="4">
        <v>0.49204199999999998</v>
      </c>
    </row>
    <row r="59" spans="1:22" ht="60" x14ac:dyDescent="0.25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10"/>
      <c r="U59" s="11" t="s">
        <v>381</v>
      </c>
    </row>
    <row r="60" spans="1:22" ht="60" x14ac:dyDescent="0.25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10"/>
      <c r="U60" s="11" t="s">
        <v>381</v>
      </c>
    </row>
    <row r="61" spans="1:22" ht="60" x14ac:dyDescent="0.25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10">
        <v>45973</v>
      </c>
      <c r="U61" s="2" t="s">
        <v>349</v>
      </c>
      <c r="V61" s="4">
        <v>0</v>
      </c>
    </row>
    <row r="62" spans="1:22" ht="60" x14ac:dyDescent="0.25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10">
        <v>45973</v>
      </c>
      <c r="U62" s="2" t="s">
        <v>348</v>
      </c>
      <c r="V62" s="4">
        <v>5.9379999999999997E-3</v>
      </c>
    </row>
    <row r="63" spans="1:22" ht="75" x14ac:dyDescent="0.25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10">
        <v>45973</v>
      </c>
      <c r="U63" s="2" t="s">
        <v>351</v>
      </c>
      <c r="V63" s="4">
        <v>9.3369999999999998E-3</v>
      </c>
    </row>
    <row r="64" spans="1:22" ht="60" x14ac:dyDescent="0.25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10">
        <v>45974</v>
      </c>
      <c r="U64" s="2" t="s">
        <v>374</v>
      </c>
      <c r="V64" s="4">
        <v>0.29275600000000002</v>
      </c>
    </row>
    <row r="65" spans="1:22" ht="75" x14ac:dyDescent="0.25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10">
        <v>45974</v>
      </c>
      <c r="U65" s="2" t="s">
        <v>377</v>
      </c>
      <c r="V65" s="4">
        <v>0.112092</v>
      </c>
    </row>
    <row r="66" spans="1:22" ht="75" x14ac:dyDescent="0.25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10">
        <v>45974</v>
      </c>
      <c r="U66" s="2" t="s">
        <v>375</v>
      </c>
      <c r="V66" s="4">
        <v>0.498143</v>
      </c>
    </row>
    <row r="67" spans="1:22" ht="60" x14ac:dyDescent="0.25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10">
        <v>45976</v>
      </c>
      <c r="U67" s="2" t="s">
        <v>475</v>
      </c>
      <c r="V67" s="4">
        <v>5.3290000000000004E-3</v>
      </c>
    </row>
    <row r="68" spans="1:22" ht="60" x14ac:dyDescent="0.25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10">
        <v>45976</v>
      </c>
      <c r="U68" s="2" t="s">
        <v>476</v>
      </c>
      <c r="V68" s="4">
        <v>0.20996500000000001</v>
      </c>
    </row>
    <row r="69" spans="1:22" ht="60" x14ac:dyDescent="0.25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10">
        <v>45977</v>
      </c>
      <c r="U69" s="2" t="s">
        <v>483</v>
      </c>
      <c r="V69" s="4">
        <v>0.293068</v>
      </c>
    </row>
    <row r="70" spans="1:22" ht="60" x14ac:dyDescent="0.25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10"/>
      <c r="U70" s="11" t="s">
        <v>381</v>
      </c>
    </row>
    <row r="71" spans="1:22" ht="75" x14ac:dyDescent="0.25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10">
        <v>45973</v>
      </c>
      <c r="U71" s="2" t="s">
        <v>354</v>
      </c>
      <c r="V71" s="4">
        <v>5.2950000000000002E-3</v>
      </c>
    </row>
    <row r="72" spans="1:22" ht="60" x14ac:dyDescent="0.25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10">
        <v>45973</v>
      </c>
      <c r="U72" s="2" t="s">
        <v>352</v>
      </c>
      <c r="V72" s="4">
        <v>0</v>
      </c>
    </row>
    <row r="73" spans="1:22" ht="60" x14ac:dyDescent="0.25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10">
        <v>45973</v>
      </c>
      <c r="U73" s="2" t="s">
        <v>350</v>
      </c>
      <c r="V73" s="4">
        <v>5.0549999999999996E-3</v>
      </c>
    </row>
    <row r="74" spans="1:22" ht="75" x14ac:dyDescent="0.25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10">
        <v>45974</v>
      </c>
      <c r="U74" s="2" t="s">
        <v>376</v>
      </c>
      <c r="V74" s="4">
        <v>0.17583499999999999</v>
      </c>
    </row>
    <row r="75" spans="1:22" ht="60" x14ac:dyDescent="0.25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10">
        <v>45974</v>
      </c>
      <c r="U75" s="2" t="s">
        <v>380</v>
      </c>
      <c r="V75" s="4">
        <v>0</v>
      </c>
    </row>
    <row r="76" spans="1:22" ht="60" x14ac:dyDescent="0.25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10">
        <v>45974</v>
      </c>
      <c r="U76" s="2" t="s">
        <v>379</v>
      </c>
      <c r="V76" s="4">
        <v>5.666E-3</v>
      </c>
    </row>
    <row r="77" spans="1:22" ht="60" x14ac:dyDescent="0.25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10">
        <v>45976</v>
      </c>
      <c r="U77" s="2" t="s">
        <v>477</v>
      </c>
      <c r="V77" s="4">
        <v>0</v>
      </c>
    </row>
    <row r="78" spans="1:22" ht="75" x14ac:dyDescent="0.25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10">
        <v>45976</v>
      </c>
      <c r="U78" s="2" t="s">
        <v>478</v>
      </c>
      <c r="V78" s="4">
        <v>4.9170000000000004E-3</v>
      </c>
    </row>
    <row r="79" spans="1:22" ht="75" x14ac:dyDescent="0.25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10">
        <v>45977</v>
      </c>
      <c r="U79" s="2" t="s">
        <v>491</v>
      </c>
      <c r="V79" s="4">
        <v>0</v>
      </c>
    </row>
    <row r="80" spans="1:22" ht="60" x14ac:dyDescent="0.25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10">
        <v>45977</v>
      </c>
      <c r="U80" s="2" t="s">
        <v>484</v>
      </c>
      <c r="V80" s="4">
        <v>0.33998800000000001</v>
      </c>
    </row>
    <row r="81" spans="1:22" ht="75" x14ac:dyDescent="0.25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10">
        <v>45973</v>
      </c>
      <c r="U81" s="2" t="s">
        <v>353</v>
      </c>
      <c r="V81" s="4">
        <v>0.204621</v>
      </c>
    </row>
    <row r="82" spans="1:22" ht="60" x14ac:dyDescent="0.25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10">
        <v>45974</v>
      </c>
      <c r="U82" s="2" t="s">
        <v>378</v>
      </c>
      <c r="V82" s="4">
        <v>0.53450500000000001</v>
      </c>
    </row>
    <row r="83" spans="1:22" ht="60" x14ac:dyDescent="0.25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10">
        <v>45976</v>
      </c>
      <c r="U83" s="2" t="s">
        <v>479</v>
      </c>
      <c r="V83" s="4">
        <v>5.4400000000000004E-3</v>
      </c>
    </row>
    <row r="84" spans="1:22" ht="60" x14ac:dyDescent="0.25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10">
        <v>45976</v>
      </c>
      <c r="U84" s="2" t="s">
        <v>480</v>
      </c>
      <c r="V84" s="4">
        <v>0</v>
      </c>
    </row>
    <row r="85" spans="1:22" ht="60" x14ac:dyDescent="0.25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10">
        <v>45976</v>
      </c>
      <c r="U85" s="2" t="s">
        <v>482</v>
      </c>
      <c r="V85" s="4">
        <v>0</v>
      </c>
    </row>
    <row r="86" spans="1:22" ht="60" x14ac:dyDescent="0.25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10">
        <v>45976</v>
      </c>
      <c r="U86" s="2" t="s">
        <v>481</v>
      </c>
      <c r="V86" s="4">
        <v>0</v>
      </c>
    </row>
    <row r="87" spans="1:22" ht="60" x14ac:dyDescent="0.25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10"/>
      <c r="U87" s="11" t="s">
        <v>381</v>
      </c>
    </row>
    <row r="88" spans="1:22" ht="60" x14ac:dyDescent="0.25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10">
        <v>45977</v>
      </c>
      <c r="U88" s="2" t="s">
        <v>487</v>
      </c>
      <c r="V88" s="4">
        <v>9.7619999999999998E-3</v>
      </c>
    </row>
    <row r="89" spans="1:22" ht="60" x14ac:dyDescent="0.25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10">
        <v>45977</v>
      </c>
      <c r="U89" s="11" t="s">
        <v>381</v>
      </c>
    </row>
    <row r="90" spans="1:22" ht="60" x14ac:dyDescent="0.25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10">
        <v>45977</v>
      </c>
      <c r="U90" s="2" t="s">
        <v>486</v>
      </c>
      <c r="V90" s="4">
        <v>0.218168</v>
      </c>
    </row>
    <row r="91" spans="1:22" ht="75" x14ac:dyDescent="0.25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10"/>
      <c r="U91" s="11" t="s">
        <v>381</v>
      </c>
    </row>
    <row r="92" spans="1:22" ht="60" x14ac:dyDescent="0.25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10"/>
      <c r="U92" s="11" t="s">
        <v>381</v>
      </c>
    </row>
    <row r="93" spans="1:22" ht="75" x14ac:dyDescent="0.25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10"/>
      <c r="U93" s="11" t="s">
        <v>381</v>
      </c>
    </row>
    <row r="94" spans="1:22" ht="60" x14ac:dyDescent="0.25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10"/>
      <c r="U94" s="11" t="s">
        <v>381</v>
      </c>
    </row>
    <row r="95" spans="1:22" ht="60" x14ac:dyDescent="0.25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10"/>
      <c r="U95" s="11" t="s">
        <v>381</v>
      </c>
    </row>
    <row r="96" spans="1:22" ht="60" x14ac:dyDescent="0.25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10"/>
      <c r="U96" s="11" t="s">
        <v>381</v>
      </c>
    </row>
    <row r="97" spans="1:22" ht="75" x14ac:dyDescent="0.25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10">
        <v>45977</v>
      </c>
      <c r="U97" s="2" t="s">
        <v>485</v>
      </c>
      <c r="V97" s="4">
        <v>4.9849999999999998E-3</v>
      </c>
    </row>
    <row r="98" spans="1:22" ht="75" x14ac:dyDescent="0.25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0">LEN(M98)</f>
        <v>245</v>
      </c>
      <c r="O98" s="1" t="b">
        <f t="shared" ref="O98:O129" si="11"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10">
        <v>45977</v>
      </c>
      <c r="U98" s="2" t="s">
        <v>490</v>
      </c>
      <c r="V98" s="4">
        <v>0.12482500000000001</v>
      </c>
    </row>
    <row r="99" spans="1:22" ht="60" x14ac:dyDescent="0.25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10">
        <v>45978</v>
      </c>
      <c r="U99" s="2" t="s">
        <v>492</v>
      </c>
      <c r="V99" s="4">
        <v>0.119756</v>
      </c>
    </row>
    <row r="100" spans="1:22" ht="60" x14ac:dyDescent="0.25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10"/>
      <c r="U100" s="11" t="s">
        <v>381</v>
      </c>
    </row>
    <row r="101" spans="1:22" ht="60" x14ac:dyDescent="0.25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10"/>
      <c r="U101" s="11" t="s">
        <v>381</v>
      </c>
    </row>
    <row r="102" spans="1:22" ht="60" x14ac:dyDescent="0.25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10">
        <v>45978</v>
      </c>
      <c r="U102" s="2" t="s">
        <v>493</v>
      </c>
      <c r="V102" s="4">
        <v>0.25569399999999998</v>
      </c>
    </row>
    <row r="103" spans="1:22" ht="75" x14ac:dyDescent="0.25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10">
        <v>45978</v>
      </c>
      <c r="U103" s="2" t="s">
        <v>514</v>
      </c>
      <c r="V103" s="4">
        <v>0.225609</v>
      </c>
    </row>
    <row r="104" spans="1:22" ht="75" x14ac:dyDescent="0.25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10">
        <v>45978</v>
      </c>
      <c r="U104" s="2" t="s">
        <v>495</v>
      </c>
      <c r="V104" s="4">
        <v>0</v>
      </c>
    </row>
    <row r="105" spans="1:22" ht="60" x14ac:dyDescent="0.25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10">
        <v>45978</v>
      </c>
      <c r="U105" s="2" t="s">
        <v>496</v>
      </c>
      <c r="V105" s="4">
        <v>5.1900000000000002E-3</v>
      </c>
    </row>
    <row r="106" spans="1:22" ht="60" x14ac:dyDescent="0.25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10">
        <v>45978</v>
      </c>
      <c r="U106" s="2" t="s">
        <v>494</v>
      </c>
      <c r="V106" s="4">
        <v>0</v>
      </c>
    </row>
    <row r="107" spans="1:22" ht="75" x14ac:dyDescent="0.25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10">
        <v>45977</v>
      </c>
      <c r="U107" s="2" t="s">
        <v>489</v>
      </c>
      <c r="V107" s="4">
        <v>6.4222000000000001E-2</v>
      </c>
    </row>
    <row r="108" spans="1:22" ht="75" x14ac:dyDescent="0.25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10">
        <v>45977</v>
      </c>
      <c r="U108" s="2" t="s">
        <v>488</v>
      </c>
      <c r="V108" s="4">
        <v>0.136903</v>
      </c>
    </row>
    <row r="109" spans="1:22" ht="60" x14ac:dyDescent="0.25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10">
        <v>45978</v>
      </c>
      <c r="U109" s="2" t="s">
        <v>498</v>
      </c>
      <c r="V109" s="4">
        <v>5.313E-3</v>
      </c>
    </row>
    <row r="110" spans="1:22" ht="60" x14ac:dyDescent="0.25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10">
        <v>45978</v>
      </c>
      <c r="U110" s="2" t="s">
        <v>497</v>
      </c>
      <c r="V110" s="4">
        <v>0</v>
      </c>
    </row>
    <row r="111" spans="1:22" ht="75" x14ac:dyDescent="0.25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10">
        <v>45978</v>
      </c>
      <c r="U111" s="2" t="s">
        <v>499</v>
      </c>
      <c r="V111" s="4">
        <v>0.274924</v>
      </c>
    </row>
    <row r="112" spans="1:22" ht="60" x14ac:dyDescent="0.25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10">
        <v>45978</v>
      </c>
      <c r="U112" s="2" t="s">
        <v>500</v>
      </c>
      <c r="V112" s="4">
        <v>0.27380900000000002</v>
      </c>
    </row>
    <row r="113" spans="1:22" ht="60" x14ac:dyDescent="0.25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10">
        <v>45979</v>
      </c>
      <c r="U113" s="2" t="s">
        <v>508</v>
      </c>
      <c r="V113" s="4">
        <v>0.61102100000000004</v>
      </c>
    </row>
    <row r="114" spans="1:22" ht="75" x14ac:dyDescent="0.25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10">
        <v>45979</v>
      </c>
      <c r="U114" s="2" t="s">
        <v>510</v>
      </c>
      <c r="V114" s="4">
        <v>8.9335999999999999E-2</v>
      </c>
    </row>
    <row r="115" spans="1:22" ht="60" x14ac:dyDescent="0.25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10">
        <v>45979</v>
      </c>
      <c r="U115" s="2" t="s">
        <v>511</v>
      </c>
      <c r="V115" s="4">
        <v>5.3220000000000003E-3</v>
      </c>
    </row>
    <row r="116" spans="1:22" ht="60" x14ac:dyDescent="0.25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10">
        <v>45979</v>
      </c>
      <c r="U116" s="2" t="s">
        <v>509</v>
      </c>
      <c r="V116" s="4">
        <v>0</v>
      </c>
    </row>
    <row r="117" spans="1:22" ht="60" x14ac:dyDescent="0.25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10">
        <v>45979</v>
      </c>
      <c r="U117" s="2" t="s">
        <v>512</v>
      </c>
      <c r="V117" s="4">
        <v>0.1542</v>
      </c>
    </row>
    <row r="118" spans="1:22" ht="75" x14ac:dyDescent="0.25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10">
        <v>45979</v>
      </c>
      <c r="U118" s="2" t="s">
        <v>513</v>
      </c>
      <c r="V118" s="4">
        <v>0</v>
      </c>
    </row>
    <row r="119" spans="1:22" ht="60" x14ac:dyDescent="0.25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10">
        <v>45983</v>
      </c>
      <c r="U119" s="2" t="s">
        <v>537</v>
      </c>
      <c r="V119" s="4">
        <v>0.69</v>
      </c>
    </row>
    <row r="120" spans="1:22" ht="60" x14ac:dyDescent="0.25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10">
        <v>45983</v>
      </c>
      <c r="U120" s="2" t="s">
        <v>538</v>
      </c>
      <c r="V120" s="4">
        <v>0</v>
      </c>
    </row>
    <row r="121" spans="1:22" ht="60" x14ac:dyDescent="0.25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10">
        <v>45983</v>
      </c>
      <c r="U121" s="2" t="s">
        <v>539</v>
      </c>
      <c r="V121" s="4">
        <v>0</v>
      </c>
    </row>
    <row r="122" spans="1:22" ht="60" x14ac:dyDescent="0.25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10">
        <v>45983</v>
      </c>
      <c r="U122" s="2" t="s">
        <v>542</v>
      </c>
      <c r="V122" s="4">
        <v>0.02</v>
      </c>
    </row>
    <row r="123" spans="1:22" ht="60" x14ac:dyDescent="0.25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10">
        <v>45983</v>
      </c>
      <c r="U123" s="2" t="s">
        <v>540</v>
      </c>
      <c r="V123" s="4">
        <v>0.01</v>
      </c>
    </row>
    <row r="124" spans="1:22" ht="60" x14ac:dyDescent="0.25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10">
        <v>45983</v>
      </c>
      <c r="U124" s="2" t="s">
        <v>541</v>
      </c>
      <c r="V124" s="4">
        <v>0.31</v>
      </c>
    </row>
    <row r="125" spans="1:22" ht="60" x14ac:dyDescent="0.25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10">
        <v>45983</v>
      </c>
      <c r="U125" s="2" t="s">
        <v>546</v>
      </c>
      <c r="V125" s="4">
        <v>0.01</v>
      </c>
    </row>
    <row r="126" spans="1:22" ht="60" x14ac:dyDescent="0.25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10">
        <v>45983</v>
      </c>
      <c r="U126" s="2" t="s">
        <v>543</v>
      </c>
      <c r="V126" s="4">
        <v>0.47</v>
      </c>
    </row>
    <row r="127" spans="1:22" ht="60" x14ac:dyDescent="0.25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10">
        <v>45983</v>
      </c>
      <c r="U127" s="2" t="s">
        <v>545</v>
      </c>
      <c r="V127" s="4">
        <v>0.01</v>
      </c>
    </row>
    <row r="128" spans="1:22" ht="60" x14ac:dyDescent="0.25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10">
        <v>45983</v>
      </c>
      <c r="U128" s="2" t="s">
        <v>544</v>
      </c>
      <c r="V128" s="4">
        <v>0</v>
      </c>
    </row>
    <row r="129" spans="1:22" ht="60" x14ac:dyDescent="0.25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9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0"/>
        <v>234</v>
      </c>
      <c r="O129" s="1" t="b">
        <f t="shared" si="11"/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10">
        <v>45987</v>
      </c>
      <c r="U129" s="2" t="s">
        <v>575</v>
      </c>
      <c r="V129" s="4">
        <v>0.36</v>
      </c>
    </row>
    <row r="130" spans="1:22" ht="60" x14ac:dyDescent="0.25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58" si="12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58" si="13">LEN(M130)</f>
        <v>234</v>
      </c>
      <c r="O130" s="1" t="b">
        <f t="shared" ref="O130:O158" si="14"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10">
        <v>45987</v>
      </c>
      <c r="U130" s="2" t="s">
        <v>574</v>
      </c>
      <c r="V130" s="4">
        <v>0.04</v>
      </c>
    </row>
    <row r="131" spans="1:22" ht="60" x14ac:dyDescent="0.25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10">
        <v>45987</v>
      </c>
      <c r="U131" s="2" t="s">
        <v>573</v>
      </c>
      <c r="V131" s="4">
        <v>0.4</v>
      </c>
    </row>
    <row r="132" spans="1:22" ht="60" x14ac:dyDescent="0.25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10"/>
      <c r="U132" s="11" t="s">
        <v>381</v>
      </c>
    </row>
    <row r="133" spans="1:22" ht="60" x14ac:dyDescent="0.25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10">
        <v>45987</v>
      </c>
      <c r="U133" s="2" t="s">
        <v>571</v>
      </c>
      <c r="V133" s="4">
        <v>0</v>
      </c>
    </row>
    <row r="134" spans="1:22" ht="60" x14ac:dyDescent="0.25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10"/>
      <c r="U134" s="11" t="s">
        <v>381</v>
      </c>
    </row>
    <row r="135" spans="1:22" ht="60" x14ac:dyDescent="0.25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10">
        <v>45987</v>
      </c>
      <c r="U135" s="2" t="s">
        <v>572</v>
      </c>
      <c r="V135" s="4">
        <v>0.01</v>
      </c>
    </row>
    <row r="136" spans="1:22" ht="60" x14ac:dyDescent="0.25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10"/>
      <c r="U136" s="11" t="s">
        <v>381</v>
      </c>
    </row>
    <row r="137" spans="1:22" ht="60" x14ac:dyDescent="0.25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10"/>
      <c r="U137" s="11" t="s">
        <v>381</v>
      </c>
    </row>
    <row r="138" spans="1:22" ht="60" x14ac:dyDescent="0.25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10">
        <v>45987</v>
      </c>
      <c r="U138" s="2" t="s">
        <v>570</v>
      </c>
      <c r="V138" s="4">
        <v>0</v>
      </c>
    </row>
    <row r="139" spans="1:22" ht="75" x14ac:dyDescent="0.25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2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3"/>
        <v>245</v>
      </c>
      <c r="O139" s="1" t="b">
        <f t="shared" si="14"/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10">
        <v>45989</v>
      </c>
      <c r="U139" s="2" t="s">
        <v>602</v>
      </c>
      <c r="V139" s="4">
        <v>0.01</v>
      </c>
    </row>
    <row r="140" spans="1:22" ht="75" x14ac:dyDescent="0.25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2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3"/>
        <v>245</v>
      </c>
      <c r="O140" s="1" t="b">
        <f t="shared" si="14"/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10">
        <v>45989</v>
      </c>
      <c r="U140" s="2" t="s">
        <v>603</v>
      </c>
      <c r="V140" s="4">
        <v>0.01</v>
      </c>
    </row>
    <row r="141" spans="1:22" ht="75" x14ac:dyDescent="0.25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2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3"/>
        <v>245</v>
      </c>
      <c r="O141" s="1" t="b">
        <f t="shared" si="14"/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10">
        <v>45989</v>
      </c>
      <c r="U141" s="2" t="s">
        <v>606</v>
      </c>
      <c r="V141" s="4">
        <v>0.01</v>
      </c>
    </row>
    <row r="142" spans="1:22" ht="75" x14ac:dyDescent="0.25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2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3"/>
        <v>245</v>
      </c>
      <c r="O142" s="1" t="b">
        <f t="shared" si="14"/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10">
        <v>45989</v>
      </c>
      <c r="U142" s="2" t="s">
        <v>605</v>
      </c>
      <c r="V142" s="4">
        <v>0.01</v>
      </c>
    </row>
    <row r="143" spans="1:22" ht="75" x14ac:dyDescent="0.25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2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3"/>
        <v>245</v>
      </c>
      <c r="O143" s="1" t="b">
        <f t="shared" si="14"/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10">
        <v>45989</v>
      </c>
      <c r="U143" s="2" t="s">
        <v>604</v>
      </c>
      <c r="V143" s="4">
        <v>0.01</v>
      </c>
    </row>
    <row r="144" spans="1:22" ht="75" x14ac:dyDescent="0.25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2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3"/>
        <v>245</v>
      </c>
      <c r="O144" s="1" t="b">
        <f t="shared" si="14"/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10">
        <v>45989</v>
      </c>
      <c r="U144" s="2" t="s">
        <v>607</v>
      </c>
      <c r="V144" s="4">
        <v>0.28000000000000003</v>
      </c>
    </row>
    <row r="145" spans="1:22" ht="75" x14ac:dyDescent="0.25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2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3"/>
        <v>245</v>
      </c>
      <c r="O145" s="1" t="b">
        <f t="shared" si="14"/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10">
        <v>45989</v>
      </c>
      <c r="U145" s="2" t="s">
        <v>608</v>
      </c>
      <c r="V145" s="4">
        <v>0</v>
      </c>
    </row>
    <row r="146" spans="1:22" ht="75" x14ac:dyDescent="0.25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2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3"/>
        <v>245</v>
      </c>
      <c r="O146" s="1" t="b">
        <f t="shared" si="14"/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10">
        <v>45989</v>
      </c>
      <c r="U146" s="2" t="s">
        <v>609</v>
      </c>
      <c r="V146" s="4">
        <v>0.01</v>
      </c>
    </row>
    <row r="147" spans="1:22" ht="75" x14ac:dyDescent="0.25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>_xlfn.CONCAT(I147,L147,J147)</f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3"/>
        <v>245</v>
      </c>
      <c r="O147" s="1" t="b">
        <f t="shared" si="14"/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10">
        <v>45989</v>
      </c>
      <c r="U147" s="2" t="s">
        <v>610</v>
      </c>
      <c r="V147" s="4">
        <v>0.71</v>
      </c>
    </row>
    <row r="148" spans="1:22" ht="75" x14ac:dyDescent="0.25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2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3"/>
        <v>245</v>
      </c>
      <c r="O148" s="1" t="b">
        <f t="shared" si="14"/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10">
        <v>45989</v>
      </c>
      <c r="U148" s="2" t="s">
        <v>611</v>
      </c>
      <c r="V148" s="4">
        <v>0.51</v>
      </c>
    </row>
    <row r="149" spans="1:22" ht="75" x14ac:dyDescent="0.25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2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3"/>
        <v>249</v>
      </c>
      <c r="O149" s="1" t="b">
        <f t="shared" si="14"/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10">
        <v>45990</v>
      </c>
      <c r="U149" s="2" t="s">
        <v>654</v>
      </c>
      <c r="V149" s="4">
        <v>0.02</v>
      </c>
    </row>
    <row r="150" spans="1:22" ht="75" x14ac:dyDescent="0.25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2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3"/>
        <v>249</v>
      </c>
      <c r="O150" s="1" t="b">
        <f t="shared" si="14"/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10">
        <v>45990</v>
      </c>
      <c r="U150" s="2" t="s">
        <v>656</v>
      </c>
      <c r="V150" s="4">
        <v>0.01</v>
      </c>
    </row>
    <row r="151" spans="1:22" ht="75" x14ac:dyDescent="0.25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2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3"/>
        <v>249</v>
      </c>
      <c r="O151" s="1" t="b">
        <f t="shared" si="14"/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10">
        <v>45990</v>
      </c>
      <c r="U151" s="2" t="s">
        <v>655</v>
      </c>
      <c r="V151" s="4">
        <v>0</v>
      </c>
    </row>
    <row r="152" spans="1:22" ht="75" x14ac:dyDescent="0.25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2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3"/>
        <v>249</v>
      </c>
      <c r="O152" s="1" t="b">
        <f t="shared" si="14"/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10">
        <v>45990</v>
      </c>
      <c r="U152" s="2" t="s">
        <v>657</v>
      </c>
      <c r="V152" s="4">
        <v>0.04</v>
      </c>
    </row>
    <row r="153" spans="1:22" ht="75" x14ac:dyDescent="0.25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2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3"/>
        <v>249</v>
      </c>
      <c r="O153" s="1" t="b">
        <f t="shared" si="14"/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10">
        <v>45990</v>
      </c>
      <c r="U153" s="2" t="s">
        <v>659</v>
      </c>
      <c r="V153" s="4">
        <v>0.01</v>
      </c>
    </row>
    <row r="154" spans="1:22" ht="75" x14ac:dyDescent="0.25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2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3"/>
        <v>249</v>
      </c>
      <c r="O154" s="1" t="b">
        <f t="shared" si="14"/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10">
        <v>45990</v>
      </c>
      <c r="U154" s="2" t="s">
        <v>660</v>
      </c>
      <c r="V154" s="4">
        <v>7.0000000000000007E-2</v>
      </c>
    </row>
    <row r="155" spans="1:22" ht="75" x14ac:dyDescent="0.25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2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3"/>
        <v>249</v>
      </c>
      <c r="O155" s="1" t="b">
        <f t="shared" si="14"/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10">
        <v>45990</v>
      </c>
      <c r="U155" s="2" t="s">
        <v>658</v>
      </c>
      <c r="V155" s="4">
        <v>0</v>
      </c>
    </row>
    <row r="156" spans="1:22" ht="75" x14ac:dyDescent="0.25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2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3"/>
        <v>249</v>
      </c>
      <c r="O156" s="1" t="b">
        <f t="shared" si="14"/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10">
        <v>45990</v>
      </c>
      <c r="U156" s="2" t="s">
        <v>662</v>
      </c>
      <c r="V156" s="4">
        <v>7.0000000000000007E-2</v>
      </c>
    </row>
    <row r="157" spans="1:22" ht="75" x14ac:dyDescent="0.25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2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3"/>
        <v>249</v>
      </c>
      <c r="O157" s="1" t="b">
        <f t="shared" si="14"/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10">
        <v>45990</v>
      </c>
      <c r="U157" s="2" t="s">
        <v>661</v>
      </c>
      <c r="V157" s="4">
        <v>0.02</v>
      </c>
    </row>
    <row r="158" spans="1:22" ht="75" x14ac:dyDescent="0.25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2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3"/>
        <v>249</v>
      </c>
      <c r="O158" s="1" t="b">
        <f t="shared" si="14"/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10">
        <v>45990</v>
      </c>
      <c r="U158" s="2" t="s">
        <v>653</v>
      </c>
      <c r="V158" s="4">
        <v>0.01</v>
      </c>
    </row>
  </sheetData>
  <autoFilter ref="A1:V138" xr:uid="{00000000-0001-0000-0100-000000000000}"/>
  <phoneticPr fontId="1" type="noConversion"/>
  <conditionalFormatting sqref="K1:L1048576">
    <cfRule type="cellIs" dxfId="16" priority="20" operator="equal">
      <formula>TRUE</formula>
    </cfRule>
    <cfRule type="cellIs" dxfId="15" priority="21" operator="equal">
      <formula>FALSE</formula>
    </cfRule>
    <cfRule type="containsBlanks" dxfId="14" priority="21">
      <formula>LEN(TRIM(K1))=0</formula>
    </cfRule>
  </conditionalFormatting>
  <conditionalFormatting sqref="O2:O158">
    <cfRule type="containsBlanks" dxfId="13" priority="13">
      <formula>LEN(TRIM(O2))=0</formula>
    </cfRule>
  </conditionalFormatting>
  <conditionalFormatting sqref="O84:P158">
    <cfRule type="cellIs" dxfId="12" priority="1" operator="equal">
      <formula>FALSE</formula>
    </cfRule>
    <cfRule type="cellIs" dxfId="11" priority="2" operator="equal">
      <formula>TRUE</formula>
    </cfRule>
  </conditionalFormatting>
  <conditionalFormatting sqref="O2:S2 O3:Q30 R3:S22 R12:R158 S3:S158 O31:P83 Q31:Q158">
    <cfRule type="cellIs" dxfId="18" priority="14" operator="equal">
      <formula>FALSE</formula>
    </cfRule>
    <cfRule type="cellIs" dxfId="17" priority="22" operator="equal">
      <formula>TRUE</formula>
    </cfRule>
  </conditionalFormatting>
  <conditionalFormatting sqref="V1:V1048576 R1:S1048576">
    <cfRule type="colorScale" priority="12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V2:V22">
    <cfRule type="cellIs" dxfId="10" priority="8" operator="equal">
      <formula>FALSE</formula>
    </cfRule>
    <cfRule type="cellIs" dxfId="9" priority="9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05" x14ac:dyDescent="0.25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20" x14ac:dyDescent="0.25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K5" sqref="K5"/>
    </sheetView>
  </sheetViews>
  <sheetFormatPr defaultColWidth="9.140625" defaultRowHeight="15" x14ac:dyDescent="0.25"/>
  <cols>
    <col min="1" max="1" width="15" style="1" bestFit="1" customWidth="1"/>
    <col min="2" max="2" width="11.42578125" style="1" customWidth="1"/>
    <col min="3" max="3" width="46.140625" style="2" customWidth="1"/>
    <col min="4" max="4" width="48.85546875" style="2" customWidth="1"/>
    <col min="5" max="5" width="20.7109375" style="1" bestFit="1" customWidth="1"/>
    <col min="6" max="6" width="74" style="1" customWidth="1"/>
    <col min="7" max="7" width="17.42578125" style="1" bestFit="1" customWidth="1"/>
    <col min="8" max="8" width="11" style="1" bestFit="1" customWidth="1"/>
    <col min="9" max="9" width="10.140625" style="1" bestFit="1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0" x14ac:dyDescent="0.25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0" x14ac:dyDescent="0.25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0" x14ac:dyDescent="0.25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0" x14ac:dyDescent="0.25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8" priority="18" operator="equal">
      <formula>TRUE</formula>
    </cfRule>
    <cfRule type="cellIs" dxfId="7" priority="19" operator="equal">
      <formula>FALSE</formula>
    </cfRule>
  </conditionalFormatting>
  <conditionalFormatting sqref="H2:H5">
    <cfRule type="containsBlanks" dxfId="6" priority="16">
      <formula>LEN(TRIM(H2))=0</formula>
    </cfRule>
    <cfRule type="cellIs" dxfId="5" priority="17" operator="equal">
      <formula>FALSE</formula>
    </cfRule>
    <cfRule type="cellIs" dxfId="4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1" priority="14" operator="equal">
      <formula>FALSE</formula>
    </cfRule>
    <cfRule type="cellIs" dxfId="0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342</v>
      </c>
    </row>
    <row r="5" spans="1:2" x14ac:dyDescent="0.25">
      <c r="A5" s="4">
        <v>4</v>
      </c>
      <c r="B5" s="2" t="s">
        <v>663</v>
      </c>
    </row>
    <row r="6" spans="1:2" x14ac:dyDescent="0.25">
      <c r="A6" s="4" t="s">
        <v>233</v>
      </c>
      <c r="B6" s="2" t="s">
        <v>235</v>
      </c>
    </row>
    <row r="7" spans="1:2" x14ac:dyDescent="0.25">
      <c r="A7" s="4" t="s">
        <v>234</v>
      </c>
      <c r="B7" s="2" t="s">
        <v>262</v>
      </c>
    </row>
    <row r="8" spans="1:2" x14ac:dyDescent="0.25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C21" sqref="C21"/>
    </sheetView>
  </sheetViews>
  <sheetFormatPr defaultColWidth="11.42578125" defaultRowHeight="15" x14ac:dyDescent="0.25"/>
  <cols>
    <col min="1" max="1" width="20.85546875" customWidth="1"/>
    <col min="2" max="2" width="28.42578125" bestFit="1" customWidth="1"/>
    <col min="3" max="3" width="255.85546875" bestFit="1" customWidth="1"/>
    <col min="4" max="4" width="255.7109375" bestFit="1" customWidth="1"/>
    <col min="5" max="5" width="10" bestFit="1" customWidth="1"/>
  </cols>
  <sheetData>
    <row r="2" spans="1:3" x14ac:dyDescent="0.25">
      <c r="A2" s="8" t="s">
        <v>98</v>
      </c>
      <c r="B2" s="9">
        <v>45990</v>
      </c>
    </row>
    <row r="4" spans="1:3" x14ac:dyDescent="0.25">
      <c r="A4" t="s">
        <v>612</v>
      </c>
      <c r="B4" t="s">
        <v>526</v>
      </c>
      <c r="C4" t="s">
        <v>643</v>
      </c>
    </row>
    <row r="5" spans="1:3" x14ac:dyDescent="0.25">
      <c r="A5" t="s">
        <v>613</v>
      </c>
      <c r="B5" t="s">
        <v>526</v>
      </c>
      <c r="C5" t="s">
        <v>644</v>
      </c>
    </row>
    <row r="6" spans="1:3" x14ac:dyDescent="0.25">
      <c r="A6" t="s">
        <v>614</v>
      </c>
      <c r="B6" t="s">
        <v>526</v>
      </c>
      <c r="C6" t="s">
        <v>645</v>
      </c>
    </row>
    <row r="7" spans="1:3" x14ac:dyDescent="0.25">
      <c r="A7" t="s">
        <v>615</v>
      </c>
      <c r="B7" t="s">
        <v>526</v>
      </c>
      <c r="C7" t="s">
        <v>646</v>
      </c>
    </row>
    <row r="8" spans="1:3" x14ac:dyDescent="0.25">
      <c r="A8" t="s">
        <v>616</v>
      </c>
      <c r="B8" t="s">
        <v>526</v>
      </c>
      <c r="C8" t="s">
        <v>647</v>
      </c>
    </row>
    <row r="9" spans="1:3" x14ac:dyDescent="0.25">
      <c r="A9" t="s">
        <v>617</v>
      </c>
      <c r="B9" t="s">
        <v>526</v>
      </c>
      <c r="C9" t="s">
        <v>648</v>
      </c>
    </row>
    <row r="10" spans="1:3" x14ac:dyDescent="0.25">
      <c r="A10" t="s">
        <v>618</v>
      </c>
      <c r="B10" t="s">
        <v>526</v>
      </c>
      <c r="C10" t="s">
        <v>649</v>
      </c>
    </row>
    <row r="11" spans="1:3" x14ac:dyDescent="0.25">
      <c r="A11" t="s">
        <v>619</v>
      </c>
      <c r="B11" t="s">
        <v>526</v>
      </c>
      <c r="C11" t="s">
        <v>650</v>
      </c>
    </row>
    <row r="12" spans="1:3" x14ac:dyDescent="0.25">
      <c r="A12" t="s">
        <v>620</v>
      </c>
      <c r="B12" t="s">
        <v>526</v>
      </c>
      <c r="C12" t="s">
        <v>651</v>
      </c>
    </row>
    <row r="13" spans="1:3" x14ac:dyDescent="0.25">
      <c r="A13" t="s">
        <v>621</v>
      </c>
      <c r="B13" t="s">
        <v>526</v>
      </c>
      <c r="C13" t="s">
        <v>652</v>
      </c>
    </row>
    <row r="29" spans="1:1" x14ac:dyDescent="0.25">
      <c r="A29" t="str">
        <f>_xlfn.CONCAT("&gt;",A4,"\n",C4)</f>
        <v>&gt;sbio-nipahgpg-150\nEVQLVESGGGLVQPGGSLRLSCAASGFNISYSSIHWVRQAPGKGLEWVASISSYSGYTYYADSVKGRFTISADTSKNTAYLQMNSLRAEDTAVYYCARGGWRPIGSYALDYWGQGTLVTVSSGGGSGGGSGGGSGGGSGGGSDIQMTQSPSSLSASVGDRVTITCRASQDVFSAVAWYQQKPGKAPKLLIYYASFLYSGVPSRFSGSRSGTDFTLTISSLQPEDFATYYCQQHSVVPITFGQGTKVEIK</v>
      </c>
    </row>
    <row r="30" spans="1:1" x14ac:dyDescent="0.25">
      <c r="A30" t="str">
        <f t="shared" ref="A30:A38" si="0">_xlfn.CONCAT("&gt;",A5,"\n",C5)</f>
        <v>&gt;sbio-nipahgpg-151\nEVQLVESGGGLVQPGGSLRLSCAASGFNISYSSIHWVRQAPGKGLEWVASISSYSGSTYYADSVKGRFTISADTSKNTAYLQMNSLRAEDTAVYYCARGGYRPIGNYALDYWGQGTLVTVSSGGGSGGGSGGGSGGGSGGGSDIQMTQSPSSLSASVGDRVTITCRASQDVDSAVAWYQQKPGKAPKLLIYYASFLYSGVPSRFSGSRSGTDFTLTISSLQPEDFATYYCQQHYVVPVTFGQGTKVEIK</v>
      </c>
    </row>
    <row r="31" spans="1:1" x14ac:dyDescent="0.25">
      <c r="A31" t="str">
        <f t="shared" si="0"/>
        <v>&gt;sbio-nipahgpg-152\nEVQLVESGGGLVQPGGSLRLSCAASGFNISYYSIHWVRQAPGKGLEWVASISSYSGYTYYADSVKGRFTISADTSKNTAYLQMNSLRAEDTAVYYCARGGDRPSGCYALDYWGQGTLVTVSSGGGSGGGSGGGSGGGSGGGSDIQMTQSPSSLSASVGDRVTITCRASQDVFSAVAWYQQKPGKAPKLLIYFASFLYSGVPSRFSGSRSGTDFTLTISSLQPEDFATYYCQQHYEVPITFGQGTKVEIK</v>
      </c>
    </row>
    <row r="32" spans="1:1" x14ac:dyDescent="0.25">
      <c r="A32" t="str">
        <f t="shared" si="0"/>
        <v>&gt;sbio-nipahgpg-153\nEVQLVESGGGLVQPGGSLRLSCAASGFNISYSSIHWVRQAPGKGLEWVASISSYSGYTYYADSVKGRFTISADTSKNTAYLQMNSLRAEDTAVYYCARGGSLPTGCYALDYWGQGTLVTVSSGGGSGGGSGGGSGGGSGGGSDIQMTQSPSSLSASVGDRVTITCRASQDVDSAVAWYQQKPGKAPKLLIYFASSLYSGVPSRFSGSRSGTDFTLTISSLQPEDFATYYCQQHYDAPITFGQGTKVEIK</v>
      </c>
    </row>
    <row r="33" spans="1:1" x14ac:dyDescent="0.25">
      <c r="A33" t="str">
        <f t="shared" si="0"/>
        <v>&gt;sbio-nipahgpg-154\nEVQLVESGGGLVQPGGSLRLSCAASGFNISYSSIHWVRQAPGKGLEWVASISSYSGYTYYADSVKGRFTISADTSKNTAYLQMNSLRAEDTAVYYCARGGWYPWGCDALDYWGQGTLVTVSSGGGSGGGSGGGSGGGSGGGSDIQMTQSPSSLSASVGDRVTITCRASQDVDSAVAWYQQKPGKAPKLLIYFASFLYSGVPSRFSGSRSGTDFTLTISSLQPEDFATYYCQQHYDVPITFGQGTKVEIK</v>
      </c>
    </row>
    <row r="34" spans="1:1" x14ac:dyDescent="0.25">
      <c r="A34" t="str">
        <f t="shared" si="0"/>
        <v>&gt;sbio-nipahgpg-155\nEVQLVESGGGLVQPGGSLRLSCAASGFNISYSSIHWVRQAPGKGLEWVASISSYSGYTYYADSVKGRFTISADTSKNTAYLQMNSLRAEDTAVYYCARGGDRPVGCYALDYWGQGTLVTVSSGGGSGGGSGGGSGGGSGGGSDIQMTQSPSSLSASVGDRVTITCRASQDVTSAVAWYQQKPGKAPKLLIYSASFRYSGVPSRFSGSRSGTDFTLTISSLQPEDFATYYCQQHYVVPVTFGQGTKVEIK</v>
      </c>
    </row>
    <row r="35" spans="1:1" x14ac:dyDescent="0.25">
      <c r="A35" t="str">
        <f t="shared" si="0"/>
        <v>&gt;sbio-nipahgpg-156\nEVQLVESGGGLVQPGGSLRLSCAASGFNISYSSIHWVRQAPGKGLEWVASISSYSGYTYYADSVKGRFTISADTSKNTAYLQMNSLRAEDTAVYYCARGGWYPLGCYAMDYWGQGTLVTVSSGGGSGGGSGGGSGGGSGGGSDIQMTQSPSSLSASVGDRVTITCRASQDVLSDVAWYQQKPGKAPKLLIYYASFRYSGVPSRFSGSRSGTDFTLTISSLQPEDFATYYCQQHYVVPVTFGQGTKVEIK</v>
      </c>
    </row>
    <row r="36" spans="1:1" x14ac:dyDescent="0.25">
      <c r="A36" t="str">
        <f t="shared" si="0"/>
        <v>&gt;sbio-nipahgpg-157\nEVQLVESGGGLVQPGGSLRLSCAASGFNISYSSIHWVRQAPGKGLEWVASISSYSGYTYYADSVKGRFTISADTSKNTAYLQMNSLRAEDTAVYYCARGGWRPFGCYALDYWGQGTLVTVSSGGGSGGGSGGGSGGGSGGGSDIQMTQSPSSLSASVGDRVTITCRASQDVFSAVAWYQQKPGKAPKLLIYSASFLYSGVPSRFSGSRSGTDFTLTISSLQPEDFATYYCQQHYIYPVTFGQGTKVEIK</v>
      </c>
    </row>
    <row r="37" spans="1:1" x14ac:dyDescent="0.25">
      <c r="A37" t="str">
        <f t="shared" si="0"/>
        <v>&gt;sbio-nipahgpg-158\nEVQLVESGGGLVQPGGSLRLSCAASGFNISYSSIHWVRQAPGKGLEWVASISSYSGSTYYADSVKGRFTISADTSKNTAYLQMNSLRAEDTAVYYCARGGWYPWGNYALDYWGQGTLVTVSSGGGSGGGSGGGSGGGSGGGSDIQMTQSPSSLSASVGDRVTITCRASQDVNTAVAWYQQKPGKAPKLLIYEASFRYSGVPSRFSGSRSGTDFTLTISSLQPEDFATYYCQQHYEVPITFGQGTKVEIK</v>
      </c>
    </row>
    <row r="38" spans="1:1" x14ac:dyDescent="0.25">
      <c r="A38" t="str">
        <f t="shared" si="0"/>
        <v>&gt;sbio-nipahgpg-159\nEVQLVESGGGLVQPGGSLRLSCAASGFNISYSSIHWVRQAPGKGLEWVASISSYSGSTYYADSVKGRFTISADTSKNTAYLQMNSLRAEDTAVYYCARGGSRPWGCYALDYWGQGTLVTVSSGGGSGGGSGGGSGGGSGGGSDIQMTQSPSSLSASVGDRVTITCRASQDVFTAVAWYQQKPGKAPKLLIYFASFLYSGVPSRFSGSRSGTDFTLTISSLQPEDFATYYCQQYSIVPVTFGQGTKVEIK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2025-11-30T23:52:42Z</dcterms:modified>
  <dc:language>en-US</dc:language>
</cp:coreProperties>
</file>