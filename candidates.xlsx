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D69697EA-3817-0440-BFEB-8F0937C810A6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Candidates'!$A$1:$V$138</definedName>
  </definedNames>
  <calcPr calcId="191029"/>
  <pivotCaches>
    <pivotCache cacheId="2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9" i="2" l="1"/>
  <c r="N149" i="2" s="1"/>
  <c r="O149" i="2" s="1"/>
  <c r="M150" i="2"/>
  <c r="N150" i="2" s="1"/>
  <c r="O150" i="2" s="1"/>
  <c r="M151" i="2"/>
  <c r="N151" i="2" s="1"/>
  <c r="O151" i="2" s="1"/>
  <c r="M152" i="2"/>
  <c r="N152" i="2" s="1"/>
  <c r="O152" i="2" s="1"/>
  <c r="M153" i="2"/>
  <c r="N153" i="2" s="1"/>
  <c r="O153" i="2" s="1"/>
  <c r="M154" i="2"/>
  <c r="N154" i="2" s="1"/>
  <c r="O154" i="2" s="1"/>
  <c r="M155" i="2"/>
  <c r="N155" i="2" s="1"/>
  <c r="O155" i="2" s="1"/>
  <c r="M156" i="2"/>
  <c r="N156" i="2" s="1"/>
  <c r="O156" i="2" s="1"/>
  <c r="M157" i="2"/>
  <c r="N157" i="2" s="1"/>
  <c r="O157" i="2" s="1"/>
  <c r="M158" i="2"/>
  <c r="N158" i="2" s="1"/>
  <c r="O158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M139" i="2"/>
  <c r="N139" i="2" s="1"/>
  <c r="O139" i="2" s="1"/>
  <c r="M140" i="2"/>
  <c r="N140" i="2" s="1"/>
  <c r="O140" i="2" s="1"/>
  <c r="M141" i="2"/>
  <c r="N141" i="2" s="1"/>
  <c r="O141" i="2" s="1"/>
  <c r="M142" i="2"/>
  <c r="M143" i="2"/>
  <c r="M144" i="2"/>
  <c r="M145" i="2"/>
  <c r="M146" i="2"/>
  <c r="M147" i="2"/>
  <c r="M148" i="2"/>
  <c r="N148" i="2" s="1"/>
  <c r="O148" i="2" s="1"/>
  <c r="H5" i="1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<sst xmlns="http://schemas.openxmlformats.org/spreadsheetml/2006/main" count="1597" uniqueCount="653">
  <si>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</si>
  <si>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</si>
  <si>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</si>
  <si>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</si>
  <si>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</si>
  <si>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</si>
  <si>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</si>
  <si>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</si>
  <si>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</si>
  <si>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</si>
  <si>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</si>
  <si>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</si>
  <si>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</si>
  <si>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</si>
  <si>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</si>
  <si>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</si>
  <si>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</si>
  <si>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</si>
  <si>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</si>
  <si>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</si>
  <si>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</si>
  <si>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</si>
  <si>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</si>
  <si>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</si>
  <si>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</si>
  <si>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</si>
  <si>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</si>
  <si>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</si>
  <si>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</si>
  <si>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</si>
  <si>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</si>
  <si>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</si>
  <si>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</si>
  <si>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</si>
  <si>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</si>
  <si>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</si>
  <si>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</si>
  <si>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</si>
  <si>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</si>
  <si>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</si>
  <si>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</si>
  <si>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</si>
  <si>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</si>
  <si>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</si>
  <si>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</si>
  <si>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</si>
  <si>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</si>
  <si>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</si>
  <si>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</si>
  <si>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</si>
  <si>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</si>
  <si>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</si>
  <si>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</si>
  <si>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</si>
  <si>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</si>
  <si>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</si>
  <si>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</si>
  <si>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</si>
  <si>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</si>
  <si>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</si>
  <si>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</si>
  <si>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</si>
  <si>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</si>
  <si>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</si>
  <si>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</si>
  <si>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</si>
  <si>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</si>
  <si>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</si>
  <si>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</si>
  <si>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</si>
  <si>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</si>
  <si>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</si>
  <si>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</si>
  <si>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</si>
  <si>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</si>
  <si>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</si>
  <si>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</si>
  <si>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</si>
  <si>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</si>
  <si>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</si>
  <si>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</si>
  <si>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</si>
  <si>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</si>
  <si>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</si>
  <si>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</si>
  <si>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</si>
  <si>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</si>
  <si>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</si>
  <si>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</si>
  <si>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</si>
  <si>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</si>
  <si>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</si>
  <si>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</si>
  <si>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</si>
  <si>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</si>
  <si>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</si>
  <si>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</si>
  <si>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</si>
  <si>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</si>
  <si>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</si>
  <si>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</si>
  <si>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</si>
  <si>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</si>
  <si>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</si>
  <si>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</si>
  <si>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</si>
  <si>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</si>
  <si>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</si>
  <si>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</si>
  <si>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</si>
  <si>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</si>
  <si>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</si>
  <si>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</si>
  <si>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</si>
  <si>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</si>
  <si>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</si>
  <si>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</si>
  <si>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</si>
  <si>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</si>
  <si>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</si>
  <si>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</si>
  <si>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</si>
  <si>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</si>
  <si>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</si>
  <si>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</si>
  <si>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</si>
  <si>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</si>
  <si>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</si>
  <si>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</si>
  <si>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</si>
  <si>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</si>
  <si>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</si>
  <si>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</si>
  <si>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</si>
  <si>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</si>
  <si>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</si>
  <si>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</si>
  <si>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</si>
  <si>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</si>
  <si>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</si>
  <si>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</si>
  <si>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</si>
  <si>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</si>
  <si>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</si>
  <si>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</si>
  <si>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</si>
  <si>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</si>
  <si>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</si>
  <si>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</si>
  <si>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</si>
  <si>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</si>
  <si>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</si>
  <si>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</si>
  <si>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</si>
  <si>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</si>
  <si>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</si>
  <si>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</si>
  <si>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</si>
  <si>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</si>
  <si>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</si>
  <si>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</si>
  <si>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</si>
  <si>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</si>
  <si>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</si>
  <si>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</si>
  <si>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</si>
  <si>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</si>
  <si>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</si>
  <si>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</si>
  <si>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</si>
  <si>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</si>
  <si>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</si>
  <si>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</si>
  <si>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</si>
  <si>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</si>
  <si>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</si>
  <si>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</si>
  <si>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</si>
  <si>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</si>
  <si>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</si>
  <si>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</si>
  <si>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</si>
  <si>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</si>
  <si>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</si>
  <si>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</si>
  <si>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</si>
  <si>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</si>
  <si>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</si>
  <si>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</si>
  <si>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</si>
  <si>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</si>
  <si>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</si>
  <si>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</si>
  <si>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</si>
  <si>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</si>
  <si>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</si>
  <si>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</si>
  <si>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</si>
  <si>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</si>
  <si>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</si>
  <si>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</si>
  <si>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</si>
  <si>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</si>
  <si>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</si>
  <si>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</si>
  <si>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</si>
  <si>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</si>
  <si>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</si>
  <si>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</si>
  <si>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</si>
  <si>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</si>
  <si>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</si>
  <si>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</si>
  <si>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</si>
  <si>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</si>
  <si>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</si>
  <si>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</si>
  <si>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</si>
  <si>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</si>
  <si>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</si>
  <si>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</si>
  <si>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</si>
  <si>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</si>
  <si>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</si>
  <si>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</si>
  <si>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</si>
  <si>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</si>
  <si>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</si>
  <si>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</si>
  <si>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</si>
  <si>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</si>
  <si>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</si>
  <si>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</si>
  <si>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</si>
  <si>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</si>
  <si>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</si>
  <si>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</si>
  <si>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</si>
  <si>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</si>
  <si>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</si>
  <si>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</si>
  <si>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</si>
  <si>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</si>
  <si>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</si>
  <si>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</si>
  <si>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</si>
  <si>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</si>
  <si>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</si>
  <si>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</si>
  <si>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</si>
  <si>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</si>
  <si>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</si>
  <si>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</si>
  <si>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</si>
  <si>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</si>
  <si>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</si>
  <si>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</si>
  <si>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</si>
  <si>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</si>
  <si>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</si>
  <si>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</si>
  <si>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</si>
  <si>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</si>
  <si>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</si>
  <si>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</si>
  <si>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</si>
  <si>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</si>
  <si>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</si>
  <si>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</si>
  <si>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</si>
  <si>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</si>
  <si>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</si>
  <si>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</si>
  <si>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</si>
  <si>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</si>
  <si>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</si>
  <si>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</si>
  <si>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</si>
  <si>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</si>
  <si>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</si>
  <si>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</si>
  <si>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</si>
  <si>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</si>
  <si>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</si>
  <si>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</si>
  <si>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</si>
  <si>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</si>
  <si>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</si>
  <si>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</si>
  <si>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</si>
  <si>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</si>
  <si>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</si>
  <si>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</si>
  <si>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</si>
  <si>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</si>
  <si>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</si>
  <si>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</si>
  <si>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</si>
  <si>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</si>
  <si>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</si>
  <si>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</si>
  <si>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</si>
  <si>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</si>
  <si>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</si>
  <si>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</si>
  <si>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</si>
  <si>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</si>
  <si>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</si>
  <si>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</si>
  <si>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</si>
  <si>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</si>
  <si>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</si>
  <si>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</si>
  <si>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</si>
  <si>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</si>
  <si>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</si>
  <si>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</si>
  <si>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</si>
  <si>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</si>
  <si>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</si>
  <si>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</si>
  <si>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</si>
  <si>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</si>
  <si>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</si>
  <si>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</si>
  <si>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</si>
  <si>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</si>
  <si>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</si>
  <si>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</si>
  <si>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</si>
  <si>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</si>
  <si>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</si>
  <si>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</si>
  <si>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</si>
  <si>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</si>
  <si>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</si>
  <si>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</si>
  <si>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</si>
  <si>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</si>
  <si>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</si>
  <si>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</si>
  <si>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</si>
  <si>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</si>
  <si>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</si>
  <si>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</si>
  <si>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</si>
  <si>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</si>
  <si>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</si>
  <si>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</si>
  <si>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</si>
  <si>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</si>
  <si>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</si>
  <si>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</si>
  <si>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</si>
  <si>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</si>
  <si>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</si>
  <si>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</si>
  <si>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</si>
  <si>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</si>
  <si>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</si>
  <si>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</si>
  <si>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</si>
  <si>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</si>
  <si>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</si>
  <si>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</si>
  <si>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</si>
  <si>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</si>
  <si>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</si>
  <si>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</si>
  <si>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</si>
  <si>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</si>
  <si>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</si>
  <si>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</si>
  <si>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</si>
  <si>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</si>
  <si>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</si>
  <si>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</si>
  <si>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</si>
  <si>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</si>
  <si>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</si>
  <si>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</si>
  <si>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</si>
  <si>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</si>
  <si>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</si>
  <si>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</si>
  <si>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</si>
  <si>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</si>
  <si>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</si>
  <si>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</si>
  <si>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</si>
  <si>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</si>
  <si>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</si>
  <si>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</si>
  <si>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</si>
  <si>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</si>
  <si>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</si>
  <si>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</si>
  <si>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</si>
  <si>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</si>
  <si>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</si>
  <si>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</si>
  <si>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</si>
  <si>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</si>
  <si>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</si>
  <si>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</si>
  <si>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</si>
  <si>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</si>
  <si>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</si>
  <si>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</si>
  <si>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</si>
  <si>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</si>
  <si>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</si>
  <si>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</si>
  <si>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</si>
  <si>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</si>
  <si>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</si>
  <si>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</si>
  <si>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</si>
  <si>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</si>
  <si>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</si>
  <si>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</si>
  <si>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</si>
  <si>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</si>
  <si>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</si>
  <si>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</si>
  <si>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</si>
  <si>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</si>
  <si>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</si>
  <si>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</si>
  <si>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</si>
  <si>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</si>
  <si>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</si>
  <si>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</si>
  <si>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</si>
  <si>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</si>
  <si>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</si>
  <si>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</si>
  <si>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</si>
  <si>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</si>
  <si>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</si>
  <si>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</si>
  <si>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</si>
  <si>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</si>
  <si>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</si>
  <si>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</si>
  <si>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</si>
  <si>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</si>
  <si>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</si>
  <si>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</si>
  <si>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</si>
  <si>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</si>
  <si>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</si>
  <si>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</si>
  <si>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</si>
  <si>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</si>
  <si>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</si>
  <si>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</si>
  <si>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</si>
  <si>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</si>
  <si>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</si>
  <si>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</si>
  <si>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</si>
  <si>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</si>
  <si>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</si>
  <si>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</si>
  <si>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</si>
  <si>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</si>
  <si>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</si>
  <si>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</si>
  <si>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</si>
  <si>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</si>
  <si>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</si>
  <si>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</si>
  <si>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</si>
  <si>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</si>
  <si>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</si>
  <si>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</si>
  <si>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</si>
  <si>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</si>
  <si>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</si>
  <si>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</si>
  <si>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</si>
  <si>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</si>
  <si>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</si>
  <si>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</si>
  <si>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</si>
  <si>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</si>
  <si>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</si>
  <si>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</si>
  <si>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</si>
  <si>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</si>
  <si>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</si>
  <si>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</si>
  <si>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</si>
  <si>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</si>
  <si>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</si>
  <si>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</si>
  <si>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</si>
  <si>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</si>
  <si>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</si>
  <si>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</si>
  <si>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</si>
  <si>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</si>
  <si>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</si>
  <si>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</si>
  <si>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</si>
  <si>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</si>
  <si>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</si>
  <si>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</si>
  <si>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</si>
  <si>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</si>
  <si>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</si>
  <si>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</si>
  <si>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</si>
  <si>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</si>
  <si>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</si>
  <si>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</si>
  <si>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</si>
  <si>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</si>
  <si>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</si>
  <si>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</si>
  <si>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</si>
  <si>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</si>
  <si>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</si>
  <si>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</si>
  <si>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</si>
  <si>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</si>
  <si>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</si>
  <si>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</si>
  <si>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</si>
  <si>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</si>
  <si>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</si>
  <si>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</si>
  <si>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</si>
  <si>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</si>
  <si>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</si>
  <si>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</si>
  <si>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</si>
  <si>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</si>
  <si>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</si>
  <si>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</si>
  <si>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</si>
  <si>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</si>
  <si>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</si>
  <si>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</si>
  <si>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</si>
  <si>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</si>
  <si>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</si>
  <si>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</si>
  <si>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</si>
  <si>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</si>
  <si>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</si>
  <si>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</si>
  <si>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</si>
  <si>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</si>
  <si>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</si>
  <si>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</si>
  <si>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</si>
  <si>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</si>
  <si>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</si>
  <si>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</si>
  <si>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</si>
  <si>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</si>
  <si>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</si>
  <si>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</si>
  <si>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</si>
  <si>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</si>
  <si>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</si>
  <si>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</si>
  <si>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</si>
  <si>
    <t>quick-fox-orchid</t>
  </si>
  <si>
    <t>wild-boar-maple</t>
  </si>
  <si>
    <t>radiant-falcon-leaf</t>
  </si>
  <si>
    <t>dark-tiger-pearl</t>
  </si>
  <si>
    <t>silent-deer-oak</t>
  </si>
  <si>
    <t>hollow-gecko-clay</t>
  </si>
  <si>
    <t>sbio-nipahgpg-140</t>
  </si>
  <si>
    <t>sbio-nipahgpg-141</t>
  </si>
  <si>
    <t>sbio-nipahgpg-142</t>
  </si>
  <si>
    <t>sbio-nipahgpg-143</t>
  </si>
  <si>
    <t>sbio-nipahgpg-144</t>
  </si>
  <si>
    <t>sbio-nipahgpg-145</t>
  </si>
  <si>
    <t>sbio-nipahgpg-146</t>
  </si>
  <si>
    <t>sbio-nipahgpg-147</t>
  </si>
  <si>
    <t>sbio-nipahgpg-148</t>
  </si>
  <si>
    <t>sbio-nipahgpg-149</t>
  </si>
  <si>
    <t>EVQLVESGGGLVQPGGSLRLSCAASGFNISYSSIHWVRQAPGKGLEWVASISSYSGSTYYADSVKGRFTISADTSKNTAYLQMNSLRAEDTAVYYCARGGYVPVGWYALDYWGQGTLVTVSS</t>
  </si>
  <si>
    <t>DIQMTQSPSSLSASVGDRVTITCRASQSVSTAVAWYQQKPGKAPKLLIYYASDRYSGVPSRFSGSRSGTDFTLTISSLQPEDFATYYCQQHYNYPLTFGQGTKVEIK</t>
  </si>
  <si>
    <t>DIQMTQSPSSLSASVGDRVTITCRASQSVSDDVAWYQQKPGKAPKLLIYRASDRYFGVPSRFSGSRSGTDFTLTISSLQPEDFATYYCQQYYSYPITFGQGTKVEIK</t>
  </si>
  <si>
    <t>EVQLVESGGGLVQPGGSLRLSCAASGFNISYSSIHWVRQAPGKGLEWVASISSYSGSTYYADSVKGRFTISADTSKNTAYLQMNSLRAEDTAVYYCARGGAVPVGWYALDYWGQGTLVTVSS</t>
  </si>
  <si>
    <t>EVQLVESGGGLVQPGGSLRLSCAASGFNISYSSIHWVRQAPGKGLEWVASISSYSGSTYYADSVKGRFTISADTSKNTAYLQMNSLRAEDTAVYYCARGGDVPNGWYALDYWGQGTLVTVSS</t>
  </si>
  <si>
    <t>DIQMTQSPSSLSASVGDRVTITCRASQSVYTAVAWYQQKPGKAPKLLIYFASDRYSGVPSRFSGSRSGTDFTLTISSLQPEDFATYYCQQHYYYPITFGQGTKVEIK</t>
  </si>
  <si>
    <t>EVQLVESGGGLVQPGGSLRLSCAASGFNISYSSIHWVRQAPGKGLEWVASISSYSGSTYYADSVKGRFTISADTSKNTAYLQMNSLRAEDTAVYYCARGGDVPVGWYALDYWGQGTLVTVSS</t>
  </si>
  <si>
    <t>DIQMTQSPSSLSASVGDRVTITCRASQSVSDAVAWYQQKPGKAPKLLIYYASDRYAGVPSRFSGSRSGTDFTLTISSLQPEDFATYYCQQYYSYPLTFGQGTKVEIK</t>
  </si>
  <si>
    <t>DIQMTQSPSSLSASVGDRVTITCRASQSVYTAVAWYQQKPGKAPKLLIYRASDRYAGVPSRFSGSRSGTDFTLTISSLQPEDFATYYCQQYYYYPLTFGQGTKVEIK</t>
  </si>
  <si>
    <t>DIQMTQSPSSLSASVGDRVTITCRASQSVNTAVAWYQQKPGKAPKLLIYSASDRYFGVPSRFSGSRSGTDFTLTISSLQPEDFATYYCQQHYSYPLTFGQGTKVEIK</t>
  </si>
  <si>
    <t>DIQMTQSPSSLSASVGDRVTITCRASQSVYTAVAWYQQKPGKAPKLLIYSASDRYSGVPSRFSGSRSGTDFTLTISSLQPEDFATYYCQQYASYPITFGQGTKVEIK</t>
  </si>
  <si>
    <t>DIQMTQSPSSLSASVGDRVTITCRASQSVSIAVAWYQQKPGKAPKLLIYSASDRYFGVPSRFSGSRSGTDFTLTISSLQPEDFATYYCQQYYSYPLTFGQGTKVEIK</t>
  </si>
  <si>
    <t>DIQMTQSPSSLSASVGDRVTITCRASQSVYYAVAWYQQKPGKAPKLLIYRASDRYSGVPSRFSGSRSGTDFTLTISSLQPEDFATYYCQQYYSYPLTFGQGTKVEIK</t>
  </si>
  <si>
    <t>DIQMTQSPSSLSASVGDRVTITCRASQSVYTAVAWYQQKPGKAPKLLIYRASDRYFGVPSRFSGSRSGTDFTLTISSLQPEDFATYYCQQYYYYPLTFGQGTKVEIK</t>
  </si>
  <si>
    <t>EVQLVESGGGLVQPGGSLRLSCAASGFNISYSSIHWVRQAPGKGLEWVASISSYSGSTYYADSVKGRFTISADTSKNTAYLQMNSLRAEDTAVYYCARGGDVPVGYYALDYWGQGTLVTVSS</t>
  </si>
  <si>
    <t>EVQLVESGGGLVQPGGSLRLSCAASGFNISSSSIHWVRQAPGKGLEWVASISSSSGSTYYADSVKGRFTISADTSKNTAYLQMNSLRAEDTAVYYCARGGDVPNGWYALDYWGQGTLVTVSS</t>
  </si>
  <si>
    <t>noble-panther-rose</t>
  </si>
  <si>
    <t>small-otter-jade</t>
  </si>
  <si>
    <t>mellow-crow-vine</t>
  </si>
  <si>
    <t>rough-crane-ice</t>
  </si>
  <si>
    <t>gentle-bee-pearl</t>
  </si>
  <si>
    <t>amber-crow-wave</t>
  </si>
  <si>
    <t>vast-zebra-topaz</t>
  </si>
  <si>
    <t>soft-heron-topaz</t>
  </si>
  <si>
    <t>rapid-otter-pearl</t>
  </si>
  <si>
    <t>mellow-hawk-willow</t>
  </si>
  <si>
    <t>sbio-nipahgpg-150</t>
  </si>
  <si>
    <t>sbio-nipahgpg-151</t>
  </si>
  <si>
    <t>sbio-nipahgpg-152</t>
  </si>
  <si>
    <t>sbio-nipahgpg-153</t>
  </si>
  <si>
    <t>sbio-nipahgpg-154</t>
  </si>
  <si>
    <t>sbio-nipahgpg-155</t>
  </si>
  <si>
    <t>sbio-nipahgpg-156</t>
  </si>
  <si>
    <t>sbio-nipahgpg-157</t>
  </si>
  <si>
    <t>sbio-nipahgpg-158</t>
  </si>
  <si>
    <t>sbio-nipahgpg-159</t>
  </si>
  <si>
    <t>EVQLVESGGGLVQPGGSLRLSCAASGFNISYSSIHWVRQAPGKGLEWVASISSYSGYTYYADSVKGRFTISADTSKNTAYLQMNSLRAEDTAVYYCARGGWRPIGSYALDYWGQGTLVTVSS</t>
  </si>
  <si>
    <t>EVQLVESGGGLVQPGGSLRLSCAASGFNISYSSIHWVRQAPGKGLEWVASISSYSGSTYYADSVKGRFTISADTSKNTAYLQMNSLRAEDTAVYYCARGGYRPIGNYALDYWGQGTLVTVSS</t>
  </si>
  <si>
    <t>EVQLVESGGGLVQPGGSLRLSCAASGFNISYYSIHWVRQAPGKGLEWVASISSYSGYTYYADSVKGRFTISADTSKNTAYLQMNSLRAEDTAVYYCARGGDRPSGCYALDYWGQGTLVTVSS</t>
  </si>
  <si>
    <t>EVQLVESGGGLVQPGGSLRLSCAASGFNISYSSIHWVRQAPGKGLEWVASISSYSGYTYYADSVKGRFTISADTSKNTAYLQMNSLRAEDTAVYYCARGGSLPTGCYALDYWGQGTLVTVSS</t>
  </si>
  <si>
    <t>EVQLVESGGGLVQPGGSLRLSCAASGFNISYSSIHWVRQAPGKGLEWVASISSYSGYTYYADSVKGRFTISADTSKNTAYLQMNSLRAEDTAVYYCARGGWYPWGCDALDYWGQGTLVTVSS</t>
  </si>
  <si>
    <t>EVQLVESGGGLVQPGGSLRLSCAASGFNISYSSIHWVRQAPGKGLEWVASISSYSGSTYYADSVKGRFTISADTSKNTAYLQMNSLRAEDTAVYYCARGGSRPWGCYALDYWGQGTLVTVSS</t>
  </si>
  <si>
    <t>EVQLVESGGGLVQPGGSLRLSCAASGFNISYSSIHWVRQAPGKGLEWVASISSYSGSTYYADSVKGRFTISADTSKNTAYLQMNSLRAEDTAVYYCARGGWYPWGNYALDYWGQGTLVTVSS</t>
  </si>
  <si>
    <t>EVQLVESGGGLVQPGGSLRLSCAASGFNISYSSIHWVRQAPGKGLEWVASISSYSGYTYYADSVKGRFTISADTSKNTAYLQMNSLRAEDTAVYYCARGGWRPFGCYALDYWGQGTLVTVSS</t>
  </si>
  <si>
    <t>EVQLVESGGGLVQPGGSLRLSCAASGFNISYSSIHWVRQAPGKGLEWVASISSYSGYTYYADSVKGRFTISADTSKNTAYLQMNSLRAEDTAVYYCARGGWYPLGCYAMDYWGQGTLVTVSS</t>
  </si>
  <si>
    <t>EVQLVESGGGLVQPGGSLRLSCAASGFNISYSSIHWVRQAPGKGLEWVASISSYSGYTYYADSVKGRFTISADTSKNTAYLQMNSLRAEDTAVYYCARGGDRPVGCYALDYWGQGTLVTVSS</t>
  </si>
  <si>
    <t>DIQMTQSPSSLSASVGDRVTITCRASQDVFTAVAWYQQKPGKAPKLLIYFASFLYSGVPSRFSGSRSGTDFTLTISSLQPEDFATYYCQQYSIVPVTFGQGTKVEIK</t>
  </si>
  <si>
    <t>DIQMTQSPSSLSASVGDRVTITCRASQDVNTAVAWYQQKPGKAPKLLIYEASFRYSGVPSRFSGSRSGTDFTLTISSLQPEDFATYYCQQHYEVPITFGQGTKVEIK</t>
  </si>
  <si>
    <t>DIQMTQSPSSLSASVGDRVTITCRASQDVFSAVAWYQQKPGKAPKLLIYSASFLYSGVPSRFSGSRSGTDFTLTISSLQPEDFATYYCQQHYIYPVTFGQGTKVEIK</t>
  </si>
  <si>
    <t>DIQMTQSPSSLSASVGDRVTITCRASQDVLSDVAWYQQKPGKAPKLLIYYASFRYSGVPSRFSGSRSGTDFTLTISSLQPEDFATYYCQQHYVVPVTFGQGTKVEIK</t>
  </si>
  <si>
    <t>DIQMTQSPSSLSASVGDRVTITCRASQDVTSAVAWYQQKPGKAPKLLIYSASFRYSGVPSRFSGSRSGTDFTLTISSLQPEDFATYYCQQHYVVPVTFGQGTKVEIK</t>
  </si>
  <si>
    <t>DIQMTQSPSSLSASVGDRVTITCRASQDVFSAVAWYQQKPGKAPKLLIYYASFLYSGVPSRFSGSRSGTDFTLTISSLQPEDFATYYCQQHSVVPITFGQGTKVEIK</t>
  </si>
  <si>
    <t>DIQMTQSPSSLSASVGDRVTITCRASQDVFSAVAWYQQKPGKAPKLLIYFASFLYSGVPSRFSGSRSGTDFTLTISSLQPEDFATYYCQQHYEVPITFGQGTKVEIK</t>
  </si>
  <si>
    <t>DIQMTQSPSSLSASVGDRVTITCRASQDVDSAVAWYQQKPGKAPKLLIYYASFLYSGVPSRFSGSRSGTDFTLTISSLQPEDFATYYCQQHYVVPVTFGQGTKVEIK</t>
  </si>
  <si>
    <t>DIQMTQSPSSLSASVGDRVTITCRASQDVDSAVAWYQQKPGKAPKLLIYFASSLYSGVPSRFSGSRSGTDFTLTISSLQPEDFATYYCQQHYDAPITFGQGTKVEIK</t>
  </si>
  <si>
    <t>DIQMTQSPSSLSASVGDRVTITCRASQDVDSAVAWYQQKPGKAPKLLIYFASFLYSGVPSRFSGSRSGTDFTLTISSLQPEDFATYYCQQHYDVPITFGQGTKVEIK</t>
  </si>
  <si>
    <t>GGGSGGGSGGGSGGGSGGGS</t>
  </si>
  <si>
    <t>EVQLVESGGGLVQPGGSLRLSCAASGFNISYSSIHWVRQAPGKGLEWVASISSYSGYTYYADSVKGRFTISADTSKNTAYLQMNSLRAEDTAVYYCARGGWRPIGSYALDYWGQGTLVTVSSGGGSGGGSGGGSGGGSGGGSDIQMTQSPSSLSASVGDRVTITCRASQDVFSAVAWYQQKPGKAPKLLIYYASFLYSGVPSRFSGSRSGTDFTLTISSLQPEDFATYYCQQHSVVPITFGQGTKVEIK</t>
  </si>
  <si>
    <t>EVQLVESGGGLVQPGGSLRLSCAASGFNISYSSIHWVRQAPGKGLEWVASISSYSGSTYYADSVKGRFTISADTSKNTAYLQMNSLRAEDTAVYYCARGGYRPIGNYALDYWGQGTLVTVSSGGGSGGGSGGGSGGGSGGGSDIQMTQSPSSLSASVGDRVTITCRASQDVDSAVAWYQQKPGKAPKLLIYYASFLYSGVPSRFSGSRSGTDFTLTISSLQPEDFATYYCQQHYVVPVTFGQGTKVEIK</t>
  </si>
  <si>
    <t>EVQLVESGGGLVQPGGSLRLSCAASGFNISYYSIHWVRQAPGKGLEWVASISSYSGYTYYADSVKGRFTISADTSKNTAYLQMNSLRAEDTAVYYCARGGDRPSGCYALDYWGQGTLVTVSSGGGSGGGSGGGSGGGSGGGSDIQMTQSPSSLSASVGDRVTITCRASQDVFSAVAWYQQKPGKAPKLLIYFASFLYSGVPSRFSGSRSGTDFTLTISSLQPEDFATYYCQQHYEVPITFGQGTKVEIK</t>
  </si>
  <si>
    <t>EVQLVESGGGLVQPGGSLRLSCAASGFNISYSSIHWVRQAPGKGLEWVASISSYSGYTYYADSVKGRFTISADTSKNTAYLQMNSLRAEDTAVYYCARGGSLPTGCYALDYWGQGTLVTVSSGGGSGGGSGGGSGGGSGGGSDIQMTQSPSSLSASVGDRVTITCRASQDVDSAVAWYQQKPGKAPKLLIYFASSLYSGVPSRFSGSRSGTDFTLTISSLQPEDFATYYCQQHYDAPITFGQGTKVEIK</t>
  </si>
  <si>
    <t>EVQLVESGGGLVQPGGSLRLSCAASGFNISYSSIHWVRQAPGKGLEWVASISSYSGYTYYADSVKGRFTISADTSKNTAYLQMNSLRAEDTAVYYCARGGWYPWGCDALDYWGQGTLVTVSSGGGSGGGSGGGSGGGSGGGSDIQMTQSPSSLSASVGDRVTITCRASQDVDSAVAWYQQKPGKAPKLLIYFASFLYSGVPSRFSGSRSGTDFTLTISSLQPEDFATYYCQQHYDVPITFGQGTKVEIK</t>
  </si>
  <si>
    <t>EVQLVESGGGLVQPGGSLRLSCAASGFNISYSSIHWVRQAPGKGLEWVASISSYSGYTYYADSVKGRFTISADTSKNTAYLQMNSLRAEDTAVYYCARGGDRPVGCYALDYWGQGTLVTVSSGGGSGGGSGGGSGGGSGGGSDIQMTQSPSSLSASVGDRVTITCRASQDVTSAVAWYQQKPGKAPKLLIYSASFRYSGVPSRFSGSRSGTDFTLTISSLQPEDFATYYCQQHYVVPVTFGQGTKVEIK</t>
  </si>
  <si>
    <t>EVQLVESGGGLVQPGGSLRLSCAASGFNISYSSIHWVRQAPGKGLEWVASISSYSGYTYYADSVKGRFTISADTSKNTAYLQMNSLRAEDTAVYYCARGGWYPLGCYAMDYWGQGTLVTVSSGGGSGGGSGGGSGGGSGGGSDIQMTQSPSSLSASVGDRVTITCRASQDVLSDVAWYQQKPGKAPKLLIYYASFRYSGVPSRFSGSRSGTDFTLTISSLQPEDFATYYCQQHYVVPVTFGQGTKVEIK</t>
  </si>
  <si>
    <t>EVQLVESGGGLVQPGGSLRLSCAASGFNISYSSIHWVRQAPGKGLEWVASISSYSGYTYYADSVKGRFTISADTSKNTAYLQMNSLRAEDTAVYYCARGGWRPFGCYALDYWGQGTLVTVSSGGGSGGGSGGGSGGGSGGGSDIQMTQSPSSLSASVGDRVTITCRASQDVFSAVAWYQQKPGKAPKLLIYSASFLYSGVPSRFSGSRSGTDFTLTISSLQPEDFATYYCQQHYIYPVTFGQGTKVEIK</t>
  </si>
  <si>
    <t>EVQLVESGGGLVQPGGSLRLSCAASGFNISYSSIHWVRQAPGKGLEWVASISSYSGSTYYADSVKGRFTISADTSKNTAYLQMNSLRAEDTAVYYCARGGWYPWGNYALDYWGQGTLVTVSSGGGSGGGSGGGSGGGSGGGSDIQMTQSPSSLSASVGDRVTITCRASQDVNTAVAWYQQKPGKAPKLLIYEASFRYSGVPSRFSGSRSGTDFTLTISSLQPEDFATYYCQQHYEVPITFGQGTKVEIK</t>
  </si>
  <si>
    <t>EVQLVESGGGLVQPGGSLRLSCAASGFNISYSSIHWVRQAPGKGLEWVASISSYSGSTYYADSVKGRFTISADTSKNTAYLQMNSLRAEDTAVYYCARGGSRPWGCYALDYWGQGTLVTVSSGGGSGGGSGGGSGGGSGGGSDIQMTQSPSSLSASVGDRVTITCRASQDVFTAVAWYQQKPGKAPKLLIYFASFLYSGVPSRFSGSRSGTDFTLTISSLQPEDFATYYCQQYSIVPVTFGQGTKVEIK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</si>
</sst>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5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90.369309837966" createdVersion="8" refreshedVersion="8" minRefreshableVersion="3" recordCount="158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58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s v="sbio-nipahgpg-151"/>
        <s v="sbio-nipahgpg-152"/>
        <s v="sbio-nipahgpg-153"/>
        <s v="sbio-nipahgpg-154"/>
        <s v="sbio-nipahgpg-155"/>
        <s v="sbio-nipahgpg-156"/>
        <s v="sbio-nipahgpg-157"/>
        <s v="sbio-nipahgpg-158"/>
        <s v="sbio-nipahgpg-159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5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s v="EVQLVESGGGLVQPGGSLRLSCAASGFNISYSSIHWVRQAPGKGLEWVASISSYSGSTYYADSVKGRFTISADTSKNTAYLQMNSLRAEDTAVYYCARGGYVPVGWYALDYWGQGTLVTVSSGGGSGGGSGGGSGGGSDIQMTQSPSSLSASVGDRVTITCRASQSVSTAVAWYQQKPGKAPKLLIYYASDRYSGVPSRFSGSRSGTDFTLTISSLQPEDFATYYCQQHYNYPLTFGQGTKVEIK"/>
        <s v="EVQLVESGGGLVQPGGSLRLSCAASGFNISYSSIHWVRQAPGKGLEWVASISSYSGSTYYADSVKGRFTISADTSKNTAYLQMNSLRAEDTAVYYCARGGAVPVGWYALDYWGQGTLVTVSSGGGSGGGSGGGSGGGSDIQMTQSPSSLSASVGDRVTITCRASQSVSDDVAWYQQKPGKAPKLLIYRASDRYFGVPSRFSGSRSGTDFTLTISSLQPEDFATYYCQQYYSYPITFGQGTKVEIK"/>
        <s v="EVQLVESGGGLVQPGGSLRLSCAASGFNISYSSIHWVRQAPGKGLEWVASISSYSGSTYYADSVKGRFTISADTSKNTAYLQMNSLRAEDTAVYYCARGGDVPNGWYALDYWGQGTLVTVSSGGGSGGGSGGGSGGGSDIQMTQSPSSLSASVGDRVTITCRASQSVYTAVAWYQQKPGKAPKLLIYFASDRYSGVPSRFSGSRSGTDFTLTISSLQPEDFATYYCQQHYYYPITFGQGTKVEIK"/>
        <s v="EVQLVESGGGLVQPGGSLRLSCAASGFNISYSSIHWVRQAPGKGLEWVASISSYSGSTYYADSVKGRFTISADTSKNTAYLQMNSLRAEDTAVYYCARGGDVPVGWYALDYWGQGTLVTVSSGGGSGGGSGGGSGGGSDIQMTQSPSSLSASVGDRVTITCRASQSVSDAVAWYQQKPGKAPKLLIYYASDRYAGVPSRFSGSRSGTDFTLTISSLQPEDFATYYCQQYYSYPLTFGQGTKVEIK"/>
        <s v="EVQLVESGGGLVQPGGSLRLSCAASGFNISSSSIHWVRQAPGKGLEWVASISSSSGSTYYADSVKGRFTISADTSKNTAYLQMNSLRAEDTAVYYCARGGDVPNGWYALDYWGQGTLVTVSSGGGSGGGSGGGSGGGSDIQMTQSPSSLSASVGDRVTITCRASQSVYTAVAWYQQKPGKAPKLLIYRASDRYAGVPSRFSGSRSGTDFTLTISSLQPEDFATYYCQQYYYYPLTFGQGTKVEIK"/>
        <s v="EVQLVESGGGLVQPGGSLRLSCAASGFNISYSSIHWVRQAPGKGLEWVASISSYSGSTYYADSVKGRFTISADTSKNTAYLQMNSLRAEDTAVYYCARGGDVPVGYYALDYWGQGTLVTVSSGGGSGGGSGGGSGGGSDIQMTQSPSSLSASVGDRVTITCRASQSVNTAVAWYQQKPGKAPKLLIYSASDRYFGVPSRFSGSRSGTDFTLTISSLQPEDFATYYCQQHYSYPLTFGQGTKVEIK"/>
        <s v="EVQLVESGGGLVQPGGSLRLSCAASGFNISYSSIHWVRQAPGKGLEWVASISSYSGSTYYADSVKGRFTISADTSKNTAYLQMNSLRAEDTAVYYCARGGDVPNGWYALDYWGQGTLVTVSSGGGSGGGSGGGSGGGSDIQMTQSPSSLSASVGDRVTITCRASQSVYTAVAWYQQKPGKAPKLLIYSASDRYSGVPSRFSGSRSGTDFTLTISSLQPEDFATYYCQQYASYPITFGQGTKVEIK"/>
        <s v="EVQLVESGGGLVQPGGSLRLSCAASGFNISYSSIHWVRQAPGKGLEWVASISSYSGSTYYADSVKGRFTISADTSKNTAYLQMNSLRAEDTAVYYCARGGAVPVGWYALDYWGQGTLVTVSSGGGSGGGSGGGSGGGSDIQMTQSPSSLSASVGDRVTITCRASQSVSIAVAWYQQKPGKAPKLLIYSASDRYFGVPSRFSGSRSGTDFTLTISSLQPEDFATYYCQQYYSYPLTFGQGTKVEIK"/>
        <s v="EVQLVESGGGLVQPGGSLRLSCAASGFNISYSSIHWVRQAPGKGLEWVASISSYSGSTYYADSVKGRFTISADTSKNTAYLQMNSLRAEDTAVYYCARGGDVPVGWYALDYWGQGTLVTVSSGGGSGGGSGGGSGGGSDIQMTQSPSSLSASVGDRVTITCRASQSVYYAVAWYQQKPGKAPKLLIYRASDRYSGVPSRFSGSRSGTDFTLTISSLQPEDFATYYCQQYYSYPLTFGQGTKVEIK"/>
        <s v="EVQLVESGGGLVQPGGSLRLSCAASGFNISYSSIHWVRQAPGKGLEWVASISSYSGSTYYADSVKGRFTISADTSKNTAYLQMNSLRAEDTAVYYCARGGYVPVGWYALDYWGQGTLVTVSSGGGSGGGSGGGSGGGSDIQMTQSPSSLSASVGDRVTITCRASQSVYTAVAWYQQKPGKAPKLLIYRASDRYFGVPSRFSGSRSGTDFTLTISSLQPEDFATYYCQQYYYYPLTFGQGTKVEIK"/>
        <s v="EVQLVESGGGLVQPGGSLRLSCAASGFNISYSSIHWVRQAPGKGLEWVASISSYSGYTYYADSVKGRFTISADTSKNTAYLQMNSLRAEDTAVYYCARGGWRPIGSYALDYWGQGTLVTVSSGGGSGGGSGGGSGGGSGGGSDIQMTQSPSSLSASVGDRVTITCRASQDVFSAVAWYQQKPGKAPKLLIYYASFLYSGVPSRFSGSRSGTDFTLTISSLQPEDFATYYCQQHSVVPITFGQGTKVEIK"/>
        <s v="EVQLVESGGGLVQPGGSLRLSCAASGFNISYSSIHWVRQAPGKGLEWVASISSYSGSTYYADSVKGRFTISADTSKNTAYLQMNSLRAEDTAVYYCARGGYRPIGNYALDYWGQGTLVTVSSGGGSGGGSGGGSGGGSGGGSDIQMTQSPSSLSASVGDRVTITCRASQDVDSAVAWYQQKPGKAPKLLIYYASFLYSGVPSRFSGSRSGTDFTLTISSLQPEDFATYYCQQHYVVPVTFGQGTKVEIK"/>
        <s v="EVQLVESGGGLVQPGGSLRLSCAASGFNISYYSIHWVRQAPGKGLEWVASISSYSGYTYYADSVKGRFTISADTSKNTAYLQMNSLRAEDTAVYYCARGGDRPSGCYALDYWGQGTLVTVSSGGGSGGGSGGGSGGGSGGGSDIQMTQSPSSLSASVGDRVTITCRASQDVFSAVAWYQQKPGKAPKLLIYFASFLYSGVPSRFSGSRSGTDFTLTISSLQPEDFATYYCQQHYEVPITFGQGTKVEIK"/>
        <s v="EVQLVESGGGLVQPGGSLRLSCAASGFNISYSSIHWVRQAPGKGLEWVASISSYSGYTYYADSVKGRFTISADTSKNTAYLQMNSLRAEDTAVYYCARGGSLPTGCYALDYWGQGTLVTVSSGGGSGGGSGGGSGGGSGGGSDIQMTQSPSSLSASVGDRVTITCRASQDVDSAVAWYQQKPGKAPKLLIYFASSLYSGVPSRFSGSRSGTDFTLTISSLQPEDFATYYCQQHYDAPITFGQGTKVEIK"/>
        <s v="EVQLVESGGGLVQPGGSLRLSCAASGFNISYSSIHWVRQAPGKGLEWVASISSYSGYTYYADSVKGRFTISADTSKNTAYLQMNSLRAEDTAVYYCARGGWYPWGCDALDYWGQGTLVTVSSGGGSGGGSGGGSGGGSGGGSDIQMTQSPSSLSASVGDRVTITCRASQDVDSAVAWYQQKPGKAPKLLIYFASFLYSGVPSRFSGSRSGTDFTLTISSLQPEDFATYYCQQHYDVPITFGQGTKVEIK"/>
        <s v="EVQLVESGGGLVQPGGSLRLSCAASGFNISYSSIHWVRQAPGKGLEWVASISSYSGYTYYADSVKGRFTISADTSKNTAYLQMNSLRAEDTAVYYCARGGDRPVGCYALDYWGQGTLVTVSSGGGSGGGSGGGSGGGSGGGSDIQMTQSPSSLSASVGDRVTITCRASQDVTSAVAWYQQKPGKAPKLLIYSASFRYSGVPSRFSGSRSGTDFTLTISSLQPEDFATYYCQQHYVVPVTFGQGTKVEIK"/>
        <s v="EVQLVESGGGLVQPGGSLRLSCAASGFNISYSSIHWVRQAPGKGLEWVASISSYSGYTYYADSVKGRFTISADTSKNTAYLQMNSLRAEDTAVYYCARGGWYPLGCYAMDYWGQGTLVTVSSGGGSGGGSGGGSGGGSGGGSDIQMTQSPSSLSASVGDRVTITCRASQDVLSDVAWYQQKPGKAPKLLIYYASFRYSGVPSRFSGSRSGTDFTLTISSLQPEDFATYYCQQHYVVPVTFGQGTKVEIK"/>
        <s v="EVQLVESGGGLVQPGGSLRLSCAASGFNISYSSIHWVRQAPGKGLEWVASISSYSGYTYYADSVKGRFTISADTSKNTAYLQMNSLRAEDTAVYYCARGGWRPFGCYALDYWGQGTLVTVSSGGGSGGGSGGGSGGGSGGGSDIQMTQSPSSLSASVGDRVTITCRASQDVFSAVAWYQQKPGKAPKLLIYSASFLYSGVPSRFSGSRSGTDFTLTISSLQPEDFATYYCQQHYIYPVTFGQGTKVEIK"/>
        <s v="EVQLVESGGGLVQPGGSLRLSCAASGFNISYSSIHWVRQAPGKGLEWVASISSYSGSTYYADSVKGRFTISADTSKNTAYLQMNSLRAEDTAVYYCARGGWYPWGNYALDYWGQGTLVTVSSGGGSGGGSGGGSGGGSGGGSDIQMTQSPSSLSASVGDRVTITCRASQDVNTAVAWYQQKPGKAPKLLIYEASFRYSGVPSRFSGSRSGTDFTLTISSLQPEDFATYYCQQHYEVPITFGQGTKVEIK"/>
        <s v="EVQLVESGGGLVQPGGSLRLSCAASGFNISYSSIHWVRQAPGKGLEWVASISSYSGSTYYADSVKGRFTISADTSKNTAYLQMNSLRAEDTAVYYCARGGSRPWGCYALDYWGQGTLVTVSSGGGSGGGSGGGSGGGSGGGSDIQMTQSPSSLSASVGDRVTITCRASQDVFTAVAWYQQKPGKAPKLLIYFASFLYSGVPSRFSGSRSGTDFTLTISSLQPEDFATYYCQQYSIVPVTFGQ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30T00:00:00" count="20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6T00:00:00"/>
        <d v="2025-11-28T00:00:00"/>
        <d v="2025-11-29T00:00:00"/>
        <d v="2025-11-23T00:00:00" u="1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0"/>
    <m/>
    <m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0"/>
    <m/>
    <m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0"/>
    <m/>
    <m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0"/>
    <m/>
    <m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0"/>
    <m/>
    <m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0"/>
    <m/>
    <m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0"/>
    <m/>
    <m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0"/>
    <m/>
    <m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0"/>
    <m/>
    <m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0"/>
    <m/>
    <m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0"/>
    <m/>
    <m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0"/>
    <m/>
    <m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0"/>
    <m/>
    <m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8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0"/>
    <m/>
    <m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8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0"/>
    <m/>
    <m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8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8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0"/>
    <m/>
    <m/>
    <x v="13"/>
  </r>
  <r>
    <x v="137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STAVAWYQQKPGKAPKLLIYYASDRYSGVPSRFSGSRSGTDFTLTISSLQPEDFATYYCQQHYNYPLTFGQGTKVEIK"/>
    <b v="1"/>
    <s v="GGGSGGGSGGGSGGGS"/>
    <x v="135"/>
    <n v="245"/>
    <b v="1"/>
    <b v="0"/>
    <b v="0"/>
    <m/>
    <m/>
    <x v="14"/>
  </r>
  <r>
    <x v="138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DDVAWYQQKPGKAPKLLIYRASDRYFGVPSRFSGSRSGTDFTLTISSLQPEDFATYYCQQYYSYPITFGQGTKVEIK"/>
    <b v="1"/>
    <s v="GGGSGGGSGGGSGGGS"/>
    <x v="136"/>
    <n v="245"/>
    <b v="1"/>
    <b v="0"/>
    <b v="0"/>
    <m/>
    <m/>
    <x v="14"/>
  </r>
  <r>
    <x v="139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FASDRYSGVPSRFSGSRSGTDFTLTISSLQPEDFATYYCQQHYYYPITFGQGTKVEIK"/>
    <b v="1"/>
    <s v="GGGSGGGSGGGSGGGS"/>
    <x v="137"/>
    <n v="245"/>
    <b v="1"/>
    <b v="0"/>
    <b v="0"/>
    <m/>
    <m/>
    <x v="14"/>
  </r>
  <r>
    <x v="140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SDAVAWYQQKPGKAPKLLIYYASDRYAGVPSRFSGSRSGTDFTLTISSLQPEDFATYYCQQYYSYPLTFGQGTKVEIK"/>
    <b v="1"/>
    <s v="GGGSGGGSGGGSGGGS"/>
    <x v="138"/>
    <n v="245"/>
    <b v="1"/>
    <b v="0"/>
    <b v="0"/>
    <m/>
    <m/>
    <x v="14"/>
  </r>
  <r>
    <x v="141"/>
    <s v="peleke-1 + AntiBMPNN"/>
    <x v="9"/>
    <n v="0.2"/>
    <s v="derivative"/>
    <s v="sbio-nipahgpg-120"/>
    <s v="nipah_gpG_compout"/>
    <m/>
    <s v="EVQLVESGGGLVQPGGSLRLSCAASGFNISSSSIHWVRQAPGKGLEWVASISSSSGSTYYADSVKGRFTISADTSKNTAYLQMNSLRAEDTAVYYCARGGDVPNGWYALDYWGQGTLVTVSS"/>
    <s v="DIQMTQSPSSLSASVGDRVTITCRASQSVYTAVAWYQQKPGKAPKLLIYRASDRYAGVPSRFSGSRSGTDFTLTISSLQPEDFATYYCQQYYYYPLTFGQGTKVEIK"/>
    <b v="1"/>
    <s v="GGGSGGGSGGGSGGGS"/>
    <x v="139"/>
    <n v="245"/>
    <b v="1"/>
    <b v="0"/>
    <b v="0"/>
    <m/>
    <m/>
    <x v="14"/>
  </r>
  <r>
    <x v="142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YYALDYWGQGTLVTVSS"/>
    <s v="DIQMTQSPSSLSASVGDRVTITCRASQSVNTAVAWYQQKPGKAPKLLIYSASDRYFGVPSRFSGSRSGTDFTLTISSLQPEDFATYYCQQHYSYPLTFGQGTKVEIK"/>
    <b v="1"/>
    <s v="GGGSGGGSGGGSGGGS"/>
    <x v="140"/>
    <n v="245"/>
    <b v="1"/>
    <b v="0"/>
    <b v="0"/>
    <m/>
    <m/>
    <x v="14"/>
  </r>
  <r>
    <x v="143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SASDRYSGVPSRFSGSRSGTDFTLTISSLQPEDFATYYCQQYASYPITFGQGTKVEIK"/>
    <b v="1"/>
    <s v="GGGSGGGSGGGSGGGS"/>
    <x v="141"/>
    <n v="245"/>
    <b v="1"/>
    <b v="0"/>
    <b v="0"/>
    <m/>
    <m/>
    <x v="14"/>
  </r>
  <r>
    <x v="144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IAVAWYQQKPGKAPKLLIYSASDRYFGVPSRFSGSRSGTDFTLTISSLQPEDFATYYCQQYYSYPLTFGQGTKVEIK"/>
    <b v="1"/>
    <s v="GGGSGGGSGGGSGGGS"/>
    <x v="142"/>
    <n v="245"/>
    <b v="1"/>
    <b v="0"/>
    <b v="0"/>
    <m/>
    <m/>
    <x v="14"/>
  </r>
  <r>
    <x v="145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YYAVAWYQQKPGKAPKLLIYRASDRYSGVPSRFSGSRSGTDFTLTISSLQPEDFATYYCQQYYSYPLTFGQGTKVEIK"/>
    <b v="1"/>
    <s v="GGGSGGGSGGGSGGGS"/>
    <x v="143"/>
    <n v="245"/>
    <b v="1"/>
    <b v="0"/>
    <b v="0"/>
    <m/>
    <m/>
    <x v="14"/>
  </r>
  <r>
    <x v="146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YTAVAWYQQKPGKAPKLLIYRASDRYFGVPSRFSGSRSGTDFTLTISSLQPEDFATYYCQQYYYYPLTFGQGTKVEIK"/>
    <b v="1"/>
    <s v="GGGSGGGSGGGSGGGS"/>
    <x v="144"/>
    <n v="245"/>
    <b v="1"/>
    <b v="0"/>
    <b v="0"/>
    <m/>
    <m/>
    <x v="14"/>
  </r>
  <r>
    <x v="147"/>
    <s v="peleke-1 + AntiBMPNN"/>
    <x v="9"/>
    <n v="0.4"/>
    <s v="derivative"/>
    <s v="sbio-nipahgpg-148"/>
    <s v="nipah_gpG_compout"/>
    <m/>
    <s v="EVQLVESGGGLVQPGGSLRLSCAASGFNISYSSIHWVRQAPGKGLEWVASISSYSGYTYYADSVKGRFTISADTSKNTAYLQMNSLRAEDTAVYYCARGGWRPIGSYALDYWGQGTLVTVSS"/>
    <s v="DIQMTQSPSSLSASVGDRVTITCRASQDVFSAVAWYQQKPGKAPKLLIYYASFLYSGVPSRFSGSRSGTDFTLTISSLQPEDFATYYCQQHSVVPITFGQGTKVEIK"/>
    <b v="1"/>
    <s v="GGGSGGGSGGGSGGGSGGGS"/>
    <x v="145"/>
    <n v="249"/>
    <b v="1"/>
    <b v="0"/>
    <b v="0"/>
    <m/>
    <m/>
    <x v="15"/>
  </r>
  <r>
    <x v="148"/>
    <s v="peleke-1 + AntiBMPNN"/>
    <x v="9"/>
    <n v="0.4"/>
    <s v="derivative"/>
    <s v="sbio-nipahgpg-148"/>
    <s v="nipah_gpG_compout"/>
    <m/>
    <s v="EVQLVESGGGLVQPGGSLRLSCAASGFNISYSSIHWVRQAPGKGLEWVASISSYSGSTYYADSVKGRFTISADTSKNTAYLQMNSLRAEDTAVYYCARGGYRPIGNYALDYWGQGTLVTVSS"/>
    <s v="DIQMTQSPSSLSASVGDRVTITCRASQDVDSAVAWYQQKPGKAPKLLIYYASFLYSGVPSRFSGSRSGTDFTLTISSLQPEDFATYYCQQHYVVPVTFGQGTKVEIK"/>
    <b v="1"/>
    <s v="GGGSGGGSGGGSGGGSGGGS"/>
    <x v="146"/>
    <n v="249"/>
    <b v="1"/>
    <b v="0"/>
    <b v="0"/>
    <m/>
    <m/>
    <x v="15"/>
  </r>
  <r>
    <x v="149"/>
    <s v="peleke-1 + AntiBMPNN"/>
    <x v="9"/>
    <n v="0.4"/>
    <s v="derivative"/>
    <s v="sbio-nipahgpg-148"/>
    <s v="nipah_gpG_compout"/>
    <m/>
    <s v="EVQLVESGGGLVQPGGSLRLSCAASGFNISYYSIHWVRQAPGKGLEWVASISSYSGYTYYADSVKGRFTISADTSKNTAYLQMNSLRAEDTAVYYCARGGDRPSGCYALDYWGQGTLVTVSS"/>
    <s v="DIQMTQSPSSLSASVGDRVTITCRASQDVFSAVAWYQQKPGKAPKLLIYFASFLYSGVPSRFSGSRSGTDFTLTISSLQPEDFATYYCQQHYEVPITFGQGTKVEIK"/>
    <b v="1"/>
    <s v="GGGSGGGSGGGSGGGSGGGS"/>
    <x v="147"/>
    <n v="249"/>
    <b v="1"/>
    <b v="0"/>
    <b v="0"/>
    <m/>
    <m/>
    <x v="15"/>
  </r>
  <r>
    <x v="150"/>
    <s v="peleke-1 + AntiBMPNN"/>
    <x v="9"/>
    <n v="0.4"/>
    <s v="derivative"/>
    <s v="sbio-nipahgpg-148"/>
    <s v="nipah_gpG_compout"/>
    <m/>
    <s v="EVQLVESGGGLVQPGGSLRLSCAASGFNISYSSIHWVRQAPGKGLEWVASISSYSGYTYYADSVKGRFTISADTSKNTAYLQMNSLRAEDTAVYYCARGGSLPTGCYALDYWGQGTLVTVSS"/>
    <s v="DIQMTQSPSSLSASVGDRVTITCRASQDVDSAVAWYQQKPGKAPKLLIYFASSLYSGVPSRFSGSRSGTDFTLTISSLQPEDFATYYCQQHYDAPITFGQGTKVEIK"/>
    <b v="1"/>
    <s v="GGGSGGGSGGGSGGGSGGGS"/>
    <x v="148"/>
    <n v="249"/>
    <b v="1"/>
    <b v="0"/>
    <b v="0"/>
    <m/>
    <m/>
    <x v="15"/>
  </r>
  <r>
    <x v="151"/>
    <s v="peleke-1 + AntiBMPNN"/>
    <x v="9"/>
    <n v="0.4"/>
    <s v="derivative"/>
    <s v="sbio-nipahgpg-148"/>
    <s v="nipah_gpG_compout"/>
    <m/>
    <s v="EVQLVESGGGLVQPGGSLRLSCAASGFNISYSSIHWVRQAPGKGLEWVASISSYSGYTYYADSVKGRFTISADTSKNTAYLQMNSLRAEDTAVYYCARGGWYPWGCDALDYWGQGTLVTVSS"/>
    <s v="DIQMTQSPSSLSASVGDRVTITCRASQDVDSAVAWYQQKPGKAPKLLIYFASFLYSGVPSRFSGSRSGTDFTLTISSLQPEDFATYYCQQHYDVPITFGQGTKVEIK"/>
    <b v="1"/>
    <s v="GGGSGGGSGGGSGGGSGGGS"/>
    <x v="149"/>
    <n v="249"/>
    <b v="1"/>
    <b v="0"/>
    <b v="0"/>
    <m/>
    <m/>
    <x v="15"/>
  </r>
  <r>
    <x v="152"/>
    <s v="peleke-1 + AntiBMPNN"/>
    <x v="9"/>
    <n v="0.4"/>
    <s v="derivative"/>
    <s v="sbio-nipahgpg-148"/>
    <s v="nipah_gpG_compout"/>
    <m/>
    <s v="EVQLVESGGGLVQPGGSLRLSCAASGFNISYSSIHWVRQAPGKGLEWVASISSYSGYTYYADSVKGRFTISADTSKNTAYLQMNSLRAEDTAVYYCARGGDRPVGCYALDYWGQGTLVTVSS"/>
    <s v="DIQMTQSPSSLSASVGDRVTITCRASQDVTSAVAWYQQKPGKAPKLLIYSASFRYSGVPSRFSGSRSGTDFTLTISSLQPEDFATYYCQQHYVVPVTFGQGTKVEIK"/>
    <b v="1"/>
    <s v="GGGSGGGSGGGSGGGSGGGS"/>
    <x v="150"/>
    <n v="249"/>
    <b v="1"/>
    <b v="0"/>
    <b v="0"/>
    <m/>
    <m/>
    <x v="15"/>
  </r>
  <r>
    <x v="153"/>
    <s v="peleke-1 + AntiBMPNN"/>
    <x v="9"/>
    <n v="0.4"/>
    <s v="derivative"/>
    <s v="sbio-nipahgpg-148"/>
    <s v="nipah_gpG_compout"/>
    <m/>
    <s v="EVQLVESGGGLVQPGGSLRLSCAASGFNISYSSIHWVRQAPGKGLEWVASISSYSGYTYYADSVKGRFTISADTSKNTAYLQMNSLRAEDTAVYYCARGGWYPLGCYAMDYWGQGTLVTVSS"/>
    <s v="DIQMTQSPSSLSASVGDRVTITCRASQDVLSDVAWYQQKPGKAPKLLIYYASFRYSGVPSRFSGSRSGTDFTLTISSLQPEDFATYYCQQHYVVPVTFGQGTKVEIK"/>
    <b v="1"/>
    <s v="GGGSGGGSGGGSGGGSGGGS"/>
    <x v="151"/>
    <n v="249"/>
    <b v="1"/>
    <b v="0"/>
    <b v="0"/>
    <m/>
    <m/>
    <x v="15"/>
  </r>
  <r>
    <x v="154"/>
    <s v="peleke-1 + AntiBMPNN"/>
    <x v="9"/>
    <n v="0.4"/>
    <s v="derivative"/>
    <s v="sbio-nipahgpg-148"/>
    <s v="nipah_gpG_compout"/>
    <m/>
    <s v="EVQLVESGGGLVQPGGSLRLSCAASGFNISYSSIHWVRQAPGKGLEWVASISSYSGYTYYADSVKGRFTISADTSKNTAYLQMNSLRAEDTAVYYCARGGWRPFGCYALDYWGQGTLVTVSS"/>
    <s v="DIQMTQSPSSLSASVGDRVTITCRASQDVFSAVAWYQQKPGKAPKLLIYSASFLYSGVPSRFSGSRSGTDFTLTISSLQPEDFATYYCQQHYIYPVTFGQGTKVEIK"/>
    <b v="1"/>
    <s v="GGGSGGGSGGGSGGGSGGGS"/>
    <x v="152"/>
    <n v="249"/>
    <b v="1"/>
    <b v="0"/>
    <b v="0"/>
    <m/>
    <m/>
    <x v="15"/>
  </r>
  <r>
    <x v="155"/>
    <s v="peleke-1 + AntiBMPNN"/>
    <x v="9"/>
    <n v="0.4"/>
    <s v="derivative"/>
    <s v="sbio-nipahgpg-148"/>
    <s v="nipah_gpG_compout"/>
    <m/>
    <s v="EVQLVESGGGLVQPGGSLRLSCAASGFNISYSSIHWVRQAPGKGLEWVASISSYSGSTYYADSVKGRFTISADTSKNTAYLQMNSLRAEDTAVYYCARGGWYPWGNYALDYWGQGTLVTVSS"/>
    <s v="DIQMTQSPSSLSASVGDRVTITCRASQDVNTAVAWYQQKPGKAPKLLIYEASFRYSGVPSRFSGSRSGTDFTLTISSLQPEDFATYYCQQHYEVPITFGQGTKVEIK"/>
    <b v="1"/>
    <s v="GGGSGGGSGGGSGGGSGGGS"/>
    <x v="153"/>
    <n v="249"/>
    <b v="1"/>
    <b v="0"/>
    <b v="0"/>
    <m/>
    <m/>
    <x v="15"/>
  </r>
  <r>
    <x v="156"/>
    <s v="peleke-1 + AntiBMPNN"/>
    <x v="9"/>
    <n v="0.4"/>
    <s v="derivative"/>
    <s v="sbio-nipahgpg-148"/>
    <s v="nipah_gpG_compout"/>
    <m/>
    <s v="EVQLVESGGGLVQPGGSLRLSCAASGFNISYSSIHWVRQAPGKGLEWVASISSYSGSTYYADSVKGRFTISADTSKNTAYLQMNSLRAEDTAVYYCARGGSRPWGCYALDYWGQGTLVTVSS"/>
    <s v="DIQMTQSPSSLSASVGDRVTITCRASQDVFTAVAWYQQKPGKAPKLLIYFASFLYSGVPSRFSGSRSGTDFTLTISSLQPEDFATYYCQQYSIVPVTFGQGTKVEIK"/>
    <b v="1"/>
    <s v="GGGSGGGSGGGSGGGSGGGS"/>
    <x v="154"/>
    <n v="249"/>
    <b v="1"/>
    <b v="0"/>
    <b v="0"/>
    <m/>
    <m/>
    <x v="15"/>
  </r>
  <r>
    <x v="157"/>
    <m/>
    <x v="10"/>
    <m/>
    <m/>
    <m/>
    <m/>
    <m/>
    <m/>
    <m/>
    <m/>
    <m/>
    <x v="15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2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5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0">
        <item h="1" x="8"/>
        <item h="1" x="0"/>
        <item h="1" x="1"/>
        <item h="1" x="2"/>
        <item h="1" x="3"/>
        <item h="1" x="4"/>
        <item h="1" x="5"/>
        <item h="1" m="1" x="19"/>
        <item h="1" x="6"/>
        <item h="1" m="1" x="18"/>
        <item h="1" x="7"/>
        <item h="1" x="9"/>
        <item h="1" x="10"/>
        <item h="1" x="11"/>
        <item h="1" m="1" x="17"/>
        <item h="1" x="12"/>
        <item h="1" m="1" x="16"/>
        <item h="1" x="13"/>
        <item h="1" x="14"/>
        <item x="15"/>
      </items>
    </pivotField>
  </pivotFields>
  <rowFields count="3">
    <field x="0"/>
    <field x="2"/>
    <field x="12"/>
  </rowFields>
  <rowItems count="10">
    <i>
      <x v="148"/>
      <x v="10"/>
      <x v="146"/>
    </i>
    <i>
      <x v="149"/>
      <x v="10"/>
      <x v="147"/>
    </i>
    <i>
      <x v="150"/>
      <x v="10"/>
      <x v="148"/>
    </i>
    <i>
      <x v="151"/>
      <x v="10"/>
      <x v="149"/>
    </i>
    <i>
      <x v="152"/>
      <x v="10"/>
      <x v="150"/>
    </i>
    <i>
      <x v="153"/>
      <x v="10"/>
      <x v="151"/>
    </i>
    <i>
      <x v="154"/>
      <x v="10"/>
      <x v="152"/>
    </i>
    <i>
      <x v="155"/>
      <x v="10"/>
      <x v="153"/>
    </i>
    <i>
      <x v="156"/>
      <x v="10"/>
      <x v="154"/>
    </i>
    <i>
      <x v="157"/>
      <x v="10"/>
      <x v="155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58"/>
  <sheetViews>
    <sheetView tabSelected="1" zoomScaleNormal="100" workbookViewId="0">
      <pane xSplit="1" ySplit="1" topLeftCell="B154" activePane="bottomRight" state="frozen"/>
      <selection pane="topRight" activeCell="B1" sqref="B1"/>
      <selection pane="bottomLeft" activeCell="A2" sqref="A2"/>
      <selection pane="bottomRight" activeCell="V150" sqref="V150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 t="shared" ref="M2:M33" si="0"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 t="shared" ref="N2:N33" si="1">LEN(M2)</f>
        <v>246</v>
      </c>
      <c r="O2" s="1" t="b">
        <f t="shared" ref="O2:O33" si="2"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si="0"/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 t="shared" si="1"/>
        <v>240</v>
      </c>
      <c r="O3" s="1" t="b">
        <f t="shared" si="2"/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0.25329299999999999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 t="shared" si="1"/>
        <v>239</v>
      </c>
      <c r="O4" s="1" t="b">
        <f t="shared" si="2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0.530196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 t="shared" si="1"/>
        <v>240</v>
      </c>
      <c r="O5" s="1" t="b">
        <f t="shared" si="2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0.233075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 t="shared" si="1"/>
        <v>238</v>
      </c>
      <c r="O6" s="1" t="b">
        <f t="shared" si="2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si="1"/>
        <v>247</v>
      </c>
      <c r="O7" s="1" t="b">
        <f t="shared" si="2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5.9117999999999997E-2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1"/>
        <v>246</v>
      </c>
      <c r="O8" s="1" t="b">
        <f t="shared" si="2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1"/>
        <v>246</v>
      </c>
      <c r="O9" s="1" t="b">
        <f t="shared" si="2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1"/>
        <v>246</v>
      </c>
      <c r="O10" s="1" t="b">
        <f t="shared" si="2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1"/>
        <v>246</v>
      </c>
      <c r="O11" s="1" t="b">
        <f t="shared" si="2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1"/>
        <v>247</v>
      </c>
      <c r="O12" s="1" t="b">
        <f t="shared" si="2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1"/>
        <v>246</v>
      </c>
      <c r="O13" s="1" t="b">
        <f t="shared" si="2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1"/>
        <v>246</v>
      </c>
      <c r="O14" s="1" t="b">
        <f t="shared" si="2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0.330536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1"/>
        <v>247</v>
      </c>
      <c r="O15" s="1" t="b">
        <f t="shared" si="2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1"/>
        <v>246</v>
      </c>
      <c r="O16" s="1" t="b">
        <f t="shared" si="2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5.1409999999999997E-3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1"/>
        <v>246</v>
      </c>
      <c r="O17" s="1" t="b">
        <f t="shared" si="2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1"/>
        <v>246</v>
      </c>
      <c r="O18" s="1" t="b">
        <f t="shared" si="2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1"/>
        <v>246</v>
      </c>
      <c r="O19" s="1" t="b">
        <f t="shared" si="2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0.10117900000000001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1"/>
        <v>246</v>
      </c>
      <c r="O20" s="1" t="b">
        <f t="shared" si="2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5.2560000000000003E-3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1"/>
        <v>246</v>
      </c>
      <c r="O21" s="1" t="b">
        <f t="shared" si="2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1"/>
        <v>246</v>
      </c>
      <c r="O22" s="1" t="b">
        <f t="shared" si="2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0.33924399999999999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1"/>
        <v>250</v>
      </c>
      <c r="O23" s="1" t="b">
        <f t="shared" si="2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1"/>
        <v>249</v>
      </c>
      <c r="O24" s="1" t="b">
        <f t="shared" si="2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5.3039999999999997E-3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1"/>
        <v>249</v>
      </c>
      <c r="O25" s="1" t="b">
        <f t="shared" si="2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3.4557999999999998E-2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1"/>
        <v>249</v>
      </c>
      <c r="O26" s="1" t="b">
        <f t="shared" si="2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0.177148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1"/>
        <v>249</v>
      </c>
      <c r="O27" s="1" t="b">
        <f t="shared" si="2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0.18701400000000001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1"/>
        <v>249</v>
      </c>
      <c r="O28" s="1" t="b">
        <f t="shared" si="2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1"/>
        <v>249</v>
      </c>
      <c r="O29" s="1" t="b">
        <f t="shared" si="2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1"/>
        <v>249</v>
      </c>
      <c r="O30" s="1" t="b">
        <f t="shared" si="2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1"/>
        <v>241</v>
      </c>
      <c r="O31" s="1" t="b">
        <f t="shared" si="2"/>
        <v>1</v>
      </c>
      <c r="P31" s="1" t="b">
        <v>0</v>
      </c>
      <c r="Q31" s="1" t="b">
        <v>0</v>
      </c>
      <c r="T31" s="10">
        <v>45971</v>
      </c>
      <c r="U31" s="2" t="s">
        <v>245</v>
      </c>
      <c r="V31" s="4">
        <v>5.6360000000000004E-3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1"/>
        <v>248</v>
      </c>
      <c r="O32" s="1" t="b">
        <f t="shared" si="2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4.999E-3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1"/>
        <v>242</v>
      </c>
      <c r="O33" s="1" t="b">
        <f t="shared" si="2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0.17957600000000001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ref="M34:M65" si="3"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ref="N34:N65" si="4">LEN(M34)</f>
        <v>240</v>
      </c>
      <c r="O34" s="1" t="b">
        <f t="shared" ref="O34:O65" si="5">IF(N34&lt;=250,TRUE,FALSE)</f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0.120976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3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4"/>
        <v>246</v>
      </c>
      <c r="O35" s="1" t="b">
        <f t="shared" si="5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0.44340800000000002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3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4"/>
        <v>244</v>
      </c>
      <c r="O36" s="1" t="b">
        <f t="shared" si="5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1.5703000000000002E-2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3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4"/>
        <v>247</v>
      </c>
      <c r="O37" s="1" t="b">
        <f t="shared" si="5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3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4"/>
        <v>237</v>
      </c>
      <c r="O38" s="1" t="b">
        <f t="shared" si="5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5.2269999999999999E-3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3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4"/>
        <v>238</v>
      </c>
      <c r="O39" s="1" t="b">
        <f t="shared" si="5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5.0480000000000004E-3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3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4"/>
        <v>248</v>
      </c>
      <c r="O40" s="1" t="b">
        <f t="shared" si="5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0.11568299999999999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3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4"/>
        <v>246</v>
      </c>
      <c r="O41" s="1" t="b">
        <f t="shared" si="5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0.152167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3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4"/>
        <v>241</v>
      </c>
      <c r="O42" s="1" t="b">
        <f t="shared" si="5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0.28608699999999998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3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4"/>
        <v>233</v>
      </c>
      <c r="O43" s="1" t="b">
        <f t="shared" si="5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0.35572100000000001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3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4"/>
        <v>234</v>
      </c>
      <c r="O44" s="1" t="b">
        <f t="shared" si="5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0.29531000000000002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3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4"/>
        <v>242</v>
      </c>
      <c r="O45" s="1" t="b">
        <f t="shared" si="5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0.27838000000000002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3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4"/>
        <v>247</v>
      </c>
      <c r="O46" s="1" t="b">
        <f t="shared" si="5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0.35131800000000002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3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4"/>
        <v>247</v>
      </c>
      <c r="O47" s="1" t="b">
        <f t="shared" si="5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7.9927999999999999E-2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3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4"/>
        <v>241</v>
      </c>
      <c r="O48" s="1" t="b">
        <f t="shared" si="5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4.8339999999999998E-3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3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4"/>
        <v>242</v>
      </c>
      <c r="O49" s="1" t="b">
        <f t="shared" si="5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0.51755099999999998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3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4"/>
        <v>245</v>
      </c>
      <c r="O50" s="1" t="b">
        <f t="shared" si="5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0.40934900000000002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3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4"/>
        <v>243</v>
      </c>
      <c r="O51" s="1" t="b">
        <f t="shared" si="5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0.46119900000000003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3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4"/>
        <v>241</v>
      </c>
      <c r="O52" s="1" t="b">
        <f t="shared" si="5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0.43406800000000001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3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4"/>
        <v>243</v>
      </c>
      <c r="O53" s="1" t="b">
        <f t="shared" si="5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4.9569999999999996E-3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3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4"/>
        <v>245</v>
      </c>
      <c r="O54" s="1" t="b">
        <f t="shared" si="5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0.63002499999999995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3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4"/>
        <v>240</v>
      </c>
      <c r="O55" s="1" t="b">
        <f t="shared" si="5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3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4"/>
        <v>245</v>
      </c>
      <c r="O56" s="1" t="b">
        <f t="shared" si="5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0.33044200000000001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3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4"/>
        <v>240</v>
      </c>
      <c r="O57" s="1" t="b">
        <f t="shared" si="5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3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4"/>
        <v>249</v>
      </c>
      <c r="O58" s="1" t="b">
        <f t="shared" si="5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0.49204199999999998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3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4"/>
        <v>240</v>
      </c>
      <c r="O59" s="1" t="b">
        <f t="shared" si="5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3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4"/>
        <v>242</v>
      </c>
      <c r="O60" s="1" t="b">
        <f t="shared" si="5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3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4"/>
        <v>242</v>
      </c>
      <c r="O61" s="1" t="b">
        <f t="shared" si="5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3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4"/>
        <v>240</v>
      </c>
      <c r="O62" s="1" t="b">
        <f t="shared" si="5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5.9379999999999997E-3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3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4"/>
        <v>243</v>
      </c>
      <c r="O63" s="1" t="b">
        <f t="shared" si="5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9.3369999999999998E-3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3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4"/>
        <v>238</v>
      </c>
      <c r="O64" s="1" t="b">
        <f t="shared" si="5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0.29275600000000002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3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4"/>
        <v>246</v>
      </c>
      <c r="O65" s="1" t="b">
        <f t="shared" si="5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0.112092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ref="M66:M97" si="6"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ref="N66:N97" si="7">LEN(M66)</f>
        <v>246</v>
      </c>
      <c r="O66" s="1" t="b">
        <f t="shared" ref="O66:O97" si="8">IF(N66&lt;=250,TRUE,FALSE)</f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0.498143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si="6"/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7"/>
        <v>235</v>
      </c>
      <c r="O67" s="1" t="b">
        <f t="shared" si="8"/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5.3290000000000004E-3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6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7"/>
        <v>241</v>
      </c>
      <c r="O68" s="1" t="b">
        <f t="shared" si="8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0.20996500000000001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6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7"/>
        <v>240</v>
      </c>
      <c r="O69" s="1" t="b">
        <f t="shared" si="8"/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0.293068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6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7"/>
        <v>239</v>
      </c>
      <c r="O70" s="1" t="b">
        <f t="shared" si="8"/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6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si="7"/>
        <v>249</v>
      </c>
      <c r="O71" s="1" t="b">
        <f t="shared" si="8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5.2950000000000002E-3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6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7"/>
        <v>241</v>
      </c>
      <c r="O72" s="1" t="b">
        <f t="shared" si="8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6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7"/>
        <v>240</v>
      </c>
      <c r="O73" s="1" t="b">
        <f t="shared" si="8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5.0549999999999996E-3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6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7"/>
        <v>242</v>
      </c>
      <c r="O74" s="1" t="b">
        <f t="shared" si="8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0.17583499999999999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6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7"/>
        <v>243</v>
      </c>
      <c r="O75" s="1" t="b">
        <f t="shared" si="8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6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7"/>
        <v>237</v>
      </c>
      <c r="O76" s="1" t="b">
        <f t="shared" si="8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5.666E-3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6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7"/>
        <v>237</v>
      </c>
      <c r="O77" s="1" t="b">
        <f t="shared" si="8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6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7"/>
        <v>247</v>
      </c>
      <c r="O78" s="1" t="b">
        <f t="shared" si="8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4.9170000000000004E-3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6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7"/>
        <v>243</v>
      </c>
      <c r="O79" s="1" t="b">
        <f t="shared" si="8"/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6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7"/>
        <v>240</v>
      </c>
      <c r="O80" s="1" t="b">
        <f t="shared" si="8"/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0.33998800000000001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6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7"/>
        <v>243</v>
      </c>
      <c r="O81" s="1" t="b">
        <f t="shared" si="8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0.204621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 t="shared" si="6"/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7"/>
        <v>240</v>
      </c>
      <c r="O82" s="1" t="b">
        <f t="shared" si="8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0.53450500000000001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 t="shared" si="6"/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7"/>
        <v>239</v>
      </c>
      <c r="O83" s="1" t="b">
        <f t="shared" si="8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5.4400000000000004E-3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 t="shared" si="6"/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si="7"/>
        <v>238</v>
      </c>
      <c r="O84" s="1" t="b">
        <f t="shared" si="8"/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 t="shared" si="6"/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7"/>
        <v>239</v>
      </c>
      <c r="O85" s="1" t="b">
        <f t="shared" si="8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 t="shared" si="6"/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si="7"/>
        <v>239</v>
      </c>
      <c r="O86" s="1" t="b">
        <f t="shared" si="8"/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si="6"/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si="7"/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6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7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9.7619999999999998E-3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6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7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6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7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0.218168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6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7"/>
        <v>243</v>
      </c>
      <c r="O91" s="1" t="b">
        <f t="shared" si="8"/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6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7"/>
        <v>241</v>
      </c>
      <c r="O92" s="1" t="b">
        <f t="shared" si="8"/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6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7"/>
        <v>244</v>
      </c>
      <c r="O93" s="1" t="b">
        <f t="shared" si="8"/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6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7"/>
        <v>241</v>
      </c>
      <c r="O94" s="1" t="b">
        <f t="shared" si="8"/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6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7"/>
        <v>242</v>
      </c>
      <c r="O95" s="1" t="b">
        <f t="shared" si="8"/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6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7"/>
        <v>241</v>
      </c>
      <c r="O96" s="1" t="b">
        <f t="shared" si="8"/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6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7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4.9849999999999998E-3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ref="M98:M129" si="9"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ref="N98:N129" si="10">LEN(M98)</f>
        <v>245</v>
      </c>
      <c r="O98" s="1" t="b">
        <f t="shared" ref="O98:O129" si="11">IF(N98&lt;=250,TRUE,FALSE)</f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0.12482500000000001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11"/>
        <v>1</v>
      </c>
      <c r="P99" s="1" t="b">
        <v>0</v>
      </c>
      <c r="Q99" s="1" t="b">
        <v>0</v>
      </c>
      <c r="T99" s="10">
        <v>45978</v>
      </c>
      <c r="U99" s="2" t="s">
        <v>492</v>
      </c>
      <c r="V99" s="4">
        <v>0.119756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11"/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11"/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11"/>
        <v>1</v>
      </c>
      <c r="P102" s="1" t="b">
        <v>0</v>
      </c>
      <c r="Q102" s="1" t="b">
        <v>0</v>
      </c>
      <c r="T102" s="10">
        <v>45978</v>
      </c>
      <c r="U102" s="2" t="s">
        <v>493</v>
      </c>
      <c r="V102" s="4">
        <v>0.25569399999999998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11"/>
        <v>1</v>
      </c>
      <c r="P103" s="1" t="b">
        <v>0</v>
      </c>
      <c r="Q103" s="1" t="b">
        <v>0</v>
      </c>
      <c r="T103" s="10">
        <v>45978</v>
      </c>
      <c r="U103" s="2" t="s">
        <v>514</v>
      </c>
      <c r="V103" s="4">
        <v>0.225609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11"/>
        <v>1</v>
      </c>
      <c r="P104" s="1" t="b">
        <v>0</v>
      </c>
      <c r="Q104" s="1" t="b">
        <v>0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11"/>
        <v>1</v>
      </c>
      <c r="P105" s="1" t="b">
        <v>0</v>
      </c>
      <c r="Q105" s="1" t="b">
        <v>0</v>
      </c>
      <c r="T105" s="10">
        <v>45978</v>
      </c>
      <c r="U105" s="2" t="s">
        <v>496</v>
      </c>
      <c r="V105" s="4">
        <v>5.1900000000000002E-3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11"/>
        <v>1</v>
      </c>
      <c r="P106" s="1" t="b">
        <v>0</v>
      </c>
      <c r="Q106" s="1" t="b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11"/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6.4222000000000001E-2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11"/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0.136903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11"/>
        <v>1</v>
      </c>
      <c r="P109" s="1" t="b">
        <v>0</v>
      </c>
      <c r="Q109" s="1" t="b">
        <v>0</v>
      </c>
      <c r="T109" s="10">
        <v>45978</v>
      </c>
      <c r="U109" s="2" t="s">
        <v>498</v>
      </c>
      <c r="V109" s="4">
        <v>5.313E-3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11"/>
        <v>1</v>
      </c>
      <c r="P110" s="1" t="b">
        <v>0</v>
      </c>
      <c r="Q110" s="1" t="b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11"/>
        <v>1</v>
      </c>
      <c r="P111" s="1" t="b">
        <v>0</v>
      </c>
      <c r="Q111" s="1" t="b">
        <v>0</v>
      </c>
      <c r="T111" s="10">
        <v>45978</v>
      </c>
      <c r="U111" s="2" t="s">
        <v>499</v>
      </c>
      <c r="V111" s="4">
        <v>0.274924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11"/>
        <v>1</v>
      </c>
      <c r="P112" s="1" t="b">
        <v>0</v>
      </c>
      <c r="Q112" s="1" t="b">
        <v>0</v>
      </c>
      <c r="T112" s="10">
        <v>45978</v>
      </c>
      <c r="U112" s="2" t="s">
        <v>500</v>
      </c>
      <c r="V112" s="4">
        <v>0.27380900000000002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11"/>
        <v>1</v>
      </c>
      <c r="P113" s="1" t="b">
        <v>0</v>
      </c>
      <c r="Q113" s="1" t="b">
        <v>0</v>
      </c>
      <c r="T113" s="10">
        <v>45979</v>
      </c>
      <c r="U113" s="2" t="s">
        <v>508</v>
      </c>
      <c r="V113" s="4">
        <v>0.61102100000000004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11"/>
        <v>1</v>
      </c>
      <c r="P114" s="1" t="b">
        <v>0</v>
      </c>
      <c r="Q114" s="1" t="b">
        <v>0</v>
      </c>
      <c r="T114" s="10">
        <v>45979</v>
      </c>
      <c r="U114" s="2" t="s">
        <v>510</v>
      </c>
      <c r="V114" s="4">
        <v>8.9335999999999999E-2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11"/>
        <v>1</v>
      </c>
      <c r="P115" s="1" t="b">
        <v>0</v>
      </c>
      <c r="Q115" s="1" t="b">
        <v>0</v>
      </c>
      <c r="T115" s="10">
        <v>45979</v>
      </c>
      <c r="U115" s="2" t="s">
        <v>511</v>
      </c>
      <c r="V115" s="4">
        <v>5.3220000000000003E-3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11"/>
        <v>1</v>
      </c>
      <c r="P116" s="1" t="b">
        <v>0</v>
      </c>
      <c r="Q116" s="1" t="b">
        <v>0</v>
      </c>
      <c r="T116" s="10">
        <v>45979</v>
      </c>
      <c r="U116" s="2" t="s">
        <v>509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9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0"/>
        <v>240</v>
      </c>
      <c r="O117" s="1" t="b">
        <f t="shared" si="11"/>
        <v>1</v>
      </c>
      <c r="P117" s="1" t="b">
        <v>0</v>
      </c>
      <c r="Q117" s="1" t="b">
        <v>0</v>
      </c>
      <c r="T117" s="10">
        <v>45979</v>
      </c>
      <c r="U117" s="2" t="s">
        <v>512</v>
      </c>
      <c r="V117" s="4">
        <v>0.1542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9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0"/>
        <v>247</v>
      </c>
      <c r="O118" s="1" t="b">
        <f t="shared" si="11"/>
        <v>1</v>
      </c>
      <c r="P118" s="1" t="b">
        <v>0</v>
      </c>
      <c r="Q118" s="1" t="b">
        <v>0</v>
      </c>
      <c r="T118" s="10">
        <v>45979</v>
      </c>
      <c r="U118" s="2" t="s">
        <v>513</v>
      </c>
      <c r="V118" s="4">
        <v>0</v>
      </c>
    </row>
    <row r="119" spans="1:22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si="9"/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si="10"/>
        <v>241</v>
      </c>
      <c r="O119" s="1" t="b">
        <f t="shared" si="11"/>
        <v>1</v>
      </c>
      <c r="P119" s="1" t="b">
        <v>0</v>
      </c>
      <c r="Q119" s="1" t="b">
        <v>0</v>
      </c>
      <c r="T119" s="10">
        <v>45983</v>
      </c>
      <c r="U119" s="2" t="s">
        <v>537</v>
      </c>
      <c r="V119" s="4">
        <v>0.69</v>
      </c>
    </row>
    <row r="120" spans="1:22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9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0"/>
        <v>241</v>
      </c>
      <c r="O120" s="1" t="b">
        <f t="shared" si="11"/>
        <v>1</v>
      </c>
      <c r="P120" s="1" t="b">
        <v>0</v>
      </c>
      <c r="Q120" s="1" t="b">
        <v>0</v>
      </c>
      <c r="T120" s="10">
        <v>45983</v>
      </c>
      <c r="U120" s="2" t="s">
        <v>538</v>
      </c>
      <c r="V120" s="4">
        <v>0</v>
      </c>
    </row>
    <row r="121" spans="1:22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9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0"/>
        <v>241</v>
      </c>
      <c r="O121" s="1" t="b">
        <f t="shared" si="11"/>
        <v>1</v>
      </c>
      <c r="P121" s="1" t="b">
        <v>0</v>
      </c>
      <c r="Q121" s="1" t="b">
        <v>0</v>
      </c>
      <c r="T121" s="10">
        <v>45983</v>
      </c>
      <c r="U121" s="2" t="s">
        <v>539</v>
      </c>
      <c r="V121" s="4">
        <v>0</v>
      </c>
    </row>
    <row r="122" spans="1:22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9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0"/>
        <v>241</v>
      </c>
      <c r="O122" s="1" t="b">
        <f t="shared" si="11"/>
        <v>1</v>
      </c>
      <c r="P122" s="1" t="b">
        <v>0</v>
      </c>
      <c r="Q122" s="1" t="b">
        <v>0</v>
      </c>
      <c r="T122" s="10">
        <v>45983</v>
      </c>
      <c r="U122" s="2" t="s">
        <v>542</v>
      </c>
      <c r="V122" s="4">
        <v>0.02</v>
      </c>
    </row>
    <row r="123" spans="1:22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9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0"/>
        <v>241</v>
      </c>
      <c r="O123" s="1" t="b">
        <f t="shared" si="11"/>
        <v>1</v>
      </c>
      <c r="P123" s="1" t="b">
        <v>0</v>
      </c>
      <c r="Q123" s="1" t="b">
        <v>0</v>
      </c>
      <c r="T123" s="10">
        <v>45983</v>
      </c>
      <c r="U123" s="2" t="s">
        <v>540</v>
      </c>
      <c r="V123" s="4">
        <v>0.01</v>
      </c>
    </row>
    <row r="124" spans="1:22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9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0"/>
        <v>241</v>
      </c>
      <c r="O124" s="1" t="b">
        <f t="shared" si="11"/>
        <v>1</v>
      </c>
      <c r="P124" s="1" t="b">
        <v>0</v>
      </c>
      <c r="Q124" s="1" t="b">
        <v>0</v>
      </c>
      <c r="T124" s="10">
        <v>45983</v>
      </c>
      <c r="U124" s="2" t="s">
        <v>541</v>
      </c>
      <c r="V124" s="4">
        <v>0.31</v>
      </c>
    </row>
    <row r="125" spans="1:22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9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0"/>
        <v>241</v>
      </c>
      <c r="O125" s="1" t="b">
        <f t="shared" si="11"/>
        <v>1</v>
      </c>
      <c r="P125" s="1" t="b">
        <v>0</v>
      </c>
      <c r="Q125" s="1" t="b">
        <v>0</v>
      </c>
      <c r="T125" s="10">
        <v>45983</v>
      </c>
      <c r="U125" s="2" t="s">
        <v>546</v>
      </c>
      <c r="V125" s="4">
        <v>0.01</v>
      </c>
    </row>
    <row r="126" spans="1:22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9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0"/>
        <v>241</v>
      </c>
      <c r="O126" s="1" t="b">
        <f t="shared" si="11"/>
        <v>1</v>
      </c>
      <c r="P126" s="1" t="b">
        <v>0</v>
      </c>
      <c r="Q126" s="1" t="b">
        <v>0</v>
      </c>
      <c r="T126" s="10">
        <v>45983</v>
      </c>
      <c r="U126" s="2" t="s">
        <v>543</v>
      </c>
      <c r="V126" s="4">
        <v>0.47</v>
      </c>
    </row>
    <row r="127" spans="1:22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9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0"/>
        <v>241</v>
      </c>
      <c r="O127" s="1" t="b">
        <f t="shared" si="11"/>
        <v>1</v>
      </c>
      <c r="P127" s="1" t="b">
        <v>0</v>
      </c>
      <c r="Q127" s="1" t="b">
        <v>0</v>
      </c>
      <c r="T127" s="10">
        <v>45983</v>
      </c>
      <c r="U127" s="2" t="s">
        <v>545</v>
      </c>
      <c r="V127" s="4">
        <v>0.01</v>
      </c>
    </row>
    <row r="128" spans="1:22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9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0"/>
        <v>241</v>
      </c>
      <c r="O128" s="1" t="b">
        <f t="shared" si="11"/>
        <v>1</v>
      </c>
      <c r="P128" s="1" t="b">
        <v>0</v>
      </c>
      <c r="Q128" s="1" t="b">
        <v>0</v>
      </c>
      <c r="T128" s="10">
        <v>45983</v>
      </c>
      <c r="U128" s="2" t="s">
        <v>544</v>
      </c>
      <c r="V128" s="4">
        <v>0</v>
      </c>
    </row>
    <row r="129" spans="1:22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si="9"/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si="10"/>
        <v>234</v>
      </c>
      <c r="O129" s="1" t="b">
        <f t="shared" si="11"/>
        <v>1</v>
      </c>
      <c r="P129" s="1" t="b">
        <v>0</v>
      </c>
      <c r="Q129" s="1" t="b">
        <v>0</v>
      </c>
      <c r="T129" s="10">
        <v>45987</v>
      </c>
      <c r="U129" s="2" t="s">
        <v>575</v>
      </c>
      <c r="V129" s="4">
        <v>0.36</v>
      </c>
    </row>
    <row r="130" spans="1:22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ref="M130:M161" si="12">_xlfn.CONCAT(I130,L130,J130)</f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ref="N130:N161" si="13">LEN(M130)</f>
        <v>234</v>
      </c>
      <c r="O130" s="1" t="b">
        <f t="shared" ref="O130:O161" si="14">IF(N130&lt;=250,TRUE,FALSE)</f>
        <v>1</v>
      </c>
      <c r="P130" s="1" t="b">
        <v>0</v>
      </c>
      <c r="Q130" s="1" t="b">
        <v>0</v>
      </c>
      <c r="T130" s="10">
        <v>45987</v>
      </c>
      <c r="U130" s="2" t="s">
        <v>574</v>
      </c>
      <c r="V130" s="4">
        <v>0.04</v>
      </c>
    </row>
    <row r="131" spans="1:22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12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3"/>
        <v>234</v>
      </c>
      <c r="O131" s="1" t="b">
        <f t="shared" si="14"/>
        <v>1</v>
      </c>
      <c r="P131" s="1" t="b">
        <v>0</v>
      </c>
      <c r="Q131" s="1" t="b">
        <v>0</v>
      </c>
      <c r="T131" s="10">
        <v>45987</v>
      </c>
      <c r="U131" s="2" t="s">
        <v>573</v>
      </c>
      <c r="V131" s="4">
        <v>0.4</v>
      </c>
    </row>
    <row r="132" spans="1:22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3"/>
        <v>234</v>
      </c>
      <c r="O132" s="1" t="b">
        <f t="shared" si="14"/>
        <v>1</v>
      </c>
      <c r="P132" s="1" t="b">
        <v>0</v>
      </c>
      <c r="Q132" s="1" t="b">
        <v>0</v>
      </c>
      <c r="T132" s="10"/>
      <c r="U132" s="11" t="s">
        <v>381</v>
      </c>
    </row>
    <row r="133" spans="1:22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12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3"/>
        <v>234</v>
      </c>
      <c r="O133" s="1" t="b">
        <f t="shared" si="14"/>
        <v>1</v>
      </c>
      <c r="P133" s="1" t="b">
        <v>0</v>
      </c>
      <c r="Q133" s="1" t="b">
        <v>0</v>
      </c>
      <c r="T133" s="10">
        <v>45987</v>
      </c>
      <c r="U133" s="2" t="s">
        <v>571</v>
      </c>
      <c r="V133" s="4">
        <v>0</v>
      </c>
    </row>
    <row r="134" spans="1:22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3"/>
        <v>234</v>
      </c>
      <c r="O134" s="1" t="b">
        <f t="shared" si="14"/>
        <v>1</v>
      </c>
      <c r="P134" s="1" t="b">
        <v>0</v>
      </c>
      <c r="Q134" s="1" t="b">
        <v>0</v>
      </c>
      <c r="T134" s="10"/>
      <c r="U134" s="11" t="s">
        <v>381</v>
      </c>
    </row>
    <row r="135" spans="1:22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12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3"/>
        <v>234</v>
      </c>
      <c r="O135" s="1" t="b">
        <f t="shared" si="14"/>
        <v>1</v>
      </c>
      <c r="P135" s="1" t="b">
        <v>0</v>
      </c>
      <c r="Q135" s="1" t="b">
        <v>0</v>
      </c>
      <c r="T135" s="10">
        <v>45987</v>
      </c>
      <c r="U135" s="2" t="s">
        <v>572</v>
      </c>
      <c r="V135" s="4">
        <v>0.01</v>
      </c>
    </row>
    <row r="136" spans="1:22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3"/>
        <v>234</v>
      </c>
      <c r="O136" s="1" t="b">
        <f t="shared" si="14"/>
        <v>1</v>
      </c>
      <c r="P136" s="1" t="b">
        <v>0</v>
      </c>
      <c r="Q136" s="1" t="b">
        <v>0</v>
      </c>
      <c r="T136" s="10"/>
      <c r="U136" s="11" t="s">
        <v>381</v>
      </c>
    </row>
    <row r="137" spans="1:22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3"/>
        <v>234</v>
      </c>
      <c r="O137" s="1" t="b">
        <f t="shared" si="14"/>
        <v>1</v>
      </c>
      <c r="P137" s="1" t="b">
        <v>0</v>
      </c>
      <c r="Q137" s="1" t="b">
        <v>0</v>
      </c>
      <c r="T137" s="10"/>
      <c r="U137" s="11" t="s">
        <v>381</v>
      </c>
    </row>
    <row r="138" spans="1:22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12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3"/>
        <v>234</v>
      </c>
      <c r="O138" s="1" t="b">
        <f t="shared" si="14"/>
        <v>1</v>
      </c>
      <c r="P138" s="1" t="b">
        <v>0</v>
      </c>
      <c r="Q138" s="1" t="b">
        <v>0</v>
      </c>
      <c r="T138" s="10">
        <v>45987</v>
      </c>
      <c r="U138" s="2" t="s">
        <v>570</v>
      </c>
      <c r="V138" s="4">
        <v>0</v>
      </c>
    </row>
    <row r="139" spans="1:22" ht="64" x14ac:dyDescent="0.2">
      <c r="A139" s="1" t="s">
        <v>576</v>
      </c>
      <c r="B139" s="1" t="s">
        <v>515</v>
      </c>
      <c r="C139" s="2" t="s">
        <v>526</v>
      </c>
      <c r="D139" s="4">
        <v>0.2</v>
      </c>
      <c r="E139" s="1" t="s">
        <v>49</v>
      </c>
      <c r="F139" s="1" t="s">
        <v>516</v>
      </c>
      <c r="G139" s="1" t="s">
        <v>258</v>
      </c>
      <c r="I139" s="2" t="s">
        <v>586</v>
      </c>
      <c r="J139" s="2" t="s">
        <v>587</v>
      </c>
      <c r="K139" s="1" t="b">
        <v>1</v>
      </c>
      <c r="L139" s="2" t="s">
        <v>125</v>
      </c>
      <c r="M139" s="2" t="str">
        <f t="shared" si="12"/>
        <v>EVQLVESGGGLVQPGGSLRLSCAASGFNISYSSIHWVRQAPGKGLEWVASISSYSGSTYYADSVKGRFTISADTSKNTAYLQMNSLRAEDTAVYYCARGGYVPVGWYALDYWGQGTLVTVSSGGGSGGGSGGGSGGGSDIQMTQSPSSLSASVGDRVTITCRASQSVSTAVAWYQQKPGKAPKLLIYYASDRYSGVPSRFSGSRSGTDFTLTISSLQPEDFATYYCQQHYNYPLTFGQGTKVEIK</v>
      </c>
      <c r="N139" s="4">
        <f t="shared" si="13"/>
        <v>245</v>
      </c>
      <c r="O139" s="1" t="b">
        <f t="shared" si="14"/>
        <v>1</v>
      </c>
      <c r="P139" s="1" t="b">
        <v>0</v>
      </c>
      <c r="Q139" s="1" t="b">
        <v>0</v>
      </c>
      <c r="T139" s="10">
        <v>45989</v>
      </c>
      <c r="U139" s="2" t="s">
        <v>602</v>
      </c>
      <c r="V139" s="4">
        <v>0.01</v>
      </c>
    </row>
    <row r="140" spans="1:22" ht="64" x14ac:dyDescent="0.2">
      <c r="A140" s="1" t="s">
        <v>577</v>
      </c>
      <c r="B140" s="1" t="s">
        <v>515</v>
      </c>
      <c r="C140" s="2" t="s">
        <v>526</v>
      </c>
      <c r="D140" s="4">
        <v>0.2</v>
      </c>
      <c r="E140" s="1" t="s">
        <v>49</v>
      </c>
      <c r="F140" s="1" t="s">
        <v>516</v>
      </c>
      <c r="G140" s="1" t="s">
        <v>258</v>
      </c>
      <c r="I140" s="2" t="s">
        <v>589</v>
      </c>
      <c r="J140" s="2" t="s">
        <v>588</v>
      </c>
      <c r="K140" s="1" t="b">
        <v>1</v>
      </c>
      <c r="L140" s="2" t="s">
        <v>125</v>
      </c>
      <c r="M140" s="2" t="str">
        <f t="shared" si="12"/>
        <v>EVQLVESGGGLVQPGGSLRLSCAASGFNISYSSIHWVRQAPGKGLEWVASISSYSGSTYYADSVKGRFTISADTSKNTAYLQMNSLRAEDTAVYYCARGGAVPVGWYALDYWGQGTLVTVSSGGGSGGGSGGGSGGGSDIQMTQSPSSLSASVGDRVTITCRASQSVSDDVAWYQQKPGKAPKLLIYRASDRYFGVPSRFSGSRSGTDFTLTISSLQPEDFATYYCQQYYSYPITFGQGTKVEIK</v>
      </c>
      <c r="N140" s="4">
        <f t="shared" si="13"/>
        <v>245</v>
      </c>
      <c r="O140" s="1" t="b">
        <f t="shared" si="14"/>
        <v>1</v>
      </c>
      <c r="P140" s="1" t="b">
        <v>0</v>
      </c>
      <c r="Q140" s="1" t="b">
        <v>0</v>
      </c>
      <c r="T140" s="10">
        <v>45989</v>
      </c>
      <c r="U140" s="2" t="s">
        <v>603</v>
      </c>
      <c r="V140" s="4">
        <v>0.01</v>
      </c>
    </row>
    <row r="141" spans="1:22" ht="64" x14ac:dyDescent="0.2">
      <c r="A141" s="1" t="s">
        <v>578</v>
      </c>
      <c r="B141" s="1" t="s">
        <v>515</v>
      </c>
      <c r="C141" s="2" t="s">
        <v>526</v>
      </c>
      <c r="D141" s="4">
        <v>0.2</v>
      </c>
      <c r="E141" s="1" t="s">
        <v>49</v>
      </c>
      <c r="F141" s="1" t="s">
        <v>516</v>
      </c>
      <c r="G141" s="1" t="s">
        <v>258</v>
      </c>
      <c r="I141" s="2" t="s">
        <v>590</v>
      </c>
      <c r="J141" s="2" t="s">
        <v>591</v>
      </c>
      <c r="K141" s="1" t="b">
        <v>1</v>
      </c>
      <c r="L141" s="2" t="s">
        <v>125</v>
      </c>
      <c r="M141" s="2" t="str">
        <f t="shared" si="12"/>
        <v>EVQLVESGGGLVQPGGSLRLSCAASGFNISYSSIHWVRQAPGKGLEWVASISSYSGSTYYADSVKGRFTISADTSKNTAYLQMNSLRAEDTAVYYCARGGDVPNGWYALDYWGQGTLVTVSSGGGSGGGSGGGSGGGSDIQMTQSPSSLSASVGDRVTITCRASQSVYTAVAWYQQKPGKAPKLLIYFASDRYSGVPSRFSGSRSGTDFTLTISSLQPEDFATYYCQQHYYYPITFGQGTKVEIK</v>
      </c>
      <c r="N141" s="4">
        <f t="shared" si="13"/>
        <v>245</v>
      </c>
      <c r="O141" s="1" t="b">
        <f t="shared" si="14"/>
        <v>1</v>
      </c>
      <c r="P141" s="1" t="b">
        <v>0</v>
      </c>
      <c r="Q141" s="1" t="b">
        <v>0</v>
      </c>
      <c r="T141" s="10">
        <v>45989</v>
      </c>
      <c r="U141" s="2" t="s">
        <v>606</v>
      </c>
      <c r="V141" s="4">
        <v>0.01</v>
      </c>
    </row>
    <row r="142" spans="1:22" ht="64" x14ac:dyDescent="0.2">
      <c r="A142" s="1" t="s">
        <v>579</v>
      </c>
      <c r="B142" s="1" t="s">
        <v>515</v>
      </c>
      <c r="C142" s="2" t="s">
        <v>526</v>
      </c>
      <c r="D142" s="4">
        <v>0.2</v>
      </c>
      <c r="E142" s="1" t="s">
        <v>49</v>
      </c>
      <c r="F142" s="1" t="s">
        <v>516</v>
      </c>
      <c r="G142" s="1" t="s">
        <v>258</v>
      </c>
      <c r="I142" s="2" t="s">
        <v>592</v>
      </c>
      <c r="J142" s="2" t="s">
        <v>593</v>
      </c>
      <c r="K142" s="1" t="b">
        <v>1</v>
      </c>
      <c r="L142" s="2" t="s">
        <v>125</v>
      </c>
      <c r="M142" s="2" t="str">
        <f t="shared" si="12"/>
        <v>EVQLVESGGGLVQPGGSLRLSCAASGFNISYSSIHWVRQAPGKGLEWVASISSYSGSTYYADSVKGRFTISADTSKNTAYLQMNSLRAEDTAVYYCARGGDVPVGWYALDYWGQGTLVTVSSGGGSGGGSGGGSGGGSDIQMTQSPSSLSASVGDRVTITCRASQSVSDAVAWYQQKPGKAPKLLIYYASDRYAGVPSRFSGSRSGTDFTLTISSLQPEDFATYYCQQYYSYPLTFGQGTKVEIK</v>
      </c>
      <c r="N142" s="4">
        <f t="shared" si="13"/>
        <v>245</v>
      </c>
      <c r="O142" s="1" t="b">
        <f t="shared" si="14"/>
        <v>1</v>
      </c>
      <c r="P142" s="1" t="b">
        <v>0</v>
      </c>
      <c r="Q142" s="1" t="b">
        <v>0</v>
      </c>
      <c r="T142" s="10">
        <v>45989</v>
      </c>
      <c r="U142" s="2" t="s">
        <v>605</v>
      </c>
      <c r="V142" s="4">
        <v>0.01</v>
      </c>
    </row>
    <row r="143" spans="1:22" ht="64" x14ac:dyDescent="0.2">
      <c r="A143" s="1" t="s">
        <v>580</v>
      </c>
      <c r="B143" s="1" t="s">
        <v>515</v>
      </c>
      <c r="C143" s="2" t="s">
        <v>526</v>
      </c>
      <c r="D143" s="4">
        <v>0.2</v>
      </c>
      <c r="E143" s="1" t="s">
        <v>49</v>
      </c>
      <c r="F143" s="1" t="s">
        <v>516</v>
      </c>
      <c r="G143" s="1" t="s">
        <v>258</v>
      </c>
      <c r="I143" s="2" t="s">
        <v>601</v>
      </c>
      <c r="J143" s="2" t="s">
        <v>594</v>
      </c>
      <c r="K143" s="1" t="b">
        <v>1</v>
      </c>
      <c r="L143" s="2" t="s">
        <v>125</v>
      </c>
      <c r="M143" s="2" t="str">
        <f t="shared" si="12"/>
        <v>EVQLVESGGGLVQPGGSLRLSCAASGFNISSSSIHWVRQAPGKGLEWVASISSSSGSTYYADSVKGRFTISADTSKNTAYLQMNSLRAEDTAVYYCARGGDVPNGWYALDYWGQGTLVTVSSGGGSGGGSGGGSGGGSDIQMTQSPSSLSASVGDRVTITCRASQSVYTAVAWYQQKPGKAPKLLIYRASDRYAGVPSRFSGSRSGTDFTLTISSLQPEDFATYYCQQYYYYPLTFGQGTKVEIK</v>
      </c>
      <c r="N143" s="4">
        <f t="shared" si="13"/>
        <v>245</v>
      </c>
      <c r="O143" s="1" t="b">
        <f t="shared" si="14"/>
        <v>1</v>
      </c>
      <c r="P143" s="1" t="b">
        <v>0</v>
      </c>
      <c r="Q143" s="1" t="b">
        <v>0</v>
      </c>
      <c r="T143" s="10">
        <v>45989</v>
      </c>
      <c r="U143" s="2" t="s">
        <v>604</v>
      </c>
      <c r="V143" s="4">
        <v>0.01</v>
      </c>
    </row>
    <row r="144" spans="1:22" ht="64" x14ac:dyDescent="0.2">
      <c r="A144" s="1" t="s">
        <v>581</v>
      </c>
      <c r="B144" s="1" t="s">
        <v>515</v>
      </c>
      <c r="C144" s="2" t="s">
        <v>526</v>
      </c>
      <c r="D144" s="4">
        <v>0.2</v>
      </c>
      <c r="E144" s="1" t="s">
        <v>49</v>
      </c>
      <c r="F144" s="1" t="s">
        <v>516</v>
      </c>
      <c r="G144" s="1" t="s">
        <v>258</v>
      </c>
      <c r="I144" s="2" t="s">
        <v>600</v>
      </c>
      <c r="J144" s="2" t="s">
        <v>595</v>
      </c>
      <c r="K144" s="1" t="b">
        <v>1</v>
      </c>
      <c r="L144" s="2" t="s">
        <v>125</v>
      </c>
      <c r="M144" s="2" t="str">
        <f t="shared" si="12"/>
        <v>EVQLVESGGGLVQPGGSLRLSCAASGFNISYSSIHWVRQAPGKGLEWVASISSYSGSTYYADSVKGRFTISADTSKNTAYLQMNSLRAEDTAVYYCARGGDVPVGYYALDYWGQGTLVTVSSGGGSGGGSGGGSGGGSDIQMTQSPSSLSASVGDRVTITCRASQSVNTAVAWYQQKPGKAPKLLIYSASDRYFGVPSRFSGSRSGTDFTLTISSLQPEDFATYYCQQHYSYPLTFGQGTKVEIK</v>
      </c>
      <c r="N144" s="4">
        <f t="shared" si="13"/>
        <v>245</v>
      </c>
      <c r="O144" s="1" t="b">
        <f t="shared" si="14"/>
        <v>1</v>
      </c>
      <c r="P144" s="1" t="b">
        <v>0</v>
      </c>
      <c r="Q144" s="1" t="b">
        <v>0</v>
      </c>
      <c r="T144" s="10">
        <v>45989</v>
      </c>
      <c r="U144" s="2" t="s">
        <v>607</v>
      </c>
      <c r="V144" s="4">
        <v>0.28000000000000003</v>
      </c>
    </row>
    <row r="145" spans="1:22" ht="64" x14ac:dyDescent="0.2">
      <c r="A145" s="1" t="s">
        <v>582</v>
      </c>
      <c r="B145" s="1" t="s">
        <v>515</v>
      </c>
      <c r="C145" s="2" t="s">
        <v>526</v>
      </c>
      <c r="D145" s="4">
        <v>0.2</v>
      </c>
      <c r="E145" s="1" t="s">
        <v>49</v>
      </c>
      <c r="F145" s="1" t="s">
        <v>516</v>
      </c>
      <c r="G145" s="1" t="s">
        <v>258</v>
      </c>
      <c r="I145" s="2" t="s">
        <v>590</v>
      </c>
      <c r="J145" s="2" t="s">
        <v>596</v>
      </c>
      <c r="K145" s="1" t="b">
        <v>1</v>
      </c>
      <c r="L145" s="2" t="s">
        <v>125</v>
      </c>
      <c r="M145" s="2" t="str">
        <f t="shared" si="12"/>
        <v>EVQLVESGGGLVQPGGSLRLSCAASGFNISYSSIHWVRQAPGKGLEWVASISSYSGSTYYADSVKGRFTISADTSKNTAYLQMNSLRAEDTAVYYCARGGDVPNGWYALDYWGQGTLVTVSSGGGSGGGSGGGSGGGSDIQMTQSPSSLSASVGDRVTITCRASQSVYTAVAWYQQKPGKAPKLLIYSASDRYSGVPSRFSGSRSGTDFTLTISSLQPEDFATYYCQQYASYPITFGQGTKVEIK</v>
      </c>
      <c r="N145" s="4">
        <f t="shared" si="13"/>
        <v>245</v>
      </c>
      <c r="O145" s="1" t="b">
        <f t="shared" si="14"/>
        <v>1</v>
      </c>
      <c r="P145" s="1" t="b">
        <v>0</v>
      </c>
      <c r="Q145" s="1" t="b">
        <v>0</v>
      </c>
      <c r="T145" s="10">
        <v>45989</v>
      </c>
      <c r="U145" s="2" t="s">
        <v>608</v>
      </c>
      <c r="V145" s="4">
        <v>0</v>
      </c>
    </row>
    <row r="146" spans="1:22" ht="64" x14ac:dyDescent="0.2">
      <c r="A146" s="1" t="s">
        <v>583</v>
      </c>
      <c r="B146" s="1" t="s">
        <v>515</v>
      </c>
      <c r="C146" s="2" t="s">
        <v>526</v>
      </c>
      <c r="D146" s="4">
        <v>0.2</v>
      </c>
      <c r="E146" s="1" t="s">
        <v>49</v>
      </c>
      <c r="F146" s="1" t="s">
        <v>516</v>
      </c>
      <c r="G146" s="1" t="s">
        <v>258</v>
      </c>
      <c r="I146" s="2" t="s">
        <v>589</v>
      </c>
      <c r="J146" s="2" t="s">
        <v>597</v>
      </c>
      <c r="K146" s="1" t="b">
        <v>1</v>
      </c>
      <c r="L146" s="2" t="s">
        <v>125</v>
      </c>
      <c r="M146" s="2" t="str">
        <f t="shared" si="12"/>
        <v>EVQLVESGGGLVQPGGSLRLSCAASGFNISYSSIHWVRQAPGKGLEWVASISSYSGSTYYADSVKGRFTISADTSKNTAYLQMNSLRAEDTAVYYCARGGAVPVGWYALDYWGQGTLVTVSSGGGSGGGSGGGSGGGSDIQMTQSPSSLSASVGDRVTITCRASQSVSIAVAWYQQKPGKAPKLLIYSASDRYFGVPSRFSGSRSGTDFTLTISSLQPEDFATYYCQQYYSYPLTFGQGTKVEIK</v>
      </c>
      <c r="N146" s="4">
        <f t="shared" si="13"/>
        <v>245</v>
      </c>
      <c r="O146" s="1" t="b">
        <f t="shared" si="14"/>
        <v>1</v>
      </c>
      <c r="P146" s="1" t="b">
        <v>0</v>
      </c>
      <c r="Q146" s="1" t="b">
        <v>0</v>
      </c>
      <c r="T146" s="10">
        <v>45989</v>
      </c>
      <c r="U146" s="2" t="s">
        <v>609</v>
      </c>
      <c r="V146" s="4">
        <v>0.01</v>
      </c>
    </row>
    <row r="147" spans="1:22" ht="64" x14ac:dyDescent="0.2">
      <c r="A147" s="1" t="s">
        <v>584</v>
      </c>
      <c r="B147" s="1" t="s">
        <v>515</v>
      </c>
      <c r="C147" s="2" t="s">
        <v>526</v>
      </c>
      <c r="D147" s="4">
        <v>0.2</v>
      </c>
      <c r="E147" s="1" t="s">
        <v>49</v>
      </c>
      <c r="F147" s="1" t="s">
        <v>516</v>
      </c>
      <c r="G147" s="1" t="s">
        <v>258</v>
      </c>
      <c r="I147" s="2" t="s">
        <v>592</v>
      </c>
      <c r="J147" s="2" t="s">
        <v>598</v>
      </c>
      <c r="K147" s="1" t="b">
        <v>1</v>
      </c>
      <c r="L147" s="2" t="s">
        <v>125</v>
      </c>
      <c r="M147" s="2" t="str">
        <f t="shared" si="12"/>
        <v>EVQLVESGGGLVQPGGSLRLSCAASGFNISYSSIHWVRQAPGKGLEWVASISSYSGSTYYADSVKGRFTISADTSKNTAYLQMNSLRAEDTAVYYCARGGDVPVGWYALDYWGQGTLVTVSSGGGSGGGSGGGSGGGSDIQMTQSPSSLSASVGDRVTITCRASQSVYYAVAWYQQKPGKAPKLLIYRASDRYSGVPSRFSGSRSGTDFTLTISSLQPEDFATYYCQQYYSYPLTFGQGTKVEIK</v>
      </c>
      <c r="N147" s="4">
        <f t="shared" si="13"/>
        <v>245</v>
      </c>
      <c r="O147" s="1" t="b">
        <f t="shared" si="14"/>
        <v>1</v>
      </c>
      <c r="P147" s="1" t="b">
        <v>0</v>
      </c>
      <c r="Q147" s="1" t="b">
        <v>0</v>
      </c>
      <c r="T147" s="10">
        <v>45989</v>
      </c>
      <c r="U147" s="2" t="s">
        <v>610</v>
      </c>
      <c r="V147" s="4">
        <v>0.71</v>
      </c>
    </row>
    <row r="148" spans="1:22" ht="64" x14ac:dyDescent="0.2">
      <c r="A148" s="1" t="s">
        <v>585</v>
      </c>
      <c r="B148" s="1" t="s">
        <v>515</v>
      </c>
      <c r="C148" s="2" t="s">
        <v>526</v>
      </c>
      <c r="D148" s="4">
        <v>0.2</v>
      </c>
      <c r="E148" s="1" t="s">
        <v>49</v>
      </c>
      <c r="F148" s="1" t="s">
        <v>516</v>
      </c>
      <c r="G148" s="1" t="s">
        <v>258</v>
      </c>
      <c r="I148" s="2" t="s">
        <v>586</v>
      </c>
      <c r="J148" s="2" t="s">
        <v>599</v>
      </c>
      <c r="K148" s="1" t="b">
        <v>1</v>
      </c>
      <c r="L148" s="2" t="s">
        <v>125</v>
      </c>
      <c r="M148" s="2" t="str">
        <f t="shared" si="12"/>
        <v>EVQLVESGGGLVQPGGSLRLSCAASGFNISYSSIHWVRQAPGKGLEWVASISSYSGSTYYADSVKGRFTISADTSKNTAYLQMNSLRAEDTAVYYCARGGYVPVGWYALDYWGQGTLVTVSSGGGSGGGSGGGSGGGSDIQMTQSPSSLSASVGDRVTITCRASQSVYTAVAWYQQKPGKAPKLLIYRASDRYFGVPSRFSGSRSGTDFTLTISSLQPEDFATYYCQQYYYYPLTFGQGTKVEIK</v>
      </c>
      <c r="N148" s="4">
        <f t="shared" si="13"/>
        <v>245</v>
      </c>
      <c r="O148" s="1" t="b">
        <f t="shared" si="14"/>
        <v>1</v>
      </c>
      <c r="P148" s="1" t="b">
        <v>0</v>
      </c>
      <c r="Q148" s="1" t="b">
        <v>0</v>
      </c>
      <c r="T148" s="10">
        <v>45989</v>
      </c>
      <c r="U148" s="2" t="s">
        <v>611</v>
      </c>
      <c r="V148" s="4">
        <v>0.51</v>
      </c>
    </row>
    <row r="149" spans="1:22" ht="64" x14ac:dyDescent="0.2">
      <c r="A149" s="1" t="s">
        <v>612</v>
      </c>
      <c r="B149" s="1" t="s">
        <v>515</v>
      </c>
      <c r="C149" s="2" t="s">
        <v>526</v>
      </c>
      <c r="D149" s="4">
        <v>0.4</v>
      </c>
      <c r="E149" s="1" t="s">
        <v>49</v>
      </c>
      <c r="F149" s="1" t="s">
        <v>584</v>
      </c>
      <c r="G149" s="1" t="s">
        <v>258</v>
      </c>
      <c r="I149" s="2" t="s">
        <v>622</v>
      </c>
      <c r="J149" s="2" t="s">
        <v>637</v>
      </c>
      <c r="K149" s="1" t="b">
        <v>1</v>
      </c>
      <c r="L149" s="2" t="s">
        <v>642</v>
      </c>
      <c r="M149" s="2" t="str">
        <f t="shared" si="12"/>
        <v>EVQLVESGGGLVQPGGSLRLSCAASGFNISYSSIHWVRQAPGKGLEWVASISSYSGYTYYADSVKGRFTISADTSKNTAYLQMNSLRAEDTAVYYCARGGWRPIGSYALDYWGQGTLVTVSSGGGSGGGSGGGSGGGSGGGSDIQMTQSPSSLSASVGDRVTITCRASQDVFSAVAWYQQKPGKAPKLLIYYASFLYSGVPSRFSGSRSGTDFTLTISSLQPEDFATYYCQQHSVVPITFGQGTKVEIK</v>
      </c>
      <c r="N149" s="4">
        <f t="shared" si="13"/>
        <v>249</v>
      </c>
      <c r="O149" s="1" t="b">
        <f t="shared" si="14"/>
        <v>1</v>
      </c>
      <c r="P149" s="1" t="b">
        <v>0</v>
      </c>
      <c r="Q149" s="1" t="b">
        <v>0</v>
      </c>
      <c r="T149" s="10">
        <v>45990</v>
      </c>
    </row>
    <row r="150" spans="1:22" ht="64" x14ac:dyDescent="0.2">
      <c r="A150" s="1" t="s">
        <v>613</v>
      </c>
      <c r="B150" s="1" t="s">
        <v>515</v>
      </c>
      <c r="C150" s="2" t="s">
        <v>526</v>
      </c>
      <c r="D150" s="4">
        <v>0.4</v>
      </c>
      <c r="E150" s="1" t="s">
        <v>49</v>
      </c>
      <c r="F150" s="1" t="s">
        <v>584</v>
      </c>
      <c r="G150" s="1" t="s">
        <v>258</v>
      </c>
      <c r="I150" s="2" t="s">
        <v>623</v>
      </c>
      <c r="J150" s="2" t="s">
        <v>639</v>
      </c>
      <c r="K150" s="1" t="b">
        <v>1</v>
      </c>
      <c r="L150" s="2" t="s">
        <v>642</v>
      </c>
      <c r="M150" s="2" t="str">
        <f t="shared" si="12"/>
        <v>EVQLVESGGGLVQPGGSLRLSCAASGFNISYSSIHWVRQAPGKGLEWVASISSYSGSTYYADSVKGRFTISADTSKNTAYLQMNSLRAEDTAVYYCARGGYRPIGNYALDYWGQGTLVTVSSGGGSGGGSGGGSGGGSGGGSDIQMTQSPSSLSASVGDRVTITCRASQDVDSAVAWYQQKPGKAPKLLIYYASFLYSGVPSRFSGSRSGTDFTLTISSLQPEDFATYYCQQHYVVPVTFGQGTKVEIK</v>
      </c>
      <c r="N150" s="4">
        <f t="shared" si="13"/>
        <v>249</v>
      </c>
      <c r="O150" s="1" t="b">
        <f t="shared" si="14"/>
        <v>1</v>
      </c>
      <c r="P150" s="1" t="b">
        <v>0</v>
      </c>
      <c r="Q150" s="1" t="b">
        <v>0</v>
      </c>
      <c r="T150" s="10">
        <v>45990</v>
      </c>
    </row>
    <row r="151" spans="1:22" ht="64" x14ac:dyDescent="0.2">
      <c r="A151" s="1" t="s">
        <v>614</v>
      </c>
      <c r="B151" s="1" t="s">
        <v>515</v>
      </c>
      <c r="C151" s="2" t="s">
        <v>526</v>
      </c>
      <c r="D151" s="4">
        <v>0.4</v>
      </c>
      <c r="E151" s="1" t="s">
        <v>49</v>
      </c>
      <c r="F151" s="1" t="s">
        <v>584</v>
      </c>
      <c r="G151" s="1" t="s">
        <v>258</v>
      </c>
      <c r="I151" s="2" t="s">
        <v>624</v>
      </c>
      <c r="J151" s="2" t="s">
        <v>638</v>
      </c>
      <c r="K151" s="1" t="b">
        <v>1</v>
      </c>
      <c r="L151" s="2" t="s">
        <v>642</v>
      </c>
      <c r="M151" s="2" t="str">
        <f t="shared" si="12"/>
        <v>EVQLVESGGGLVQPGGSLRLSCAASGFNISYYSIHWVRQAPGKGLEWVASISSYSGYTYYADSVKGRFTISADTSKNTAYLQMNSLRAEDTAVYYCARGGDRPSGCYALDYWGQGTLVTVSSGGGSGGGSGGGSGGGSGGGSDIQMTQSPSSLSASVGDRVTITCRASQDVFSAVAWYQQKPGKAPKLLIYFASFLYSGVPSRFSGSRSGTDFTLTISSLQPEDFATYYCQQHYEVPITFGQGTKVEIK</v>
      </c>
      <c r="N151" s="4">
        <f t="shared" si="13"/>
        <v>249</v>
      </c>
      <c r="O151" s="1" t="b">
        <f t="shared" si="14"/>
        <v>1</v>
      </c>
      <c r="P151" s="1" t="b">
        <v>0</v>
      </c>
      <c r="Q151" s="1" t="b">
        <v>0</v>
      </c>
      <c r="T151" s="10">
        <v>45990</v>
      </c>
    </row>
    <row r="152" spans="1:22" ht="64" x14ac:dyDescent="0.2">
      <c r="A152" s="1" t="s">
        <v>615</v>
      </c>
      <c r="B152" s="1" t="s">
        <v>515</v>
      </c>
      <c r="C152" s="2" t="s">
        <v>526</v>
      </c>
      <c r="D152" s="4">
        <v>0.4</v>
      </c>
      <c r="E152" s="1" t="s">
        <v>49</v>
      </c>
      <c r="F152" s="1" t="s">
        <v>584</v>
      </c>
      <c r="G152" s="1" t="s">
        <v>258</v>
      </c>
      <c r="I152" s="2" t="s">
        <v>625</v>
      </c>
      <c r="J152" s="2" t="s">
        <v>640</v>
      </c>
      <c r="K152" s="1" t="b">
        <v>1</v>
      </c>
      <c r="L152" s="2" t="s">
        <v>642</v>
      </c>
      <c r="M152" s="2" t="str">
        <f t="shared" si="12"/>
        <v>EVQLVESGGGLVQPGGSLRLSCAASGFNISYSSIHWVRQAPGKGLEWVASISSYSGYTYYADSVKGRFTISADTSKNTAYLQMNSLRAEDTAVYYCARGGSLPTGCYALDYWGQGTLVTVSSGGGSGGGSGGGSGGGSGGGSDIQMTQSPSSLSASVGDRVTITCRASQDVDSAVAWYQQKPGKAPKLLIYFASSLYSGVPSRFSGSRSGTDFTLTISSLQPEDFATYYCQQHYDAPITFGQGTKVEIK</v>
      </c>
      <c r="N152" s="4">
        <f t="shared" si="13"/>
        <v>249</v>
      </c>
      <c r="O152" s="1" t="b">
        <f t="shared" si="14"/>
        <v>1</v>
      </c>
      <c r="P152" s="1" t="b">
        <v>0</v>
      </c>
      <c r="Q152" s="1" t="b">
        <v>0</v>
      </c>
      <c r="T152" s="10">
        <v>45990</v>
      </c>
    </row>
    <row r="153" spans="1:22" ht="64" x14ac:dyDescent="0.2">
      <c r="A153" s="1" t="s">
        <v>616</v>
      </c>
      <c r="B153" s="1" t="s">
        <v>515</v>
      </c>
      <c r="C153" s="2" t="s">
        <v>526</v>
      </c>
      <c r="D153" s="4">
        <v>0.4</v>
      </c>
      <c r="E153" s="1" t="s">
        <v>49</v>
      </c>
      <c r="F153" s="1" t="s">
        <v>584</v>
      </c>
      <c r="G153" s="1" t="s">
        <v>258</v>
      </c>
      <c r="I153" s="2" t="s">
        <v>626</v>
      </c>
      <c r="J153" s="2" t="s">
        <v>641</v>
      </c>
      <c r="K153" s="1" t="b">
        <v>1</v>
      </c>
      <c r="L153" s="2" t="s">
        <v>642</v>
      </c>
      <c r="M153" s="2" t="str">
        <f t="shared" si="12"/>
        <v>EVQLVESGGGLVQPGGSLRLSCAASGFNISYSSIHWVRQAPGKGLEWVASISSYSGYTYYADSVKGRFTISADTSKNTAYLQMNSLRAEDTAVYYCARGGWYPWGCDALDYWGQGTLVTVSSGGGSGGGSGGGSGGGSGGGSDIQMTQSPSSLSASVGDRVTITCRASQDVDSAVAWYQQKPGKAPKLLIYFASFLYSGVPSRFSGSRSGTDFTLTISSLQPEDFATYYCQQHYDVPITFGQGTKVEIK</v>
      </c>
      <c r="N153" s="4">
        <f t="shared" si="13"/>
        <v>249</v>
      </c>
      <c r="O153" s="1" t="b">
        <f t="shared" si="14"/>
        <v>1</v>
      </c>
      <c r="P153" s="1" t="b">
        <v>0</v>
      </c>
      <c r="Q153" s="1" t="b">
        <v>0</v>
      </c>
      <c r="T153" s="10">
        <v>45990</v>
      </c>
    </row>
    <row r="154" spans="1:22" ht="64" x14ac:dyDescent="0.2">
      <c r="A154" s="1" t="s">
        <v>617</v>
      </c>
      <c r="B154" s="1" t="s">
        <v>515</v>
      </c>
      <c r="C154" s="2" t="s">
        <v>526</v>
      </c>
      <c r="D154" s="4">
        <v>0.4</v>
      </c>
      <c r="E154" s="1" t="s">
        <v>49</v>
      </c>
      <c r="F154" s="1" t="s">
        <v>584</v>
      </c>
      <c r="G154" s="1" t="s">
        <v>258</v>
      </c>
      <c r="I154" s="2" t="s">
        <v>631</v>
      </c>
      <c r="J154" s="2" t="s">
        <v>636</v>
      </c>
      <c r="K154" s="1" t="b">
        <v>1</v>
      </c>
      <c r="L154" s="2" t="s">
        <v>642</v>
      </c>
      <c r="M154" s="2" t="str">
        <f t="shared" si="12"/>
        <v>EVQLVESGGGLVQPGGSLRLSCAASGFNISYSSIHWVRQAPGKGLEWVASISSYSGYTYYADSVKGRFTISADTSKNTAYLQMNSLRAEDTAVYYCARGGDRPVGCYALDYWGQGTLVTVSSGGGSGGGSGGGSGGGSGGGSDIQMTQSPSSLSASVGDRVTITCRASQDVTSAVAWYQQKPGKAPKLLIYSASFRYSGVPSRFSGSRSGTDFTLTISSLQPEDFATYYCQQHYVVPVTFGQGTKVEIK</v>
      </c>
      <c r="N154" s="4">
        <f t="shared" si="13"/>
        <v>249</v>
      </c>
      <c r="O154" s="1" t="b">
        <f t="shared" si="14"/>
        <v>1</v>
      </c>
      <c r="P154" s="1" t="b">
        <v>0</v>
      </c>
      <c r="Q154" s="1" t="b">
        <v>0</v>
      </c>
      <c r="T154" s="10">
        <v>45990</v>
      </c>
    </row>
    <row r="155" spans="1:22" ht="64" x14ac:dyDescent="0.2">
      <c r="A155" s="1" t="s">
        <v>618</v>
      </c>
      <c r="B155" s="1" t="s">
        <v>515</v>
      </c>
      <c r="C155" s="2" t="s">
        <v>526</v>
      </c>
      <c r="D155" s="4">
        <v>0.4</v>
      </c>
      <c r="E155" s="1" t="s">
        <v>49</v>
      </c>
      <c r="F155" s="1" t="s">
        <v>584</v>
      </c>
      <c r="G155" s="1" t="s">
        <v>258</v>
      </c>
      <c r="I155" s="2" t="s">
        <v>630</v>
      </c>
      <c r="J155" s="2" t="s">
        <v>635</v>
      </c>
      <c r="K155" s="1" t="b">
        <v>1</v>
      </c>
      <c r="L155" s="2" t="s">
        <v>642</v>
      </c>
      <c r="M155" s="2" t="str">
        <f t="shared" si="12"/>
        <v>EVQLVESGGGLVQPGGSLRLSCAASGFNISYSSIHWVRQAPGKGLEWVASISSYSGYTYYADSVKGRFTISADTSKNTAYLQMNSLRAEDTAVYYCARGGWYPLGCYAMDYWGQGTLVTVSSGGGSGGGSGGGSGGGSGGGSDIQMTQSPSSLSASVGDRVTITCRASQDVLSDVAWYQQKPGKAPKLLIYYASFRYSGVPSRFSGSRSGTDFTLTISSLQPEDFATYYCQQHYVVPVTFGQGTKVEIK</v>
      </c>
      <c r="N155" s="4">
        <f t="shared" si="13"/>
        <v>249</v>
      </c>
      <c r="O155" s="1" t="b">
        <f t="shared" si="14"/>
        <v>1</v>
      </c>
      <c r="P155" s="1" t="b">
        <v>0</v>
      </c>
      <c r="Q155" s="1" t="b">
        <v>0</v>
      </c>
      <c r="T155" s="10">
        <v>45990</v>
      </c>
    </row>
    <row r="156" spans="1:22" ht="64" x14ac:dyDescent="0.2">
      <c r="A156" s="1" t="s">
        <v>619</v>
      </c>
      <c r="B156" s="1" t="s">
        <v>515</v>
      </c>
      <c r="C156" s="2" t="s">
        <v>526</v>
      </c>
      <c r="D156" s="4">
        <v>0.4</v>
      </c>
      <c r="E156" s="1" t="s">
        <v>49</v>
      </c>
      <c r="F156" s="1" t="s">
        <v>584</v>
      </c>
      <c r="G156" s="1" t="s">
        <v>258</v>
      </c>
      <c r="I156" s="2" t="s">
        <v>629</v>
      </c>
      <c r="J156" s="2" t="s">
        <v>634</v>
      </c>
      <c r="K156" s="1" t="b">
        <v>1</v>
      </c>
      <c r="L156" s="2" t="s">
        <v>642</v>
      </c>
      <c r="M156" s="2" t="str">
        <f t="shared" si="12"/>
        <v>EVQLVESGGGLVQPGGSLRLSCAASGFNISYSSIHWVRQAPGKGLEWVASISSYSGYTYYADSVKGRFTISADTSKNTAYLQMNSLRAEDTAVYYCARGGWRPFGCYALDYWGQGTLVTVSSGGGSGGGSGGGSGGGSGGGSDIQMTQSPSSLSASVGDRVTITCRASQDVFSAVAWYQQKPGKAPKLLIYSASFLYSGVPSRFSGSRSGTDFTLTISSLQPEDFATYYCQQHYIYPVTFGQGTKVEIK</v>
      </c>
      <c r="N156" s="4">
        <f t="shared" si="13"/>
        <v>249</v>
      </c>
      <c r="O156" s="1" t="b">
        <f t="shared" si="14"/>
        <v>1</v>
      </c>
      <c r="P156" s="1" t="b">
        <v>0</v>
      </c>
      <c r="Q156" s="1" t="b">
        <v>0</v>
      </c>
      <c r="T156" s="10">
        <v>45990</v>
      </c>
    </row>
    <row r="157" spans="1:22" ht="64" x14ac:dyDescent="0.2">
      <c r="A157" s="1" t="s">
        <v>620</v>
      </c>
      <c r="B157" s="1" t="s">
        <v>515</v>
      </c>
      <c r="C157" s="2" t="s">
        <v>526</v>
      </c>
      <c r="D157" s="4">
        <v>0.4</v>
      </c>
      <c r="E157" s="1" t="s">
        <v>49</v>
      </c>
      <c r="F157" s="1" t="s">
        <v>584</v>
      </c>
      <c r="G157" s="1" t="s">
        <v>258</v>
      </c>
      <c r="I157" s="2" t="s">
        <v>628</v>
      </c>
      <c r="J157" s="2" t="s">
        <v>633</v>
      </c>
      <c r="K157" s="1" t="b">
        <v>1</v>
      </c>
      <c r="L157" s="2" t="s">
        <v>642</v>
      </c>
      <c r="M157" s="2" t="str">
        <f t="shared" si="12"/>
        <v>EVQLVESGGGLVQPGGSLRLSCAASGFNISYSSIHWVRQAPGKGLEWVASISSYSGSTYYADSVKGRFTISADTSKNTAYLQMNSLRAEDTAVYYCARGGWYPWGNYALDYWGQGTLVTVSSGGGSGGGSGGGSGGGSGGGSDIQMTQSPSSLSASVGDRVTITCRASQDVNTAVAWYQQKPGKAPKLLIYEASFRYSGVPSRFSGSRSGTDFTLTISSLQPEDFATYYCQQHYEVPITFGQGTKVEIK</v>
      </c>
      <c r="N157" s="4">
        <f t="shared" si="13"/>
        <v>249</v>
      </c>
      <c r="O157" s="1" t="b">
        <f t="shared" si="14"/>
        <v>1</v>
      </c>
      <c r="P157" s="1" t="b">
        <v>0</v>
      </c>
      <c r="Q157" s="1" t="b">
        <v>0</v>
      </c>
      <c r="T157" s="10">
        <v>45990</v>
      </c>
    </row>
    <row r="158" spans="1:22" ht="64" x14ac:dyDescent="0.2">
      <c r="A158" s="1" t="s">
        <v>621</v>
      </c>
      <c r="B158" s="1" t="s">
        <v>515</v>
      </c>
      <c r="C158" s="2" t="s">
        <v>526</v>
      </c>
      <c r="D158" s="4">
        <v>0.4</v>
      </c>
      <c r="E158" s="1" t="s">
        <v>49</v>
      </c>
      <c r="F158" s="1" t="s">
        <v>584</v>
      </c>
      <c r="G158" s="1" t="s">
        <v>258</v>
      </c>
      <c r="I158" s="2" t="s">
        <v>627</v>
      </c>
      <c r="J158" s="2" t="s">
        <v>632</v>
      </c>
      <c r="K158" s="1" t="b">
        <v>1</v>
      </c>
      <c r="L158" s="2" t="s">
        <v>642</v>
      </c>
      <c r="M158" s="2" t="str">
        <f t="shared" si="12"/>
        <v>EVQLVESGGGLVQPGGSLRLSCAASGFNISYSSIHWVRQAPGKGLEWVASISSYSGSTYYADSVKGRFTISADTSKNTAYLQMNSLRAEDTAVYYCARGGSRPWGCYALDYWGQGTLVTVSSGGGSGGGSGGGSGGGSGGGSDIQMTQSPSSLSASVGDRVTITCRASQDVFTAVAWYQQKPGKAPKLLIYFASFLYSGVPSRFSGSRSGTDFTLTISSLQPEDFATYYCQQYSIVPVTFGQGTKVEIK</v>
      </c>
      <c r="N158" s="4">
        <f t="shared" si="13"/>
        <v>249</v>
      </c>
      <c r="O158" s="1" t="b">
        <f t="shared" si="14"/>
        <v>1</v>
      </c>
      <c r="P158" s="1" t="b">
        <v>0</v>
      </c>
      <c r="Q158" s="1" t="b">
        <v>0</v>
      </c>
      <c r="T158" s="10">
        <v>45990</v>
      </c>
    </row>
  </sheetData>
  <autoFilter ref="A1:V138" xr:uid="{00000000-0001-0000-0100-000000000000}"/>
  <phoneticPr fontId="1" type="noConversion"/>
  <conditionalFormatting sqref="K1:L1048576">
    <cfRule type="cellIs" dxfId="24" priority="20" operator="equal">
      <formula>TRUE</formula>
    </cfRule>
    <cfRule type="cellIs" dxfId="23" priority="21" operator="equal">
      <formula>FALSE</formula>
    </cfRule>
    <cfRule type="containsBlanks" dxfId="22" priority="21">
      <formula>LEN(TRIM(K1))=0</formula>
    </cfRule>
  </conditionalFormatting>
  <conditionalFormatting sqref="O2:O158">
    <cfRule type="containsBlanks" dxfId="21" priority="13">
      <formula>LEN(TRIM(O2))=0</formula>
    </cfRule>
  </conditionalFormatting>
  <conditionalFormatting sqref="O84:Q158">
    <cfRule type="cellIs" dxfId="20" priority="1" operator="equal">
      <formula>FALSE</formula>
    </cfRule>
    <cfRule type="cellIs" dxfId="19" priority="2" operator="equal">
      <formula>TRUE</formula>
    </cfRule>
  </conditionalFormatting>
  <conditionalFormatting sqref="O2:S2 O3:Q83 R3:S22">
    <cfRule type="cellIs" dxfId="18" priority="14" operator="equal">
      <formula>FALSE</formula>
    </cfRule>
    <cfRule type="cellIs" dxfId="17" priority="22" operator="equal">
      <formula>TRUE</formula>
    </cfRule>
  </conditionalFormatting>
  <conditionalFormatting sqref="R1:S1048576 V1:V1048576">
    <cfRule type="colorScale" priority="1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6" priority="8" operator="equal">
      <formula>FALSE</formula>
    </cfRule>
    <cfRule type="cellIs" dxfId="15" priority="9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workbookViewId="0">
      <selection activeCell="J13" sqref="J13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4" x14ac:dyDescent="0.2">
      <c r="A5" s="1" t="s">
        <v>567</v>
      </c>
      <c r="B5" s="1" t="s">
        <v>568</v>
      </c>
      <c r="C5" s="2" t="s">
        <v>566</v>
      </c>
      <c r="D5" s="2" t="s">
        <v>565</v>
      </c>
      <c r="E5" s="2" t="s">
        <v>569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14" priority="18" operator="equal">
      <formula>TRUE</formula>
    </cfRule>
    <cfRule type="cellIs" dxfId="13" priority="19" operator="equal">
      <formula>FALSE</formula>
    </cfRule>
  </conditionalFormatting>
  <conditionalFormatting sqref="H2:H5">
    <cfRule type="containsBlanks" dxfId="12" priority="16">
      <formula>LEN(TRIM(H2))=0</formula>
    </cfRule>
    <cfRule type="cellIs" dxfId="11" priority="17" operator="equal">
      <formula>FALSE</formula>
    </cfRule>
    <cfRule type="cellIs" dxfId="10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9" priority="5" operator="equal">
      <formula>FALSE</formula>
    </cfRule>
    <cfRule type="cellIs" dxfId="8" priority="6" operator="equal">
      <formula>TRUE</formula>
    </cfRule>
  </conditionalFormatting>
  <conditionalFormatting sqref="I1:J2">
    <cfRule type="colorScale" priority="1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7" priority="14" operator="equal">
      <formula>FALSE</formula>
    </cfRule>
    <cfRule type="cellIs" dxfId="6" priority="15" operator="equal">
      <formula>TRUE</formula>
    </cfRule>
  </conditionalFormatting>
  <conditionalFormatting sqref="I3:J3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5" priority="11" operator="equal">
      <formula>FALSE</formula>
    </cfRule>
    <cfRule type="cellIs" dxfId="4" priority="12" operator="equal">
      <formula>TRUE</formula>
    </cfRule>
  </conditionalFormatting>
  <conditionalFormatting sqref="I4:J4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8" operator="equal">
      <formula>FALSE</formula>
    </cfRule>
    <cfRule type="cellIs" dxfId="2" priority="9" operator="equal">
      <formula>TRUE</formula>
    </cfRule>
  </conditionalFormatting>
  <conditionalFormatting sqref="J5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C21" sqref="C21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45990</v>
      </c>
    </row>
    <row r="4" spans="1:3" x14ac:dyDescent="0.2">
      <c r="A4" t="s">
        <v>612</v>
      </c>
      <c r="B4" t="s">
        <v>526</v>
      </c>
      <c r="C4" t="s">
        <v>643</v>
      </c>
    </row>
    <row r="5" spans="1:3" x14ac:dyDescent="0.2">
      <c r="A5" t="s">
        <v>613</v>
      </c>
      <c r="B5" t="s">
        <v>526</v>
      </c>
      <c r="C5" t="s">
        <v>644</v>
      </c>
    </row>
    <row r="6" spans="1:3" x14ac:dyDescent="0.2">
      <c r="A6" t="s">
        <v>614</v>
      </c>
      <c r="B6" t="s">
        <v>526</v>
      </c>
      <c r="C6" t="s">
        <v>645</v>
      </c>
    </row>
    <row r="7" spans="1:3" x14ac:dyDescent="0.2">
      <c r="A7" t="s">
        <v>615</v>
      </c>
      <c r="B7" t="s">
        <v>526</v>
      </c>
      <c r="C7" t="s">
        <v>646</v>
      </c>
    </row>
    <row r="8" spans="1:3" x14ac:dyDescent="0.2">
      <c r="A8" t="s">
        <v>616</v>
      </c>
      <c r="B8" t="s">
        <v>526</v>
      </c>
      <c r="C8" t="s">
        <v>647</v>
      </c>
    </row>
    <row r="9" spans="1:3" x14ac:dyDescent="0.2">
      <c r="A9" t="s">
        <v>617</v>
      </c>
      <c r="B9" t="s">
        <v>526</v>
      </c>
      <c r="C9" t="s">
        <v>648</v>
      </c>
    </row>
    <row r="10" spans="1:3" x14ac:dyDescent="0.2">
      <c r="A10" t="s">
        <v>618</v>
      </c>
      <c r="B10" t="s">
        <v>526</v>
      </c>
      <c r="C10" t="s">
        <v>649</v>
      </c>
    </row>
    <row r="11" spans="1:3" x14ac:dyDescent="0.2">
      <c r="A11" t="s">
        <v>619</v>
      </c>
      <c r="B11" t="s">
        <v>526</v>
      </c>
      <c r="C11" t="s">
        <v>650</v>
      </c>
    </row>
    <row r="12" spans="1:3" x14ac:dyDescent="0.2">
      <c r="A12" t="s">
        <v>620</v>
      </c>
      <c r="B12" t="s">
        <v>526</v>
      </c>
      <c r="C12" t="s">
        <v>651</v>
      </c>
    </row>
    <row r="13" spans="1:3" x14ac:dyDescent="0.2">
      <c r="A13" t="s">
        <v>621</v>
      </c>
      <c r="B13" t="s">
        <v>526</v>
      </c>
      <c r="C13" t="s">
        <v>652</v>
      </c>
    </row>
    <row r="29" spans="1:1" x14ac:dyDescent="0.2">
      <c r="A29" t="str">
        <f>_xlfn.CONCAT("&gt;",A4,"\n",C4)</f>
        <v>&gt;sbio-nipahgpg-150\nEVQLVESGGGLVQPGGSLRLSCAASGFNISYSSIHWVRQAPGKGLEWVASISSYSGYTYYADSVKGRFTISADTSKNTAYLQMNSLRAEDTAVYYCARGGWRPIGSYALDYWGQGTLVTVSSGGGSGGGSGGGSGGGSGGGSDIQMTQSPSSLSASVGDRVTITCRASQDVFSAVAWYQQKPGKAPKLLIYYASFLYSGVPSRFSGSRSGTDFTLTISSLQPEDFATYYCQQHSVVPITFGQGTKVEIK</v>
      </c>
    </row>
    <row r="30" spans="1:1" x14ac:dyDescent="0.2">
      <c r="A30" t="str">
        <f t="shared" ref="A30:A38" si="0">_xlfn.CONCAT("&gt;",A5,"\n",C5)</f>
        <v>&gt;sbio-nipahgpg-151\nEVQLVESGGGLVQPGGSLRLSCAASGFNISYSSIHWVRQAPGKGLEWVASISSYSGSTYYADSVKGRFTISADTSKNTAYLQMNSLRAEDTAVYYCARGGYRPIGNYALDYWGQGTLVTVSSGGGSGGGSGGGSGGGSGGGSDIQMTQSPSSLSASVGDRVTITCRASQDVDSAVAWYQQKPGKAPKLLIYYASFLYSGVPSRFSGSRSGTDFTLTISSLQPEDFATYYCQQHYVVPVTFGQGTKVEIK</v>
      </c>
    </row>
    <row r="31" spans="1:1" x14ac:dyDescent="0.2">
      <c r="A31" t="str">
        <f t="shared" si="0"/>
        <v>&gt;sbio-nipahgpg-152\nEVQLVESGGGLVQPGGSLRLSCAASGFNISYYSIHWVRQAPGKGLEWVASISSYSGYTYYADSVKGRFTISADTSKNTAYLQMNSLRAEDTAVYYCARGGDRPSGCYALDYWGQGTLVTVSSGGGSGGGSGGGSGGGSGGGSDIQMTQSPSSLSASVGDRVTITCRASQDVFSAVAWYQQKPGKAPKLLIYFASFLYSGVPSRFSGSRSGTDFTLTISSLQPEDFATYYCQQHYEVPITFGQGTKVEIK</v>
      </c>
    </row>
    <row r="32" spans="1:1" x14ac:dyDescent="0.2">
      <c r="A32" t="str">
        <f t="shared" si="0"/>
        <v>&gt;sbio-nipahgpg-153\nEVQLVESGGGLVQPGGSLRLSCAASGFNISYSSIHWVRQAPGKGLEWVASISSYSGYTYYADSVKGRFTISADTSKNTAYLQMNSLRAEDTAVYYCARGGSLPTGCYALDYWGQGTLVTVSSGGGSGGGSGGGSGGGSGGGSDIQMTQSPSSLSASVGDRVTITCRASQDVDSAVAWYQQKPGKAPKLLIYFASSLYSGVPSRFSGSRSGTDFTLTISSLQPEDFATYYCQQHYDAPITFGQGTKVEIK</v>
      </c>
    </row>
    <row r="33" spans="1:1" x14ac:dyDescent="0.2">
      <c r="A33" t="str">
        <f t="shared" si="0"/>
        <v>&gt;sbio-nipahgpg-154\nEVQLVESGGGLVQPGGSLRLSCAASGFNISYSSIHWVRQAPGKGLEWVASISSYSGYTYYADSVKGRFTISADTSKNTAYLQMNSLRAEDTAVYYCARGGWYPWGCDALDYWGQGTLVTVSSGGGSGGGSGGGSGGGSGGGSDIQMTQSPSSLSASVGDRVTITCRASQDVDSAVAWYQQKPGKAPKLLIYFASFLYSGVPSRFSGSRSGTDFTLTISSLQPEDFATYYCQQHYDVPITFGQGTKVEIK</v>
      </c>
    </row>
    <row r="34" spans="1:1" x14ac:dyDescent="0.2">
      <c r="A34" t="str">
        <f t="shared" si="0"/>
        <v>&gt;sbio-nipahgpg-155\nEVQLVESGGGLVQPGGSLRLSCAASGFNISYSSIHWVRQAPGKGLEWVASISSYSGYTYYADSVKGRFTISADTSKNTAYLQMNSLRAEDTAVYYCARGGDRPVGCYALDYWGQGTLVTVSSGGGSGGGSGGGSGGGSGGGSDIQMTQSPSSLSASVGDRVTITCRASQDVTSAVAWYQQKPGKAPKLLIYSASFRYSGVPSRFSGSRSGTDFTLTISSLQPEDFATYYCQQHYVVPVTFGQGTKVEIK</v>
      </c>
    </row>
    <row r="35" spans="1:1" x14ac:dyDescent="0.2">
      <c r="A35" t="str">
        <f t="shared" si="0"/>
        <v>&gt;sbio-nipahgpg-156\nEVQLVESGGGLVQPGGSLRLSCAASGFNISYSSIHWVRQAPGKGLEWVASISSYSGYTYYADSVKGRFTISADTSKNTAYLQMNSLRAEDTAVYYCARGGWYPLGCYAMDYWGQGTLVTVSSGGGSGGGSGGGSGGGSGGGSDIQMTQSPSSLSASVGDRVTITCRASQDVLSDVAWYQQKPGKAPKLLIYYASFRYSGVPSRFSGSRSGTDFTLTISSLQPEDFATYYCQQHYVVPVTFGQGTKVEIK</v>
      </c>
    </row>
    <row r="36" spans="1:1" x14ac:dyDescent="0.2">
      <c r="A36" t="str">
        <f t="shared" si="0"/>
        <v>&gt;sbio-nipahgpg-157\nEVQLVESGGGLVQPGGSLRLSCAASGFNISYSSIHWVRQAPGKGLEWVASISSYSGYTYYADSVKGRFTISADTSKNTAYLQMNSLRAEDTAVYYCARGGWRPFGCYALDYWGQGTLVTVSSGGGSGGGSGGGSGGGSGGGSDIQMTQSPSSLSASVGDRVTITCRASQDVFSAVAWYQQKPGKAPKLLIYSASFLYSGVPSRFSGSRSGTDFTLTISSLQPEDFATYYCQQHYIYPVTFGQGTKVEIK</v>
      </c>
    </row>
    <row r="37" spans="1:1" x14ac:dyDescent="0.2">
      <c r="A37" t="str">
        <f t="shared" si="0"/>
        <v>&gt;sbio-nipahgpg-158\nEVQLVESGGGLVQPGGSLRLSCAASGFNISYSSIHWVRQAPGKGLEWVASISSYSGSTYYADSVKGRFTISADTSKNTAYLQMNSLRAEDTAVYYCARGGWYPWGNYALDYWGQGTLVTVSSGGGSGGGSGGGSGGGSGGGSDIQMTQSPSSLSASVGDRVTITCRASQDVNTAVAWYQQKPGKAPKLLIYEASFRYSGVPSRFSGSRSGTDFTLTISSLQPEDFATYYCQQHYEVPITFGQGTKVEIK</v>
      </c>
    </row>
    <row r="38" spans="1:1" x14ac:dyDescent="0.2">
      <c r="A38" t="str">
        <f t="shared" si="0"/>
        <v>&gt;sbio-nipahgpg-159\nEVQLVESGGGLVQPGGSLRLSCAASGFNISYSSIHWVRQAPGKGLEWVASISSYSGSTYYADSVKGRFTISADTSKNTAYLQMNSLRAEDTAVYYCARGGSRPWGCYALDYWGQGTLVTVSSGGGSGGGSGGGSGGGSGGGSDIQMTQSPSSLSASVGDRVTITCRASQDVFTAVAWYQQKPGKAPKLLIYFASFLYSGVPSRFSGSRSGTDFTLTISSLQPEDFATYYCQQYSIVPVTFGQGTKVEIK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2025-11-29T13:53:20Z</dcterms:modified>
  <dc:language>en-US</dc:language>
</cp:coreProperties>
</file>