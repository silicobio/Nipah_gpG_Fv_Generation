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64627721-720A-4A1E-9D05-B9EA16A961DD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Notes" sheetId="3" r:id="rId3"/>
    <sheet name="20251107 Submission FASTA" sheetId="4" r:id="rId4"/>
    <sheet name="20251108 Submission FASTA" sheetId="5" r:id="rId5"/>
    <sheet name="20251109 Submission FASTA" sheetId="6" r:id="rId6"/>
    <sheet name="20251110 Submission FASTA" sheetId="7" r:id="rId7"/>
    <sheet name="20251111 Submission FASTA" sheetId="8" r:id="rId8"/>
    <sheet name="20251112 Submission FASTA" sheetId="9" r:id="rId9"/>
  </sheets>
  <definedNames>
    <definedName name="_xlnm._FilterDatabase" localSheetId="0" hidden="1">'Antibody Candidates'!$A$1:$V$80</definedName>
  </definedNames>
  <calcPr calcId="191029"/>
  <pivotCaches>
    <pivotCache cacheId="14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9" l="1"/>
  <c r="A30" i="9"/>
  <c r="A29" i="9"/>
  <c r="A28" i="9"/>
  <c r="A27" i="9"/>
  <c r="A26" i="9"/>
  <c r="A25" i="9"/>
  <c r="A24" i="9"/>
  <c r="A23" i="9"/>
  <c r="A22" i="9"/>
  <c r="M81" i="2"/>
  <c r="N81" i="2" s="1"/>
  <c r="O81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M51" i="2"/>
  <c r="M52" i="2"/>
  <c r="M53" i="2"/>
  <c r="M54" i="2"/>
  <c r="M55" i="2"/>
  <c r="M56" i="2"/>
  <c r="M57" i="2"/>
  <c r="M58" i="2"/>
  <c r="M59" i="2"/>
  <c r="M60" i="2"/>
  <c r="M61" i="2"/>
  <c r="N61" i="2" s="1"/>
  <c r="O61" i="2" s="1"/>
  <c r="M62" i="2"/>
  <c r="M63" i="2"/>
  <c r="M64" i="2"/>
  <c r="M65" i="2"/>
  <c r="M66" i="2"/>
  <c r="M67" i="2"/>
  <c r="M68" i="2"/>
  <c r="M69" i="2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A31" i="8"/>
  <c r="A30" i="8"/>
  <c r="A29" i="8"/>
  <c r="A28" i="8"/>
  <c r="A27" i="8"/>
  <c r="A26" i="8"/>
  <c r="A25" i="8"/>
  <c r="A24" i="8"/>
  <c r="A23" i="8"/>
  <c r="A22" i="8"/>
  <c r="A31" i="7"/>
  <c r="A30" i="7"/>
  <c r="A29" i="7"/>
  <c r="A28" i="7"/>
  <c r="A27" i="7"/>
  <c r="A26" i="7"/>
  <c r="A25" i="7"/>
  <c r="A24" i="7"/>
  <c r="A23" i="7"/>
  <c r="A22" i="7"/>
  <c r="M25" i="2" l="1"/>
  <c r="N25" i="2" s="1"/>
  <c r="O25" i="2" s="1"/>
  <c r="A31" i="6"/>
  <c r="A30" i="6"/>
  <c r="A29" i="6"/>
  <c r="A28" i="6"/>
  <c r="A27" i="6"/>
  <c r="A26" i="6"/>
  <c r="A25" i="6"/>
  <c r="A24" i="6"/>
  <c r="A23" i="6"/>
  <c r="A22" i="6"/>
  <c r="A23" i="5"/>
  <c r="A24" i="5"/>
  <c r="A25" i="5"/>
  <c r="A26" i="5"/>
  <c r="A27" i="5"/>
  <c r="A28" i="5"/>
  <c r="A29" i="5"/>
  <c r="A30" i="5"/>
  <c r="A31" i="5"/>
  <c r="A22" i="5"/>
  <c r="A23" i="4"/>
  <c r="A24" i="4"/>
  <c r="A25" i="4"/>
  <c r="A26" i="4"/>
  <c r="A27" i="4"/>
  <c r="A28" i="4"/>
  <c r="A29" i="4"/>
  <c r="A30" i="4"/>
  <c r="A31" i="4"/>
  <c r="A22" i="4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<sst xmlns="http://schemas.openxmlformats.org/spreadsheetml/2006/main" count="961" uniqueCount="404">
  <si>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</si>
  <si>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</si>
  <si>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</si>
  <si>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</si>
  <si>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</si>
  <si>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</si>
  <si>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</si>
  <si>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</si>
  <si>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</si>
  <si>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</si>
  <si>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</si>
  <si>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</si>
  <si>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</si>
  <si>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</si>
  <si>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</si>
  <si>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</si>
  <si>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</si>
  <si>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</si>
  <si>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</si>
  <si>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</si>
  <si>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</si>
  <si>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</si>
  <si>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</si>
  <si>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</si>
  <si>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</si>
  <si>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</si>
  <si>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</si>
  <si>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</si>
  <si>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</si>
  <si>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</si>
  <si>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</si>
  <si>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</si>
  <si>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</si>
  <si>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</si>
  <si>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</si>
  <si>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</si>
  <si>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</si>
  <si>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</si>
  <si>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</si>
  <si>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</si>
  <si>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</si>
  <si>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</si>
  <si>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</si>
  <si>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</si>
  <si>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</si>
  <si>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</si>
  <si>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</si>
  <si>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</si>
  <si>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</si>
  <si>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</si>
  <si>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</si>
  <si>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</si>
  <si>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</si>
  <si>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</si>
  <si>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</si>
  <si>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</si>
  <si>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</si>
  <si>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</si>
  <si>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</si>
  <si>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</si>
  <si>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</si>
  <si>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</si>
  <si>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</si>
  <si>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</si>
  <si>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</si>
  <si>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</si>
  <si>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</si>
  <si>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</si>
  <si>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</si>
  <si>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</si>
  <si>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</si>
  <si>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</si>
  <si>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</si>
  <si>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</si>
  <si>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</si>
  <si>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</si>
  <si>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</si>
  <si>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</si>
  <si>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</si>
  <si>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</si>
  <si>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</si>
  <si>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</si>
  <si>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</si>
  <si>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</si>
  <si>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</si>
  <si>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</si>
  <si>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</si>
  <si>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</si>
  <si>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</si>
  <si>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</si>
  <si>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</si>
  <si>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</si>
  <si>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</si>
  <si>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</si>
  <si>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</si>
  <si>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</si>
  <si>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</si>
  <si>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</si>
  <si>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</si>
  <si>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</si>
  <si>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</si>
  <si>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</si>
  <si>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</si>
  <si>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</si>
  <si>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</si>
  <si>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</si>
  <si>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</si>
  <si>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</si>
  <si>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</si>
  <si>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</si>
  <si>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</si>
  <si>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</si>
  <si>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</si>
  <si>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</si>
  <si>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</si>
  <si>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</si>
  <si>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</si>
  <si>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</si>
  <si>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</si>
  <si>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</si>
  <si>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</si>
  <si>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</si>
  <si>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</si>
  <si>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</si>
  <si>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</si>
  <si>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</si>
  <si>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</si>
  <si>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</si>
  <si>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</si>
  <si>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</si>
  <si>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</si>
  <si>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</si>
  <si>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</si>
  <si>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</si>
  <si>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</si>
  <si>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</si>
  <si>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</si>
  <si>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</si>
  <si>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</si>
  <si>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</si>
  <si>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</si>
  <si>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</si>
  <si>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</si>
  <si>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</si>
  <si>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</si>
  <si>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</si>
  <si>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</si>
  <si>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</si>
  <si>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</si>
  <si>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</si>
  <si>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</si>
  <si>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</si>
  <si>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</si>
  <si>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</si>
  <si>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</si>
  <si>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</si>
  <si>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</si>
  <si>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</si>
  <si>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</si>
  <si>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</si>
  <si>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</si>
  <si>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</si>
  <si>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</si>
  <si>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</si>
  <si>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</si>
  <si>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</si>
  <si>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</si>
  <si>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</si>
  <si>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</si>
  <si>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</si>
  <si>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</si>
  <si>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</si>
  <si>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</si>
  <si>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</si>
  <si>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</si>
  <si>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</si>
  <si>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</si>
  <si>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</si>
  <si>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</si>
  <si>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</si>
  <si>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</si>
  <si>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</si>
  <si>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</si>
  <si>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</si>
  <si>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</si>
  <si>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</si>
  <si>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</si>
  <si>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</si>
  <si>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</si>
  <si>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</si>
  <si>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</si>
  <si>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</si>
  <si>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</si>
  <si>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</si>
  <si>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</si>
  <si>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</si>
  <si>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</si>
  <si>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</si>
  <si>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</si>
  <si>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</si>
  <si>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</si>
  <si>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</si>
  <si>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</si>
  <si>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</si>
  <si>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QVQLVESGGGVVQPGKSLRLSCAASGFTFSSYAMSWVRQAPGKGPEWVAFISYDGSNNYYADSVKGRFTISRDNPKNTLYLQMKSLRAEDTAVYYCARWRQRFDMYWGRGTLVTVSSGGGSGGGSGGGSGGGSDIQMTQSPSSLSASVGDRVTITCRASQSISSYLNWYQQKPGKAPKLLIYAASSLQSGVPSRFSGSGSGTDFTLTISSLQPEDFATYYCQQSYSTPYTFGQGTKVEIK</t>
  </si>
  <si>
    <t>QVQLQESGPGLVKPSETLSLTCTVSGASIRGYYWSWIRQFPGKELEWIGYVYSGSTENYNPSLKSRVTVTLTDTKNSFSLKLNSVTSEDTAVYYCARGGALIYYDVWGTGTTVTVSSGGGSGGGSGGGSGGGSDIQVTQSPVSLSASVGDRVTITCRASQGIDSLNWFQQRPGKAPKLLIYAASQLTGIAPRFRSGSGSGTDFTLTISSLQPEDFATYYCQQYNIYPATFGQGTKVEIK</t>
  </si>
  <si>
    <t>EVQLVQSGAEVKKPGESLKISCKGSGYTFSYYWIGWVRQMPGKGLEWMGIIYPGDSDTRYSPSFQGQVTISADKSISTAYLQWSSLKASDTAMYYCARGEGVFDYWGQGTLVTVSSGGGSGGGSGGGSGGGSYTLTQAPSVSASGQSVTISCTGTSRDVGTYWYQQIPGRAPKLLIHDKSENQGKTPGIPDRFSGSKSGNTASLVIIRGLQADDEADYYCNSYHGSGSNIFGGGTKLTVD</t>
  </si>
  <si>
    <t>EVQLVESGGGLVQPGGSLRLSCAASGFTFSSYWMNWVRQAPGKGLEWVANINQDGGEKYYVDSVKGRFTISRDNAKNSLYLQMNSLRAEDTAIYYCARDVGGGMDVWGQGTTVTVSSGGGSGGGSGGGSGGGSQMTQSPSSLSASVGDRVTITCRASQSVSSAVAWYQQKPGKAPKLLIYSASSLYSGVPSRFSGSRSGTDFTLTISSLQPEDFATYYCQQSSSSLITFGQGTKVEIK</t>
  </si>
  <si>
    <t>QVQLVESGGGVVQPGRSLRLSCAASGFTFSSYAMSWVRQAPGKGLEWVSAIWSNGGSTYYADSVKGRFTISRDNAKNSLYLQMNSLRAEDTAVYYCARDYGSYGYFDYWGQGTLVTVSSGGGSGGGSGGGSGGGSDIVMTQSPLSLPVTPGEPASISCRSSQSLLYSNGNTYLEWYLQKPGQSPQLLIYLVSKLDSGVPDRFSGSGSGTDFTLKISRVEAEDLGIYYCQQSKEVPYTFGAGTKLEIK</t>
  </si>
  <si>
    <t>AVSITESGGGTKAPGSSVTLSCKVSGFVFSKYSIAWVRQAPGQGLEWVSQISPDGSTTRYNPAVAGRFTISRDNSNSTAYLQMSNLTPSDTATYYCAIIPQDNEHGDYSLSHWGQGTQLTVSAGGGSGGGSGGGSGGGSAIKLTQSPKSLSAKVGDTVTINCTASAPIGDFLSWYKQKPGQPPQLLIYKSSTLAPGVSSRYSGSGSDTNFTLTISSLQEEDFATYYCQQTATLPITFGEGTTINKK</t>
  </si>
  <si>
    <t xml:space="preserve">EVSLVESGGGTVKPGESVTLSCQASGFNFSKYRLAWVRQPPGQGLVWVSEISPDGTEVKYHPDVKGRFTASRDNSNSTAYLKMNNLQPSDTATYYCGIIPQDSSHGDYSISHWGQGTQLTVSAGGGSGGGSGGGSGGGSTITLTQSPSSLSASVGDTVTINCTASRPIGDFLSWYKQKPGQPPQLLIYRSSTLASGVSSRYSGSGSDTNFTLTISSLQSDDFATYYCQQTYTLPITFGQGTTLTKK </t>
  </si>
  <si>
    <t>AVSLVESGGGTYAPGSSVTLSCQGSGFNFSKVRKVWVRQPPGGPLEYVAEISPDGSTTTYASSVAGRFTISKDNSNSTLYLSMSNLTPADTATYYCGLIPGDSEHGDRSISHWGQGTLVTVSAGGGSGGGSGGGSGGGSAITLTQSPSSLSASVGDTVTINCTASQPIGNFLSWYKQKPGQPPQLLIYNASTLAPGVSSRYSGSGSDTNFTLTISSLQSEDFATYYCQQTSRLPVTFGQGTTINKK</t>
  </si>
  <si>
    <t xml:space="preserve">PVSLVESGGGTVAPGSSVTLTCQASGFNFSKYIVAWVRQPPGQPLRFVAMITPDGSKVWLHPEVEGRFTPSKDNSKNTSYLQLKDLQPEDTATYYCGIIPQGSTHGDYSITHWGQGVVLTVTAGGGSGGGSGGGSGGGSMVTLTQSPSSLSASVGDTVTITCTASSPVDNLMSWYQQPPGQPLRLLIYNASTRAPGVSSRFSGSGSDTNFTLTISSLQASDFATYYCQQTYRLPVTFGQGTTLSAA </t>
  </si>
  <si>
    <t>AITLTESGGGVVAPGSSVTLTCTASGFNFSKYSMVWVRQPPGGPLQWVAQISPDNSTVRYHPAVEGRFTASKDNSKNTAYLAMSDLEPSDTATYYCGIIPQGSTHNDYSIVHWGQGTELRVVAGGGSGGGSGGGSGGGSMIKLTQSPSSLSAKVGDKVTITCTASSPVDNLVSWYKQPPGGPLQLLIYNSSTRAPGVSSRFKGSGSDTNFTLTIESLQEEDFATYYCQQTYKFPITFGQGTKLTRA</t>
  </si>
  <si>
    <t>SISLTESGGGTVAPGSSVTLTCTASGFNFSKYSVAWVRQPPGQPLQWVALISPDGSKKWYHPDVKGRATISKDNSKNTSYLTLSNLQPSDTATYYCGIIPGGNIHGDYSMTHWGQGTQLTVVAGGGSGGGSGGGSGGGSMITLTQSPLSLSAKVGDTVTITCTASSPVDDLVSWYQQKPGQPLRLLIRNASERAPGVSSRFSGSGSDTTFTLTISSVQEEDFATYYCQQTSKLPYTFGQGTTLSRA</t>
  </si>
  <si>
    <t>AVTLTESGGGTVAPGSSVTLTCTASGFNFSKYILAWVRQAPGQPLEWVASISPDGSKTRYHPAVKGRATASKDNSKNTAYLELKDLRPEDTATYYCGIIPQGSVHGDYSMTHWGQGTELRVEAGGGSGGGSGGGSGGGSPVVLTQSPLSLSAKVGDTVTITCTASSPVDNLVSWYKQAPGQPLQLLIYNATTRAPGVPSRFTGSGSDTTFTLTISSLQPEDFAVYYCQQTYKFPITFGQGTRLTPA</t>
  </si>
  <si>
    <t>PVKLVESGGGTVAPGSSVTLTCKASGFNFSKYMVQWVRQAPGGAFQWVGLISPDGSTKWYHPDVEGRFTISKDNSKNTAYLEMRNLTPADTAVYYCGIVPQGSVHGDYSITHWGQGVTLTVTAGGGSGGGSGGGSGGGSVVQLTQSPPELSAKVGEKVTITCTASSPVDNLVSWYQQKPGGAPKLLIYNATTLAPGVPSRFSGSGSDTVFTLTIDSLQAEDFATYYCQQTSRLPFTFGQGTVLRPA</t>
  </si>
  <si>
    <t>AIKLTESGGGTVKPGSSVTLTCQASGFNFSKYIMAWVRQAPGQPLQWVAQISPDNSVKRYHPEVEGRFTASKDNSKNTAYLEMKNLTPADTATYYCAIIPQGSTQGDYSMVHWGQGVELKVVAGGGSGGGSGGGSGGGSPVVLTQSPASLKAAVGDTVTITCTASAPVDNLVSWYKQAPGQPPQLLIYNASTLAPGVPSRFTGSGSDTSFTLTISSLQEEDFATYYCQETSKFPITFGQGTKLEKK</t>
  </si>
  <si>
    <t>SIKLTESGGGVVAPGESVTLTCTASGFNFSKYEMAWVRQAPGGPLEFVAVISPDGSTTRYHPRVEGRATISRDNSKNTAYLTLRDLTPADTAVYYCGIIPGGSVHGDRALSHWGQGVRLEVRAGGGSGGGSGGGSGGGSMVTLTQSPSSLSAKVGDKVTISCTASEPVDDLVSWYKQAPGGPPQLLISRASTRAPGVPSRFSGSGSDTNFTLTIESLQSSDFATYYCQQTYKFPDTFGQGTTLSEA</t>
  </si>
  <si>
    <t xml:space="preserve">SVTLVESGDQTVAPGGSVTLSCTSSGGSFGNSGVSWVKQQPGGPLQWIGGIIPSLGISKVSPEYAGRVTISSDSSNNTAYLTISNLTAADTATYYCALGEGEDVFASSPFASNVNLGALSVWGQGTKVTVSGGGSGGGSGGGSITVTQSPSSPSLKVGETATLTCTLSAPVPRSNVAWYKQQPGQPPTLLIYGGSTRAPGVPSRYSGSGSGTTFTLTITALKPEDFATYYCQVYGENPSFGQGTTLKLK </t>
  </si>
  <si>
    <t>SITLVQSGDVTVAPGGSVTLTCTSSGGSFGNKAVAWVRQRPGGPYEWLGFIIPAYGVSRYNPAYEGRVTISVDSASNTASLTISNLTAADTATYYCALGEGEIVYAASPFDENYKLGALYIWGQGTKVTVSGGGSGGGSGGGSITLTQSPSSPSLSVGETATLTCTASAPVPKSNVAWYKQLPGQPPELLIYGGSTRASGVPSRYSGSGSGTTFTLTISSLTADDFATYYCQVYGENPSFGEGTTLTLK</t>
  </si>
  <si>
    <t>SVTLVQSGDQTVPIGGSVTLSCTANGGSFGNKGVAWVRQRPGGPYEFLGFIKPAIGESRYHPKYKGRVTISSDVSSNTAYLTISNLTPEDTAVYYCALGEAEDVFAAHPFKTDLLLGALSIWGQGTRVTVTGGGSGGGSGGGSITVTQSPSSPSLSVGETAVLTCTLSQPVPQSQVAWYKQLPGQPPTLLISGGSTRASGVPSRYSGSGSGTTFTLTISSLLPEDFATYYCQVVGKEPSFGQGTTLTLK</t>
  </si>
  <si>
    <t>SVKLVQSGDQTVPVGGSVTLSCTASGGSFGNYGVAWVRQRPGGPLEYIGSIIPAYGISTVNPKYEGRVTISADPTNNTAYLTISNLTPEDTATYYCALGPGEVVFASSPFDIDVLTGALWVWGEGTKVTVTGGGSGGGSGGGSITVTQSPSSPSLKVGETATLTCTLSAPVAKSNVAWYKQLPGQPPELLIYGGSTRASGVPSRYSGSGSGTTFTLTISSLQPEDFATYYCQVVGKNPSFGQGTLLKLK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</si>
  <si>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</si>
  <si>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</si>
  <si>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</si>
  <si>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</si>
  <si>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</si>
  <si>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</si>
  <si>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</si>
  <si>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</si>
  <si>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</si>
  <si>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</si>
  <si>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</si>
  <si>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</si>
  <si>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</si>
  <si>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</si>
  <si>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</si>
  <si>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</si>
  <si>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</si>
  <si>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</si>
  <si>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</si>
  <si>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</si>
  <si>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</si>
  <si>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</si>
  <si>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</si>
  <si>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</si>
  <si>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</si>
  <si>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</si>
  <si>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</si>
  <si>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</si>
  <si>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</si>
  <si>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</si>
  <si>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</si>
  <si>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</si>
  <si>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</si>
  <si>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</si>
  <si>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</si>
  <si>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</si>
  <si>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</si>
  <si>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VQLQESGPGLVKPSQSLSLTCTVTGYSITTGYAWNWIRQFPGNKLEWMGYISYSGSTYYPSLKSRISITRDTSKNQFFLQLSIVTTEDTATYYCARGTTLPDYVDFWGQGTSVTVSSGGGSGGGSGGGSGGGSDIQLTQSPSSLSASVGDRVTITCRASQTISTYLNWYQQKPGKAPKLLIYAASTLQSGVPSRFSGSGSGTDFTLTISSLQPEDFATYFCLQHFWTPPITFGQGTRLEIK</t>
  </si>
  <si>
    <t>QVQLQESGPGLVKPSETLSVTCTVSGGSIGSNNYWSWIRQPAGKGLEWIGYIYYSGSTNYNPSLKSRVTMSVDTSKNQFSLKLSSVTAADTAVYYCVRNYYDSSDSSGYYFMDVWGQGTTVTVSSGGGSGGGSGGGSDIVMTQSPLSLSVTPGEPASISCRSSQSLLHSNGYNYLDWYLQKPGQSPQLLIYLGSNRASGVPDRFSGSGSGTDFTLKISRVEAEDVGVYYCMQALQTPTFGQGTRLEIK</t>
  </si>
  <si>
    <t>QVQLVQSGAEVKKPGESLKISCKGSGYRFSSYWIGWVRQMPGKGLEWMGIIYPGDSDTRYSPSFQGQVTISADKSISTAYLQWSSLKASDTAMYYCARQGPDYYYGMDVWGQGTTVTVSSGGGSGGGSGGGSGGGSDIQMTQSPSTLSASVGDRVTITCRASQSISSWLAWYQQKPGKAPKLLIYKASELQSGVPSRFSGSGSGTEFTLTISSLQPDDFATYYCQQYINSYTFGQGTKVEIK</t>
  </si>
  <si>
    <t>QVQLQQSGPELVKPGASVKLSCKASGYTFTDYYMHWVKQRPGQGLEWIGEINPNSGGTNTYDQKFKGRATLTVDKSSSTAYLQLSSLTSEDSAVYYCARSPPWYFDYWGQGTTLTVSGGGSGGGSGGGSGGGSDIVMTQSPSSMFASVGETVTITCRASENIYSNLAWYQQKPGQSPKLLIYWASTRHTGVPDRFTGSGSGTDFTLTISSVQAEDLALYYCQHYGSYSFTFGSGTKLEIK</t>
  </si>
  <si>
    <t>EVQLVESGGGLVQPGGSLRLSCAASGFNVSYSSIHWVRQAPGKGLEWVASISSYYGYTYYADSVKGRFTISADTSKNTAYLQMNSLRAEDTAVYYCARSRNYVYSSGYLDFWGQGTLVTVSSGGGSGGGSGGGSGGGSDIQMTQSPSSLSASVGDRVTITCRASQSVSSAVAWYQQKPGKAPKLLIYSASSLYSGVPSRFSGSRSGTDFTLTISSLQPEDFATYYCQQSSYSSPPTFGQGTKVEIK</t>
  </si>
  <si>
    <t>EVQLVESGGGLVQPGGSLRLSCAASGFNIYYSSIHWVRQAPGKGLEWVASISPYYGSTSYADSVKGRFTISADTSKNTAYLQMNSLRAEDTAVYYCARDYGHYYYAMDYWGQGTLVTVSSGGGSGGGSGGGSGGGSEIVMTQSPATLSVSPGERATLSCRASQSVSSYLAWYQQKPGQAPRLLIYGASTRATGIPARFSGSGSGTEFTLTISSLQSEDSAVYYCQQYNNWPPITFGQGTRLEIK</t>
  </si>
  <si>
    <t>QVQLQESGPGLVKPSETLSLSCVVSGDSSSTNYYWGWIRQPPGKGLEWIGYIYGSGDTAYNPSLKSRVTISVDTSKNQFSLKLSSVTAADTAVYYCARRSWGYGYNGYSTYYYYYYFDQGYFDVWGPGTLVTGGGSGGGSGGGSDIQMTQSPSSLSASVGDRVTITCRASQSIGSYLNWYQQKPGKAPKLLIYAASTLQSGVPSRFSGSGSGTEFTLTISSLQPEDFATYYCQQSYSWGQGTKVEIK</t>
  </si>
  <si>
    <t>QVQLVQSGAEVKKPGASVKVSCKASGYTFTSYGISWVRQAPGQGLEWMGWISAHNGDTNYAQKFQGRVTMTRDTSITTAYMELRSDDTAVYYCARDGSVGGFYWGQGTLVTVSSGGGSGGGSGGGSGGGSEIVLTQSPGTLSLSPGERATLSCRASQSVSSYLAWYQQKPGQAPRLLIYGASSRATGIPDRFSGSGSGTDFTLTISRLEPEDFAVYYCQQYGSSPITFGQGTRLEIK</t>
  </si>
  <si>
    <t>EVQLLESGGGLVQPGGSLRLSCAASGFNVSYSSIHWVRQAPGKGLEWVASISPYYGSTSYADSVKGRFTISADTSKNTAYLQMNSLRAEDTAVYYCARSYYWYWSGWGTLVTVSSGGGSGGGSGGGSGGGSDIQMTQSPSSLSASVGDRVTITCRASQSVSSAVAWYQQKPGKAPKLLIYSASSLYSGVPSRFSGSRSGTDFTLTISSLQPEDFATYYCQQSYGSPPTFGQGTKVEIK</t>
  </si>
  <si>
    <t>QVQLQESGPGLVKPSQTLSLTCTVSGGSISSGHYAWWIRQPPGKGLEWIACIYSSSGSTYYNPSLKSRITISVDTSKNQFSLKLSSVTAADTAVYYCARRQRGYDYDYYYGMDVWGQGTTVTVSSGGGSGGGSGGGSGGGSDIQLTQSPSSLSASVGDRVTITCRASQGISRNLAWYQQKPGKAPKLLIYAASSLQSGVPSRFSGSGSGTDFTLTISSLQPEDFATYYCQQSNNWPITFGQGTKVEIK</t>
  </si>
  <si>
    <t>EVQLVESGGGLVQPGGSLRLSCAASGFNIYYSSIHWVRQAPGKGLEWVASIYSYYSSTSYADSVKGRFTISADTSKNTAYLQMNSLRAEDTAVYYCARVYGYLSYSYFYWGLDVWGQGTLVTVSGGGSGGGSGGGSGGGSDIQMTQSPSSLSASVGDRVTITCRASQSVSSAVAWYQQKPGKAPKLLIYSASSLYSGVPSRFSGSRSGTDFTLTISSLQPEDFATYYCQQYKYVPVTFGQGTKVEI</t>
  </si>
  <si>
    <t>EVQLQQSGAELVKPGASVKLSCTASGFNIKDTYVHWVKQRPEQGLEWIGRIDPANGYTKYDPKFQGKATITADTSSNTAYLQLSSLTSEDTAVYYCVRPLYDYYAMDYWGQGTTLTVSSGGGSGGGSGGGSGGGSDIVMTQSPSSLAMSAGRVSITCRTSQSISSYLNWVQQKPGKSPKLLIYWASTRESGVPDRFTGSGSGTDFTLTISRVEAEDLGVYYCMQGTHVPYTFGGGTKLEIK</t>
  </si>
  <si>
    <t>EVQLVESGGGLVKPGGSLRLSCAASGFTFSSYAMHWVRQAPGKGLEWVSAISGGGGSTYYADSVKGRFTISRDNSKNTLYLQMRAEDTAVYYCAKDDADWGQGTLVTVSSGGGSGGGSGGGSGGGSDIQMTQSPSSLSASVGDRVTITCRASQSVSSAVAWYQQKPGKAPKLLIYSASSLYSGVPSRFSGSRSGTDFTLTISSLQPEDFATYYCQQYKYVPFTFGQGTKVEIK</t>
  </si>
  <si>
    <t>QVQLQESGPGLVKPSQTLSLTCTVSGGSISSGSYYWIRQSPGKGLEWIGYIYYSGSTNYNPSLKSRVTISVDTSKNQFSLKLSSVTAADTAVYYCARHRYYDRGQGTLVTVSSGGGSGGGSGGGSGGGSDIQMTQSPASLSASVGETVTITCRASENIYSNLAWYQQKQGKSPQLLVYAATDLADGVPSRFSGSGSGTQFSLKINSLQPEDFGSYYCQHFWDTPWTFGQGTRVE</t>
  </si>
  <si>
    <t>EVQLVESGGGLVQPGGSLRLSCAASGFNLYSSSIHWVRQAPGKGLEWVAYISSSGTHYADSVKGRFTISADTSKNTAYLQMRAEDTAVYYCARVGHYYSSGGYYYAMDYWGQGTLVTVSSGGGSGGGSGGGSGGGSDIQMTQSPSSLSASVGDRVTITCRASQSVSSAVAWYQQKPGKAPKLLIYSASSLYSGVPSRFSGSRSGTDFTLTISSLQPEDFATYYCQQYSSYWTFGQGTKVEIK</t>
  </si>
  <si>
    <t>EVQLVESGGGLVQPGGSLRLSCAASGFNVVDSGISWVRQAPGKGLEWVSYISSSSGSTYYADSVKGRFTISADTSKNTAYLQMNSLRAEDTAVYYCARAHYYGSYFGSVVYYYGLDVWGQGTLVTVSSGGGSGGGSGGGSDIQMTQSPSSLSASVGDRVTITCRASQSVSSAVAWYQQKPGKAPKLLIYSASSLYSGVPSRFSGSRSGTDFTLTISSLQPEDFATYYCQQYDTYPITFGQGTKVEIK</t>
  </si>
  <si>
    <t>EVQLVESGGGLVQPGGSLRLSCAASGFNVYSSSIHWVRQAPGKGLEWVASISSYYGYTYYADSVKGRFTISADTSKNTAYLQMNSLRAEDTAVYYCARSYSTYYYGYWYFDVWGQGTLVTVSSGGGSGGGSGGGSGGGSDIQMTQSPSSLSAAVGDRVTITCRASQSVSSAVAWYQQKPGKAPKLLIYSASSLYSGVPSRFSGSRSGTDFTLTISSLQPEDFATYYCQQYNYYWLITFGQGTKVEIK</t>
  </si>
  <si>
    <t>QVQLQQPGAELVKPGASVKLSCKASGYTFTSDWIHWVKQRPGHGLEWIGEIIPSYGRANYNEKIQKKATLTADKSSSTAFMHLSSLTSEDSAVYYCARERGDGYFAVWGAGTTVTVSSGGGSGGGSGGGSGGGSDILLTQSPAILSVSPGERVSFSCRASQSIGTDIHWYQQRTNGSPRLLIKYASESISGIPSRFSGSGSGTDFTLSINSVESEDIANYYCQQSNRWPFTFGSGTKLEIK</t>
  </si>
  <si>
    <t>VRLLESGGGLVQPGGSLKLSCAASGFDYSRYWMSWVRQAPGKGLKWIGEINPVSSTINYTPSLKDKFIISRDNAKDTLYLQISKVRSEDTALYYCARLYYGYGYWYFDVWGAGTTVTVSSGGGSGGGSGGGSGGGSDIVLTQSPAIMSAAPGDKVTMTCSASSSVSYIHWYQQKSGTSPKRWIYDTSKLTSGVPVRFSGSGSGTSYSLTINTMEAEDAATYYCQQWSSHPQTFGGGTKLEIl</t>
  </si>
  <si>
    <t>QVQLQESGPGLVQPSQSLSLTCTVSGFSLTSYGVHWVRQSPGKGLEWLGVIWAGGSTDYNSALKSRLSISRDTSKNQVFLKMNSLQTDDTAMYYCAKHGSSNGDYWGQGTSVTVSSGGGSGGGSGGGSGGGSDIVMTQSPDSLAVSLGERATINCKSSQSVLYSSNNKNYLAWYQQKPEGQPPNLLIYWASTRESGVPDRFSGSGSGTDFTLTISSLQAEDVAVYYCQQYYSAPTFGQGTKLEIK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</si>
  <si>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</si>
  <si>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</si>
  <si>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</si>
  <si>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</si>
  <si>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</si>
  <si>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</si>
  <si>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</si>
  <si>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</si>
  <si>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</si>
  <si>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</si>
  <si>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</si>
  <si>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</si>
  <si>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</si>
  <si>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</si>
  <si>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</si>
  <si>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</si>
  <si>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</si>
  <si>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</si>
  <si>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</si>
  <si>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</si>
  <si>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</si>
  <si>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</si>
  <si>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</si>
  <si>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</si>
  <si>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</si>
  <si>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</si>
  <si>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</si>
  <si>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</si>
  <si>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</si>
  <si>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</si>
  <si>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</si>
  <si>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</si>
  <si>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</si>
  <si>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</si>
  <si>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</si>
  <si>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</si>
  <si>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</si>
  <si>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</si>
  <si>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</si>
  <si>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</si>
  <si>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</si>
  <si>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</si>
  <si>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</si>
  <si>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</si>
  <si>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</si>
  <si>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</si>
  <si>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</si>
  <si>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</si>
  <si>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</si>
  <si>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</si>
  <si>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</si>
  <si>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</si>
  <si>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</si>
  <si>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</si>
  <si>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</si>
  <si>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</si>
  <si>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</si>
  <si>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</si>
  <si>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</si>
  <si>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</si>
  <si>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</si>
  <si>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</si>
  <si>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</si>
  <si>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</si>
  <si>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</si>
  <si>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</si>
  <si>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</si>
  <si>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</si>
  <si>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</si>
  <si>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</si>
  <si>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</si>
  <si>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</si>
  <si>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</si>
  <si>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</si>
  <si>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</si>
  <si>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</si>
  <si>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</si>
  <si>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</si>
  <si>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</si>
  <si>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</si>
  <si>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</si>
  <si>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</si>
  <si>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</si>
  <si>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</si>
  <si>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</si>
  <si>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</si>
  <si>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</si>
  <si>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</si>
  <si>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</si>
  <si>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</si>
  <si>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</si>
  <si>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</si>
  <si>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</si>
  <si>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</si>
  <si>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</si>
  <si>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</si>
  <si>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</si>
  <si>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</si>
  <si>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</si>
  <si>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</si>
  <si>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</si>
  <si>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</si>
  <si>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</si>
  <si>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</si>
  <si>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</si>
  <si>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</si>
  <si>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</si>
  <si>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</si>
  <si>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</si>
  <si>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</si>
  <si>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</si>
  <si>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</si>
  <si>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</si>
  <si>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</si>
  <si>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QVQLQESGPGLVKPSETLSLTCTVSGGSVSSGGYFWSWIRQPPGKGLEWIGCIYYSGSTNYNPSLKSRVTISVDTSKNQFSLKLSSVTAADTAVYYCARVDSFYYGMDVWGQGTTVTVSSGGGSGGGSGGGSGGGSDIQMTQSPSSLSASVGDRVTITCRASQGIRNDLGWYQQKPGKAPKLLIYAASSLQSGVPSRFSGSGSGTDFTLTISSLQPEDFATYYCQQSYSTPRTFGQGTKVEIK</t>
  </si>
  <si>
    <t>EVQLVESGGGLVQPGGSLRLSCAASGFTFSSYAMSWVRQAPGKGLEWVSAISGSGGSTYYADSVKGRFTISRDNSKNTLYLQMNSLRAEDTAVYYCARQVWFGGFDYWGQGTLVTVSSGGGSGGGSGGGSGGGSDIQMTQSPSSLSASVGDRVTITCRASQSVSSAVAWYQQKPGKAPKLLIYSASSLYSGVPSRFSGSRSGTDFTLTISSLQPEDFATYYCQQYKYVPVTFGQGTKVEIK</t>
  </si>
  <si>
    <t>EVQLVESGGGLVQPGGSLRLSCAASGFNVSSSYIHWVRQAPGKGLEWVASISSYYGYTYYADSVKGRFTISADTSKNTAYLQMNSLRAEDTAVYYCARSRQFWYSGLDYWGQGTLVTVSSGGGSGGGSGGGSGGGSDIQMTQSPSSLSASVGDRVTITCRASQSVSSAVAWYQQKPGKAPKLLIYSASSLYSGVPSRFSGSRSGTDFTLTISSLQPEDFATYYCQQYKYVPVTFGQGTKVEIK</t>
  </si>
  <si>
    <t>QMQLVQSGAEVKKPGESLKISCKGSGYSFTSYWIGWVRQMPGKGLEWMGIIYPGDSDTRYSPSFQGQVTISADKSISTAYLQWSSLKASDTAIYYCARHYYGGQYFDYWGQGTLVTVSSGGGSGGGSGGGSGGGSDIQMTQSPSSLSASVGDRVTITCRASQGIRNDLGWYQQKPGKAPKLLIYAASSLQSGVPSRFSGSGSGTDFTLTISSLQPEDFATYYCQQSYSTPYTFGQGTKLEIK</t>
  </si>
  <si>
    <t>QVQLVQSGAEVKKPGSSVKVSCKASGGTFSSYAISWVRQAPGQGLEWMGGIIPIFGTANYAQKFQGRVTITADESTSTAYMELSSLRSEDTAVYYCARWYDGYFVYWGQGTLVTVSSGGGSGGGSGGGSGGGSDIQMTQSPSSLSASVGDRVTITCRASQSISSYLNWYQQKPGKAPKLLIYAASSLQSGVPSRFSGSGSGTDFTLTISSLQPEDFATYYCQQSYSTPYTFGQGTKVEIK</t>
  </si>
  <si>
    <t>EVQLVESGGGLVQPGGSLRLSCAASGFNVSSSSIHWVRQAPGKGLEWVASISSYYGYTYYADSVKGRFTISADTSKNTAYLQMNSLRAEDTAVYYCARSRQFWYSGLDYWGQGTLVTVFNGGGSGGGSGGGSGGGSDIQMTQSPSSLSASVGDRVTITCRASQSVSSAVAWYQQKPGKAPKLLIYSASSLYSGVPSRFSGSRSGTDFTLTISSLQPEDFATYYCQQYKYVPVTFGQGTKVEIK</t>
  </si>
  <si>
    <t>VQLVQSGAEVKKPGASVKVSCKASGYTFTTYTISWVRQAPGQGLEWMGWINNSGGTNYAQKFQGRVTMTRDTSTSTVSAYMELRSEDTAVYYCATFVYGYSAYQPLTDDYGQMDVWGQGTTVTVSSGGGSGGGSGGGSGGGSDIQMTQSPSSLSASVGDRVTITCRASQSISSYLNWFQQKPGKAPKLLIYAASSLQSGVPSRFSGSGSGTDFTLTISSLQPEDFATYYCQQSLLYPLTFGGGTKVEIK</t>
  </si>
  <si>
    <t>EVQLVESGGGLVQPGGSLRLSCAASGFNISSSSIHWVRQAPGKGLEWVASIYSSSGSTYYADSVKGRFTISADTSKNTAYLQMNSLRAEDTAVYYCARHRWWAHPYWGQGTLVTVSSGGGSGGGSGGGSGGGSDIQMTQSPSSLSASVGDRVTITCRASQSVSSAVAWYQQKPGKAPKLLIYSASSLYSGVPSRFSGSRSGTDFTLTISSLQPEDFATYYCQQSYYITPYTFGQGTKVEIK</t>
  </si>
  <si>
    <t>EVQLVESGGGVVQPGRSLRLSCAASGFTFSSYAMHWVRQAPGKGLEWVAVIWYDGSNKYYADSVKGRFTISRDNSKNTLFLQMNSLRPEDTAVYYCARDTPMYYDVWGQGTTVTVSSGGGSGGGSGGGSGGGSDIQLTQSPSSLSASVGDRVTITCRTSQDIDNYLNWYQQKPGKAPKLLIYYTSSLHSGVPSRFSGSGSGTDFTFTISSLQPEDIATYYCQQYDNLPITFGQGTKLEIK</t>
  </si>
  <si>
    <t>QVQLQESGPGLVKPSQTLSLTCTVSGGSVSSGSYYWSWIRQPPGKGLEWIGYIYYSGSTNYNPSLKSRVTISVDTSKNQFSLKLSSVTAADTAVYYCARVDSFYYGMDVWGQGTTVTVSSGGGSGGGSGGGSGGGSDIQMTQSPSSLSASVGDRVTITCRASSGSSYDNGWYQQKPGKAPKLLIYAASSLQSGVPSRFSGSGSGTDFTLTISSLQPEDFATYYLQDSNYTPRTFGQGTKVEIK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</si>
</sst>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3.952925115744" createdVersion="8" refreshedVersion="8" minRefreshableVersion="3" recordCount="81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81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81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3T00:00:00" count="8">
        <d v="2025-11-07T00:00:00"/>
        <d v="2025-11-08T00:00:00"/>
        <d v="2025-11-09T00:00:00"/>
        <d v="2025-11-10T00:00:00"/>
        <d v="2025-11-11T00:00:00"/>
        <d v="2025-11-12T00:00:00"/>
        <m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x v="0"/>
    <x v="0"/>
    <s v="peleke-phi-4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0"/>
    <s v="peleke-phi-4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m/>
    <s v="GGGSGGGSGGGSGGGS"/>
    <x v="49"/>
    <n v="243"/>
    <b v="1"/>
    <b v="0"/>
    <b v="0"/>
    <m/>
    <m/>
    <x v="5"/>
  </r>
  <r>
    <x v="50"/>
    <x v="0"/>
    <s v="peleke-phi-4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m/>
    <s v="GGGSGGGSGGGSGGGS"/>
    <x v="50"/>
    <n v="241"/>
    <b v="1"/>
    <b v="0"/>
    <b v="0"/>
    <m/>
    <m/>
    <x v="5"/>
  </r>
  <r>
    <x v="51"/>
    <x v="0"/>
    <s v="peleke-phi-4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m/>
    <s v="GGGSGGGSGGGSGGGS"/>
    <x v="51"/>
    <n v="243"/>
    <b v="1"/>
    <b v="0"/>
    <b v="0"/>
    <m/>
    <m/>
    <x v="5"/>
  </r>
  <r>
    <x v="52"/>
    <x v="0"/>
    <s v="peleke-phi-4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m/>
    <s v="GGGSGGGSGGGSGGGS"/>
    <x v="52"/>
    <n v="245"/>
    <b v="1"/>
    <b v="0"/>
    <b v="0"/>
    <m/>
    <m/>
    <x v="6"/>
  </r>
  <r>
    <x v="53"/>
    <x v="0"/>
    <s v="peleke-phi-4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m/>
    <s v="GGGSGGGSGGGSGGGS"/>
    <x v="53"/>
    <n v="240"/>
    <b v="1"/>
    <b v="0"/>
    <b v="0"/>
    <m/>
    <m/>
    <x v="6"/>
  </r>
  <r>
    <x v="54"/>
    <x v="0"/>
    <s v="peleke-phi-4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m/>
    <s v="GGGSGGGSGGGSGGGS"/>
    <x v="54"/>
    <n v="245"/>
    <b v="1"/>
    <b v="0"/>
    <b v="0"/>
    <m/>
    <m/>
    <x v="6"/>
  </r>
  <r>
    <x v="55"/>
    <x v="0"/>
    <s v="peleke-phi-4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m/>
    <s v="GGGSGGGSGGGSGGGS"/>
    <x v="55"/>
    <n v="240"/>
    <b v="1"/>
    <b v="0"/>
    <b v="0"/>
    <m/>
    <m/>
    <x v="6"/>
  </r>
  <r>
    <x v="56"/>
    <x v="0"/>
    <s v="peleke-phi-4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m/>
    <s v="GGGSGGGSGGGSGGGS"/>
    <x v="56"/>
    <n v="249"/>
    <b v="1"/>
    <b v="0"/>
    <b v="0"/>
    <m/>
    <m/>
    <x v="6"/>
  </r>
  <r>
    <x v="57"/>
    <x v="0"/>
    <s v="peleke-phi-4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m/>
    <s v="GGGSGGGSGGGSGGGS"/>
    <x v="57"/>
    <n v="240"/>
    <b v="1"/>
    <b v="0"/>
    <b v="0"/>
    <m/>
    <m/>
    <x v="6"/>
  </r>
  <r>
    <x v="58"/>
    <x v="0"/>
    <s v="peleke-phi-4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m/>
    <s v="GGGSGGGSGGGSGGGS"/>
    <x v="58"/>
    <n v="242"/>
    <b v="1"/>
    <b v="0"/>
    <b v="0"/>
    <m/>
    <m/>
    <x v="6"/>
  </r>
  <r>
    <x v="59"/>
    <x v="0"/>
    <s v="peleke-phi-4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m/>
    <s v="GGGSGGGSGGGSGGGS"/>
    <x v="59"/>
    <n v="242"/>
    <b v="1"/>
    <b v="0"/>
    <b v="0"/>
    <m/>
    <m/>
    <x v="5"/>
  </r>
  <r>
    <x v="60"/>
    <x v="0"/>
    <s v="peleke-phi-4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m/>
    <s v="GGGSGGGSGGGSGGGS"/>
    <x v="60"/>
    <n v="240"/>
    <b v="1"/>
    <b v="0"/>
    <b v="0"/>
    <m/>
    <m/>
    <x v="5"/>
  </r>
  <r>
    <x v="61"/>
    <x v="0"/>
    <s v="peleke-phi-4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m/>
    <s v="GGGSGGGSGGGSGGGS"/>
    <x v="61"/>
    <n v="243"/>
    <b v="1"/>
    <b v="0"/>
    <b v="0"/>
    <m/>
    <m/>
    <x v="5"/>
  </r>
  <r>
    <x v="62"/>
    <x v="0"/>
    <s v="peleke-phi-4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m/>
    <s v="GGGSGGGSGGGSGGGS"/>
    <x v="62"/>
    <n v="238"/>
    <b v="1"/>
    <b v="0"/>
    <b v="0"/>
    <m/>
    <m/>
    <x v="6"/>
  </r>
  <r>
    <x v="63"/>
    <x v="0"/>
    <s v="peleke-phi-4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m/>
    <s v="GGGSGGGSGGGSGGGS"/>
    <x v="63"/>
    <n v="246"/>
    <b v="1"/>
    <b v="0"/>
    <b v="0"/>
    <m/>
    <m/>
    <x v="6"/>
  </r>
  <r>
    <x v="64"/>
    <x v="0"/>
    <s v="peleke-phi-4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m/>
    <s v="GGGSGGGSGGGSGGGS"/>
    <x v="64"/>
    <n v="246"/>
    <b v="1"/>
    <b v="0"/>
    <b v="0"/>
    <m/>
    <m/>
    <x v="6"/>
  </r>
  <r>
    <x v="65"/>
    <x v="0"/>
    <s v="peleke-phi-4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m/>
    <s v="GGGSGGGSGGGSGGGS"/>
    <x v="65"/>
    <n v="235"/>
    <b v="1"/>
    <b v="0"/>
    <b v="0"/>
    <m/>
    <m/>
    <x v="6"/>
  </r>
  <r>
    <x v="66"/>
    <x v="0"/>
    <s v="peleke-phi-4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m/>
    <s v="GGGSGGGSGGGSGGGS"/>
    <x v="66"/>
    <n v="241"/>
    <b v="1"/>
    <b v="0"/>
    <b v="0"/>
    <m/>
    <m/>
    <x v="6"/>
  </r>
  <r>
    <x v="67"/>
    <x v="0"/>
    <s v="peleke-phi-4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m/>
    <s v="GGGSGGGSGGGSGGGS"/>
    <x v="67"/>
    <n v="240"/>
    <b v="1"/>
    <b v="0"/>
    <b v="0"/>
    <m/>
    <m/>
    <x v="6"/>
  </r>
  <r>
    <x v="68"/>
    <x v="0"/>
    <s v="peleke-phi-4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m/>
    <s v="GGGSGGGSGGGSGGGS"/>
    <x v="68"/>
    <n v="239"/>
    <b v="1"/>
    <b v="0"/>
    <b v="0"/>
    <m/>
    <m/>
    <x v="6"/>
  </r>
  <r>
    <x v="69"/>
    <x v="0"/>
    <s v="peleke-phi-4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m/>
    <s v="GGGSGGGSGGGSGGGS"/>
    <x v="69"/>
    <n v="249"/>
    <b v="1"/>
    <b v="0"/>
    <b v="0"/>
    <m/>
    <m/>
    <x v="5"/>
  </r>
  <r>
    <x v="70"/>
    <x v="0"/>
    <s v="peleke-phi-4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m/>
    <s v="GGGSGGGSGGGSGGGS"/>
    <x v="70"/>
    <n v="241"/>
    <b v="1"/>
    <b v="0"/>
    <b v="0"/>
    <m/>
    <m/>
    <x v="5"/>
  </r>
  <r>
    <x v="71"/>
    <x v="0"/>
    <s v="peleke-phi-4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m/>
    <s v="GGGSGGGSGGGSGGGS"/>
    <x v="71"/>
    <n v="240"/>
    <b v="1"/>
    <b v="0"/>
    <b v="0"/>
    <m/>
    <m/>
    <x v="5"/>
  </r>
  <r>
    <x v="72"/>
    <x v="0"/>
    <s v="peleke-phi-4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m/>
    <s v="GGGSGGGSGGGSGGGS"/>
    <x v="72"/>
    <n v="242"/>
    <b v="1"/>
    <b v="0"/>
    <b v="0"/>
    <m/>
    <m/>
    <x v="6"/>
  </r>
  <r>
    <x v="73"/>
    <x v="0"/>
    <s v="peleke-phi-4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m/>
    <s v="GGGSGGGSGGGSGGGS"/>
    <x v="73"/>
    <n v="243"/>
    <b v="1"/>
    <b v="0"/>
    <b v="0"/>
    <m/>
    <m/>
    <x v="6"/>
  </r>
  <r>
    <x v="74"/>
    <x v="0"/>
    <s v="peleke-phi-4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m/>
    <s v="GGGSGGGSGGGSGGGS"/>
    <x v="74"/>
    <n v="237"/>
    <b v="1"/>
    <b v="0"/>
    <b v="0"/>
    <m/>
    <m/>
    <x v="6"/>
  </r>
  <r>
    <x v="75"/>
    <x v="0"/>
    <s v="peleke-phi-4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m/>
    <s v="GGGSGGGSGGGSGGGS"/>
    <x v="75"/>
    <n v="237"/>
    <b v="1"/>
    <b v="0"/>
    <b v="0"/>
    <m/>
    <m/>
    <x v="6"/>
  </r>
  <r>
    <x v="76"/>
    <x v="0"/>
    <s v="peleke-phi-4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m/>
    <s v="GGGSGGGSGGGS"/>
    <x v="76"/>
    <n v="247"/>
    <b v="1"/>
    <b v="0"/>
    <b v="0"/>
    <m/>
    <m/>
    <x v="6"/>
  </r>
  <r>
    <x v="77"/>
    <x v="0"/>
    <s v="peleke-phi-4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m/>
    <s v="GGGSGGGSGGGSGGGS"/>
    <x v="77"/>
    <n v="243"/>
    <b v="1"/>
    <b v="0"/>
    <b v="0"/>
    <m/>
    <m/>
    <x v="6"/>
  </r>
  <r>
    <x v="78"/>
    <x v="0"/>
    <s v="peleke-phi-4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m/>
    <s v="GGGSGGGSGGGSGGGS"/>
    <x v="78"/>
    <n v="240"/>
    <b v="1"/>
    <b v="0"/>
    <b v="0"/>
    <m/>
    <m/>
    <x v="6"/>
  </r>
  <r>
    <x v="79"/>
    <x v="0"/>
    <s v="peleke-phi-4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m/>
    <s v="GGGSGGGSGGGSGGGS"/>
    <x v="79"/>
    <n v="243"/>
    <b v="1"/>
    <b v="0"/>
    <b v="0"/>
    <m/>
    <m/>
    <x v="5"/>
  </r>
  <r>
    <x v="80"/>
    <x v="4"/>
    <m/>
    <m/>
    <m/>
    <m/>
    <m/>
    <m/>
    <m/>
    <m/>
    <m/>
    <m/>
    <x v="80"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1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0"/>
        <item x="1"/>
        <item x="2"/>
        <item x="3"/>
        <item x="4"/>
        <item x="5"/>
        <item m="1" x="7"/>
      </items>
    </pivotField>
  </pivotFields>
  <rowFields count="3">
    <field x="0"/>
    <field x="1"/>
    <field x="12"/>
  </rowFields>
  <rowItems count="10">
    <i>
      <x/>
      <x v="1"/>
      <x v="19"/>
    </i>
    <i>
      <x v="6"/>
      <x v="2"/>
      <x v="5"/>
    </i>
    <i>
      <x v="8"/>
      <x v="2"/>
      <x v="23"/>
    </i>
    <i>
      <x v="9"/>
      <x v="2"/>
      <x v="13"/>
    </i>
    <i>
      <x v="12"/>
      <x v="2"/>
      <x v="11"/>
    </i>
    <i>
      <x v="14"/>
      <x v="2"/>
      <x v="20"/>
    </i>
    <i>
      <x v="22"/>
      <x v="3"/>
      <x v="12"/>
    </i>
    <i>
      <x v="23"/>
      <x v="3"/>
      <x v="2"/>
    </i>
    <i>
      <x v="27"/>
      <x v="3"/>
      <x v="24"/>
    </i>
    <i>
      <x v="28"/>
      <x v="3"/>
      <x v="4"/>
    </i>
  </rowItems>
  <colItems count="1">
    <i/>
  </colItems>
  <pageFields count="1">
    <pageField fld="19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8D9BF-DD48-4B0D-B005-50CFC13EA4CA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1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0"/>
        <item x="1"/>
        <item x="2"/>
        <item x="3"/>
        <item x="4"/>
        <item x="5"/>
        <item m="1" x="7"/>
      </items>
    </pivotField>
  </pivotFields>
  <rowFields count="3">
    <field x="0"/>
    <field x="1"/>
    <field x="12"/>
  </rowFields>
  <rowItems count="10">
    <i>
      <x v="1"/>
      <x v="1"/>
      <x v="17"/>
    </i>
    <i>
      <x v="2"/>
      <x v="1"/>
      <x v="16"/>
    </i>
    <i>
      <x v="3"/>
      <x v="1"/>
      <x v="9"/>
    </i>
    <i>
      <x v="4"/>
      <x v="1"/>
      <x v="8"/>
    </i>
    <i>
      <x v="5"/>
      <x/>
      <x v="18"/>
    </i>
    <i>
      <x v="7"/>
      <x v="2"/>
      <x v="3"/>
    </i>
    <i>
      <x v="10"/>
      <x v="2"/>
      <x v="10"/>
    </i>
    <i>
      <x v="11"/>
      <x v="2"/>
      <x v="6"/>
    </i>
    <i>
      <x v="13"/>
      <x v="2"/>
      <x v="15"/>
    </i>
    <i>
      <x v="15"/>
      <x v="2"/>
      <x v="1"/>
    </i>
  </rowItems>
  <colItems count="1">
    <i/>
  </colItems>
  <pageFields count="1">
    <pageField fld="19" item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30A9A-0810-4D7B-BBE4-92BE215D0229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2" firstHeaderRow="0" firstDataRow="0" firstDataCol="3" rowPageCount="1" colPageCount="1"/>
  <pivotFields count="20">
    <pivotField axis="axisRow" compact="0" outline="0" showAll="0" defaultSubtota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1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0"/>
        <item x="1"/>
        <item x="2"/>
        <item x="3"/>
        <item x="4"/>
        <item x="5"/>
        <item m="1" x="7"/>
      </items>
    </pivotField>
  </pivotFields>
  <rowFields count="3">
    <field x="0"/>
    <field x="1"/>
    <field x="12"/>
  </rowFields>
  <rowItems count="9">
    <i>
      <x v="16"/>
      <x v="2"/>
      <x v="22"/>
    </i>
    <i>
      <x v="17"/>
      <x v="2"/>
      <x v="7"/>
    </i>
    <i>
      <x v="18"/>
      <x v="2"/>
      <x v="14"/>
    </i>
    <i>
      <x v="19"/>
      <x v="2"/>
      <x/>
    </i>
    <i>
      <x v="20"/>
      <x v="2"/>
      <x v="21"/>
    </i>
    <i>
      <x v="21"/>
      <x v="3"/>
      <x v="27"/>
    </i>
    <i>
      <x v="24"/>
      <x v="3"/>
      <x v="25"/>
    </i>
    <i>
      <x v="25"/>
      <x v="3"/>
      <x v="28"/>
    </i>
    <i>
      <x v="26"/>
      <x v="3"/>
      <x v="26"/>
    </i>
  </rowItems>
  <colItems count="1">
    <i/>
  </colItems>
  <pageFields count="1">
    <pageField fld="19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54B109-E0E8-463A-8A38-71BCCBD1ABE8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1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0"/>
        <item x="1"/>
        <item x="2"/>
        <item x="3"/>
        <item x="4"/>
        <item x="5"/>
        <item m="1" x="7"/>
      </items>
    </pivotField>
  </pivotFields>
  <rowFields count="3">
    <field x="0"/>
    <field x="1"/>
    <field x="12"/>
  </rowFields>
  <rowItems count="10">
    <i>
      <x v="29"/>
      <x v="1"/>
      <x v="29"/>
    </i>
    <i>
      <x v="30"/>
      <x v="1"/>
      <x v="30"/>
    </i>
    <i>
      <x v="31"/>
      <x v="1"/>
      <x v="31"/>
    </i>
    <i>
      <x v="32"/>
      <x v="1"/>
      <x v="32"/>
    </i>
    <i>
      <x v="33"/>
      <x v="1"/>
      <x v="33"/>
    </i>
    <i>
      <x v="34"/>
      <x v="1"/>
      <x v="34"/>
    </i>
    <i>
      <x v="35"/>
      <x v="1"/>
      <x v="35"/>
    </i>
    <i>
      <x v="36"/>
      <x v="1"/>
      <x v="36"/>
    </i>
    <i>
      <x v="37"/>
      <x v="1"/>
      <x v="37"/>
    </i>
    <i>
      <x v="38"/>
      <x v="1"/>
      <x v="38"/>
    </i>
  </rowItems>
  <colItems count="1">
    <i/>
  </colItems>
  <pageFields count="1">
    <pageField fld="19" item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CE7CB-DCA8-443D-A73C-3A819111AB4F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1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0"/>
        <item x="1"/>
        <item x="2"/>
        <item x="3"/>
        <item x="4"/>
        <item x="5"/>
        <item m="1" x="7"/>
      </items>
    </pivotField>
  </pivotFields>
  <rowFields count="3">
    <field x="0"/>
    <field x="1"/>
    <field x="12"/>
  </rowFields>
  <rowItems count="10">
    <i>
      <x v="39"/>
      <x v="1"/>
      <x v="39"/>
    </i>
    <i>
      <x v="40"/>
      <x v="1"/>
      <x v="40"/>
    </i>
    <i>
      <x v="41"/>
      <x v="1"/>
      <x v="41"/>
    </i>
    <i>
      <x v="42"/>
      <x v="1"/>
      <x v="42"/>
    </i>
    <i>
      <x v="43"/>
      <x v="1"/>
      <x v="43"/>
    </i>
    <i>
      <x v="44"/>
      <x v="1"/>
      <x v="44"/>
    </i>
    <i>
      <x v="45"/>
      <x v="1"/>
      <x v="45"/>
    </i>
    <i>
      <x v="46"/>
      <x v="1"/>
      <x v="46"/>
    </i>
    <i>
      <x v="47"/>
      <x v="1"/>
      <x v="47"/>
    </i>
    <i>
      <x v="48"/>
      <x v="1"/>
      <x v="48"/>
    </i>
  </rowItems>
  <colItems count="1">
    <i/>
  </colItems>
  <pageFields count="1">
    <pageField fld="19" item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295D7-E972-4944-97A7-E1A4AD5CF827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1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0"/>
        <item x="1"/>
        <item x="2"/>
        <item x="3"/>
        <item x="4"/>
        <item x="5"/>
        <item m="1" x="7"/>
      </items>
    </pivotField>
  </pivotFields>
  <rowFields count="3">
    <field x="0"/>
    <field x="1"/>
    <field x="12"/>
  </rowFields>
  <rowItems count="10">
    <i>
      <x v="50"/>
      <x v="1"/>
      <x v="50"/>
    </i>
    <i>
      <x v="51"/>
      <x v="1"/>
      <x v="51"/>
    </i>
    <i>
      <x v="52"/>
      <x v="1"/>
      <x v="52"/>
    </i>
    <i>
      <x v="60"/>
      <x v="1"/>
      <x v="60"/>
    </i>
    <i>
      <x v="61"/>
      <x v="1"/>
      <x v="61"/>
    </i>
    <i>
      <x v="62"/>
      <x v="1"/>
      <x v="62"/>
    </i>
    <i>
      <x v="70"/>
      <x v="1"/>
      <x v="70"/>
    </i>
    <i>
      <x v="71"/>
      <x v="1"/>
      <x v="71"/>
    </i>
    <i>
      <x v="72"/>
      <x v="1"/>
      <x v="72"/>
    </i>
    <i>
      <x v="80"/>
      <x v="1"/>
      <x v="80"/>
    </i>
  </rowItems>
  <colItems count="1">
    <i/>
  </colItems>
  <pageFields count="1">
    <pageField fld="19" item="6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1"/>
  <sheetViews>
    <sheetView tabSelected="1"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F83" sqref="F83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2.1406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5703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223</v>
      </c>
      <c r="V1" s="7" t="s">
        <v>224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244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234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237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235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236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240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245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238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247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246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239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241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248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242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251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243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225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226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227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229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228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233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249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250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231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230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232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252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253</v>
      </c>
      <c r="V30" s="4">
        <v>0</v>
      </c>
    </row>
    <row r="31" spans="1:22" ht="60" x14ac:dyDescent="0.25">
      <c r="A31" s="1" t="s">
        <v>184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144</v>
      </c>
      <c r="J31" s="2" t="s">
        <v>145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294</v>
      </c>
    </row>
    <row r="32" spans="1:22" ht="75" x14ac:dyDescent="0.25">
      <c r="A32" s="1" t="s">
        <v>185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146</v>
      </c>
      <c r="J32" s="2" t="s">
        <v>147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292</v>
      </c>
      <c r="V32" s="4">
        <v>0.01</v>
      </c>
    </row>
    <row r="33" spans="1:22" ht="75" x14ac:dyDescent="0.25">
      <c r="A33" s="1" t="s">
        <v>186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148</v>
      </c>
      <c r="J33" s="2" t="s">
        <v>149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293</v>
      </c>
      <c r="V33" s="4">
        <v>0</v>
      </c>
    </row>
    <row r="34" spans="1:22" ht="60" x14ac:dyDescent="0.25">
      <c r="A34" s="1" t="s">
        <v>187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150</v>
      </c>
      <c r="J34" s="2" t="s">
        <v>151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285</v>
      </c>
      <c r="V34" s="4">
        <v>0.14000000000000001</v>
      </c>
    </row>
    <row r="35" spans="1:22" ht="75" x14ac:dyDescent="0.25">
      <c r="A35" s="1" t="s">
        <v>188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152</v>
      </c>
      <c r="J35" s="2" t="s">
        <v>153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286</v>
      </c>
      <c r="V35" s="4">
        <v>0.01</v>
      </c>
    </row>
    <row r="36" spans="1:22" ht="75" x14ac:dyDescent="0.25">
      <c r="A36" s="1" t="s">
        <v>189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154</v>
      </c>
      <c r="J36" s="2" t="s">
        <v>155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287</v>
      </c>
      <c r="V36" s="4">
        <v>0</v>
      </c>
    </row>
    <row r="37" spans="1:22" ht="75" x14ac:dyDescent="0.25">
      <c r="A37" s="1" t="s">
        <v>190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156</v>
      </c>
      <c r="J37" s="2" t="s">
        <v>157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288</v>
      </c>
      <c r="V37" s="4">
        <v>0.12</v>
      </c>
    </row>
    <row r="38" spans="1:22" ht="60" x14ac:dyDescent="0.25">
      <c r="A38" s="1" t="s">
        <v>191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158</v>
      </c>
      <c r="J38" s="2" t="s">
        <v>159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290</v>
      </c>
      <c r="V38" s="4">
        <v>0.11</v>
      </c>
    </row>
    <row r="39" spans="1:22" ht="60" x14ac:dyDescent="0.25">
      <c r="A39" s="1" t="s">
        <v>192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160</v>
      </c>
      <c r="J39" s="2" t="s">
        <v>161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289</v>
      </c>
      <c r="V39" s="4">
        <v>0.05</v>
      </c>
    </row>
    <row r="40" spans="1:22" ht="75" x14ac:dyDescent="0.25">
      <c r="A40" s="1" t="s">
        <v>193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162</v>
      </c>
      <c r="J40" s="2" t="s">
        <v>163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291</v>
      </c>
      <c r="V40" s="4">
        <v>0.01</v>
      </c>
    </row>
    <row r="41" spans="1:22" ht="75" x14ac:dyDescent="0.25">
      <c r="A41" s="1" t="s">
        <v>194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164</v>
      </c>
      <c r="J41" s="2" t="s">
        <v>165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295</v>
      </c>
      <c r="V41" s="4">
        <v>0.02</v>
      </c>
    </row>
    <row r="42" spans="1:22" ht="60" x14ac:dyDescent="0.25">
      <c r="A42" s="1" t="s">
        <v>195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166</v>
      </c>
      <c r="J42" s="2" t="s">
        <v>167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297</v>
      </c>
      <c r="V42" s="4">
        <v>0</v>
      </c>
    </row>
    <row r="43" spans="1:22" ht="60" x14ac:dyDescent="0.25">
      <c r="A43" s="1" t="s">
        <v>196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168</v>
      </c>
      <c r="J43" s="2" t="s">
        <v>169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296</v>
      </c>
      <c r="V43" s="4">
        <v>0.01</v>
      </c>
    </row>
    <row r="44" spans="1:22" ht="60" x14ac:dyDescent="0.25">
      <c r="A44" s="1" t="s">
        <v>197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170</v>
      </c>
      <c r="J44" s="2" t="s">
        <v>171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299</v>
      </c>
      <c r="V44" s="4">
        <v>0.01</v>
      </c>
    </row>
    <row r="45" spans="1:22" ht="60" x14ac:dyDescent="0.25">
      <c r="A45" s="1" t="s">
        <v>198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172</v>
      </c>
      <c r="J45" s="2" t="s">
        <v>173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298</v>
      </c>
      <c r="V45" s="4">
        <v>0</v>
      </c>
    </row>
    <row r="46" spans="1:22" ht="75" x14ac:dyDescent="0.25">
      <c r="A46" s="1" t="s">
        <v>199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174</v>
      </c>
      <c r="J46" s="2" t="s">
        <v>175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199</v>
      </c>
      <c r="V46" s="4">
        <v>0.12</v>
      </c>
    </row>
    <row r="47" spans="1:22" ht="75" x14ac:dyDescent="0.25">
      <c r="A47" s="1" t="s">
        <v>200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176</v>
      </c>
      <c r="J47" s="2" t="s">
        <v>177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302</v>
      </c>
      <c r="V47" s="4">
        <v>0.16</v>
      </c>
    </row>
    <row r="48" spans="1:22" ht="60" x14ac:dyDescent="0.25">
      <c r="A48" s="1" t="s">
        <v>201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178</v>
      </c>
      <c r="J48" s="2" t="s">
        <v>179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303</v>
      </c>
      <c r="V48" s="4">
        <v>0</v>
      </c>
    </row>
    <row r="49" spans="1:22" ht="60" x14ac:dyDescent="0.25">
      <c r="A49" s="1" t="s">
        <v>202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180</v>
      </c>
      <c r="J49" s="2" t="s">
        <v>181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300</v>
      </c>
      <c r="V49" s="4">
        <v>0.09</v>
      </c>
    </row>
    <row r="50" spans="1:22" ht="75" x14ac:dyDescent="0.25">
      <c r="A50" s="1" t="s">
        <v>203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182</v>
      </c>
      <c r="J50" s="2" t="s">
        <v>183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301</v>
      </c>
      <c r="V50" s="4">
        <v>0</v>
      </c>
    </row>
    <row r="51" spans="1:22" ht="75" x14ac:dyDescent="0.25">
      <c r="A51" s="1" t="s">
        <v>312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307</v>
      </c>
      <c r="I51" s="2" t="s">
        <v>342</v>
      </c>
      <c r="J51" s="2" t="s">
        <v>343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</row>
    <row r="52" spans="1:22" ht="60" x14ac:dyDescent="0.25">
      <c r="A52" s="1" t="s">
        <v>313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307</v>
      </c>
      <c r="I52" s="2" t="s">
        <v>344</v>
      </c>
      <c r="J52" s="2" t="s">
        <v>345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</row>
    <row r="53" spans="1:22" ht="60" x14ac:dyDescent="0.25">
      <c r="A53" s="1" t="s">
        <v>314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307</v>
      </c>
      <c r="I53" s="2" t="s">
        <v>346</v>
      </c>
      <c r="J53" s="2" t="s">
        <v>345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</row>
    <row r="54" spans="1:22" ht="75" x14ac:dyDescent="0.25">
      <c r="A54" s="1" t="s">
        <v>315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307</v>
      </c>
      <c r="I54" s="2" t="s">
        <v>347</v>
      </c>
      <c r="J54" s="2" t="s">
        <v>345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/>
    </row>
    <row r="55" spans="1:22" ht="60" x14ac:dyDescent="0.25">
      <c r="A55" s="1" t="s">
        <v>316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307</v>
      </c>
      <c r="I55" s="2" t="s">
        <v>348</v>
      </c>
      <c r="J55" s="2" t="s">
        <v>349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/>
    </row>
    <row r="56" spans="1:22" ht="75" x14ac:dyDescent="0.25">
      <c r="A56" s="1" t="s">
        <v>317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307</v>
      </c>
      <c r="I56" s="2" t="s">
        <v>350</v>
      </c>
      <c r="J56" s="2" t="s">
        <v>345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/>
    </row>
    <row r="57" spans="1:22" ht="60" x14ac:dyDescent="0.25">
      <c r="A57" s="1" t="s">
        <v>318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307</v>
      </c>
      <c r="I57" s="2" t="s">
        <v>351</v>
      </c>
      <c r="J57" s="2" t="s">
        <v>345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/>
    </row>
    <row r="58" spans="1:22" ht="75" x14ac:dyDescent="0.25">
      <c r="A58" s="1" t="s">
        <v>319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307</v>
      </c>
      <c r="I58" s="2" t="s">
        <v>352</v>
      </c>
      <c r="J58" s="2" t="s">
        <v>353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/>
    </row>
    <row r="59" spans="1:22" ht="60" x14ac:dyDescent="0.25">
      <c r="A59" s="1" t="s">
        <v>320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307</v>
      </c>
      <c r="I59" s="2" t="s">
        <v>354</v>
      </c>
      <c r="J59" s="2" t="s">
        <v>345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</row>
    <row r="60" spans="1:22" ht="60" x14ac:dyDescent="0.25">
      <c r="A60" s="1" t="s">
        <v>321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307</v>
      </c>
      <c r="I60" s="2" t="s">
        <v>355</v>
      </c>
      <c r="J60" s="2" t="s">
        <v>345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</row>
    <row r="61" spans="1:22" ht="60" x14ac:dyDescent="0.25">
      <c r="A61" s="1" t="s">
        <v>322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307</v>
      </c>
      <c r="I61" s="2" t="s">
        <v>356</v>
      </c>
      <c r="J61" s="2" t="s">
        <v>357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</row>
    <row r="62" spans="1:22" ht="60" x14ac:dyDescent="0.25">
      <c r="A62" s="1" t="s">
        <v>323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307</v>
      </c>
      <c r="I62" s="2" t="s">
        <v>358</v>
      </c>
      <c r="J62" s="2" t="s">
        <v>24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</row>
    <row r="63" spans="1:22" ht="75" x14ac:dyDescent="0.25">
      <c r="A63" s="1" t="s">
        <v>324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307</v>
      </c>
      <c r="I63" s="2" t="s">
        <v>359</v>
      </c>
      <c r="J63" s="2" t="s">
        <v>345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</row>
    <row r="64" spans="1:22" ht="60" x14ac:dyDescent="0.25">
      <c r="A64" s="1" t="s">
        <v>325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307</v>
      </c>
      <c r="I64" s="2" t="s">
        <v>360</v>
      </c>
      <c r="J64" s="2" t="s">
        <v>353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/>
    </row>
    <row r="65" spans="1:20" ht="75" x14ac:dyDescent="0.25">
      <c r="A65" s="1" t="s">
        <v>326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307</v>
      </c>
      <c r="I65" s="2" t="s">
        <v>361</v>
      </c>
      <c r="J65" s="2" t="s">
        <v>362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/>
    </row>
    <row r="66" spans="1:20" ht="75" x14ac:dyDescent="0.25">
      <c r="A66" s="1" t="s">
        <v>327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307</v>
      </c>
      <c r="I66" s="2" t="s">
        <v>363</v>
      </c>
      <c r="J66" s="2" t="s">
        <v>364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/>
    </row>
    <row r="67" spans="1:20" ht="60" x14ac:dyDescent="0.25">
      <c r="A67" s="1" t="s">
        <v>328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307</v>
      </c>
      <c r="I67" s="2" t="s">
        <v>365</v>
      </c>
      <c r="J67" s="2" t="s">
        <v>366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1" si="4">IF(N67&lt;=250,TRUE,FALSE)</f>
        <v>1</v>
      </c>
      <c r="P67" s="1" t="b">
        <v>0</v>
      </c>
      <c r="Q67" s="1" t="b">
        <v>0</v>
      </c>
      <c r="T67" s="10"/>
    </row>
    <row r="68" spans="1:20" ht="60" x14ac:dyDescent="0.25">
      <c r="A68" s="1" t="s">
        <v>329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307</v>
      </c>
      <c r="I68" s="2" t="s">
        <v>367</v>
      </c>
      <c r="J68" s="2" t="s">
        <v>368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/>
    </row>
    <row r="69" spans="1:20" ht="60" x14ac:dyDescent="0.25">
      <c r="A69" s="1" t="s">
        <v>330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307</v>
      </c>
      <c r="I69" s="2" t="s">
        <v>369</v>
      </c>
      <c r="J69" s="2" t="s">
        <v>345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/>
    </row>
    <row r="70" spans="1:20" ht="60" x14ac:dyDescent="0.25">
      <c r="A70" s="1" t="s">
        <v>331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307</v>
      </c>
      <c r="I70" s="2" t="s">
        <v>370</v>
      </c>
      <c r="J70" s="2" t="s">
        <v>345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</row>
    <row r="71" spans="1:20" ht="75" x14ac:dyDescent="0.25">
      <c r="A71" s="1" t="s">
        <v>332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307</v>
      </c>
      <c r="I71" s="2" t="s">
        <v>371</v>
      </c>
      <c r="J71" s="2" t="s">
        <v>372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1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</row>
    <row r="72" spans="1:20" ht="60" x14ac:dyDescent="0.25">
      <c r="A72" s="1" t="s">
        <v>333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307</v>
      </c>
      <c r="I72" s="2" t="s">
        <v>373</v>
      </c>
      <c r="J72" s="2" t="s">
        <v>374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</row>
    <row r="73" spans="1:20" ht="60" x14ac:dyDescent="0.25">
      <c r="A73" s="1" t="s">
        <v>334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307</v>
      </c>
      <c r="I73" s="2" t="s">
        <v>375</v>
      </c>
      <c r="J73" s="2" t="s">
        <v>376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</row>
    <row r="74" spans="1:20" ht="75" x14ac:dyDescent="0.25">
      <c r="A74" s="1" t="s">
        <v>335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307</v>
      </c>
      <c r="I74" s="2" t="s">
        <v>377</v>
      </c>
      <c r="J74" s="2" t="s">
        <v>378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/>
    </row>
    <row r="75" spans="1:20" ht="60" x14ac:dyDescent="0.25">
      <c r="A75" s="1" t="s">
        <v>336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307</v>
      </c>
      <c r="I75" s="2" t="s">
        <v>379</v>
      </c>
      <c r="J75" s="2" t="s">
        <v>380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/>
    </row>
    <row r="76" spans="1:20" ht="60" x14ac:dyDescent="0.25">
      <c r="A76" s="1" t="s">
        <v>337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307</v>
      </c>
      <c r="I76" s="2" t="s">
        <v>381</v>
      </c>
      <c r="J76" s="2" t="s">
        <v>382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/>
    </row>
    <row r="77" spans="1:20" ht="60" x14ac:dyDescent="0.25">
      <c r="A77" s="1" t="s">
        <v>338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307</v>
      </c>
      <c r="I77" s="2" t="s">
        <v>383</v>
      </c>
      <c r="J77" s="2" t="s">
        <v>384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/>
    </row>
    <row r="78" spans="1:20" ht="75" x14ac:dyDescent="0.25">
      <c r="A78" s="1" t="s">
        <v>339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307</v>
      </c>
      <c r="I78" s="2" t="s">
        <v>385</v>
      </c>
      <c r="J78" s="2" t="s">
        <v>386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/>
    </row>
    <row r="79" spans="1:20" ht="75" x14ac:dyDescent="0.25">
      <c r="A79" s="1" t="s">
        <v>340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307</v>
      </c>
      <c r="I79" s="2" t="s">
        <v>387</v>
      </c>
      <c r="J79" s="2" t="s">
        <v>165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/>
    </row>
    <row r="80" spans="1:20" ht="60" x14ac:dyDescent="0.25">
      <c r="A80" s="1" t="s">
        <v>341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307</v>
      </c>
      <c r="I80" s="2" t="s">
        <v>388</v>
      </c>
      <c r="J80" s="2" t="s">
        <v>389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/>
    </row>
    <row r="81" spans="1:20" ht="45" x14ac:dyDescent="0.25">
      <c r="A81" s="1" t="s">
        <v>390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312</v>
      </c>
      <c r="G81" s="1" t="s">
        <v>307</v>
      </c>
      <c r="H81" s="1">
        <v>3</v>
      </c>
      <c r="I81" s="2" t="s">
        <v>392</v>
      </c>
      <c r="J81" s="2" t="s">
        <v>393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</row>
  </sheetData>
  <autoFilter ref="A1:V80" xr:uid="{00000000-0001-0000-0100-000000000000}"/>
  <phoneticPr fontId="1" type="noConversion"/>
  <conditionalFormatting sqref="K1:L1048576">
    <cfRule type="cellIs" dxfId="7" priority="14" operator="equal">
      <formula>TRUE</formula>
    </cfRule>
    <cfRule type="cellIs" dxfId="6" priority="15" operator="equal">
      <formula>FALSE</formula>
    </cfRule>
    <cfRule type="containsBlanks" dxfId="5" priority="15">
      <formula>LEN(TRIM(K1))=0</formula>
    </cfRule>
  </conditionalFormatting>
  <conditionalFormatting sqref="O2:O81">
    <cfRule type="containsBlanks" dxfId="4" priority="7">
      <formula>LEN(TRIM(O2))=0</formula>
    </cfRule>
  </conditionalFormatting>
  <conditionalFormatting sqref="O2:S2 R3:S22 O3:Q81">
    <cfRule type="cellIs" dxfId="3" priority="8" operator="equal">
      <formula>FALSE</formula>
    </cfRule>
    <cfRule type="cellIs" dxfId="2" priority="16" operator="equal">
      <formula>TRUE</formula>
    </cfRule>
  </conditionalFormatting>
  <conditionalFormatting sqref="R1:S1048576 V1:V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E4" sqref="E4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280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258</v>
      </c>
      <c r="H1" s="1" t="s">
        <v>257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282</v>
      </c>
      <c r="D2" s="2" t="s">
        <v>6</v>
      </c>
      <c r="E2" s="2" t="s">
        <v>7</v>
      </c>
      <c r="F2" s="2" t="s">
        <v>8</v>
      </c>
      <c r="G2" s="2" t="s">
        <v>256</v>
      </c>
      <c r="H2" s="2" t="s">
        <v>254</v>
      </c>
      <c r="I2" s="1">
        <v>0.55449599999999999</v>
      </c>
      <c r="J2" s="1">
        <v>0.37068000000000001</v>
      </c>
    </row>
    <row r="3" spans="1:10" ht="105" x14ac:dyDescent="0.25">
      <c r="A3" s="1" t="s">
        <v>281</v>
      </c>
      <c r="B3" s="1" t="s">
        <v>308</v>
      </c>
      <c r="C3" s="4" t="s">
        <v>283</v>
      </c>
      <c r="D3" s="2" t="s">
        <v>255</v>
      </c>
      <c r="F3" s="2" t="s">
        <v>259</v>
      </c>
      <c r="G3" s="2" t="s">
        <v>256</v>
      </c>
      <c r="H3" s="2" t="s">
        <v>254</v>
      </c>
      <c r="I3" s="1">
        <v>0.79488899999999996</v>
      </c>
      <c r="J3" s="1">
        <v>0.72998799999999997</v>
      </c>
    </row>
    <row r="4" spans="1:10" ht="120" x14ac:dyDescent="0.25">
      <c r="A4" s="1" t="s">
        <v>307</v>
      </c>
      <c r="B4" s="1" t="s">
        <v>309</v>
      </c>
      <c r="C4" s="4" t="s">
        <v>305</v>
      </c>
      <c r="D4" s="2" t="s">
        <v>306</v>
      </c>
      <c r="F4" s="2" t="s">
        <v>310</v>
      </c>
      <c r="G4" s="2" t="s">
        <v>256</v>
      </c>
      <c r="H4" s="2" t="s">
        <v>254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391</v>
      </c>
    </row>
    <row r="5" spans="1:2" x14ac:dyDescent="0.25">
      <c r="A5" s="4" t="s">
        <v>282</v>
      </c>
      <c r="B5" s="2" t="s">
        <v>284</v>
      </c>
    </row>
    <row r="6" spans="1:2" x14ac:dyDescent="0.25">
      <c r="A6" s="4" t="s">
        <v>283</v>
      </c>
      <c r="B6" s="2" t="s">
        <v>311</v>
      </c>
    </row>
    <row r="7" spans="1:2" x14ac:dyDescent="0.25">
      <c r="A7" s="4" t="s">
        <v>305</v>
      </c>
      <c r="B7" s="2" t="s">
        <v>304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1"/>
  <sheetViews>
    <sheetView workbookViewId="0">
      <selection activeCell="A22" sqref="A22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45968</v>
      </c>
    </row>
    <row r="4" spans="1:3" x14ac:dyDescent="0.25">
      <c r="A4" t="s">
        <v>17</v>
      </c>
      <c r="B4" t="s">
        <v>18</v>
      </c>
      <c r="C4" t="s">
        <v>134</v>
      </c>
    </row>
    <row r="5" spans="1:3" x14ac:dyDescent="0.25">
      <c r="A5" t="s">
        <v>43</v>
      </c>
      <c r="B5" t="s">
        <v>51</v>
      </c>
      <c r="C5" t="s">
        <v>135</v>
      </c>
    </row>
    <row r="6" spans="1:3" x14ac:dyDescent="0.25">
      <c r="A6" t="s">
        <v>45</v>
      </c>
      <c r="B6" t="s">
        <v>51</v>
      </c>
      <c r="C6" t="s">
        <v>136</v>
      </c>
    </row>
    <row r="7" spans="1:3" x14ac:dyDescent="0.25">
      <c r="A7" t="s">
        <v>46</v>
      </c>
      <c r="B7" t="s">
        <v>51</v>
      </c>
      <c r="C7" t="s">
        <v>137</v>
      </c>
    </row>
    <row r="8" spans="1:3" x14ac:dyDescent="0.25">
      <c r="A8" t="s">
        <v>53</v>
      </c>
      <c r="B8" t="s">
        <v>51</v>
      </c>
      <c r="C8" t="s">
        <v>138</v>
      </c>
    </row>
    <row r="9" spans="1:3" x14ac:dyDescent="0.25">
      <c r="A9" t="s">
        <v>70</v>
      </c>
      <c r="B9" t="s">
        <v>51</v>
      </c>
      <c r="C9" t="s">
        <v>139</v>
      </c>
    </row>
    <row r="10" spans="1:3" x14ac:dyDescent="0.25">
      <c r="A10" t="s">
        <v>102</v>
      </c>
      <c r="B10" t="s">
        <v>109</v>
      </c>
      <c r="C10" t="s">
        <v>140</v>
      </c>
    </row>
    <row r="11" spans="1:3" x14ac:dyDescent="0.25">
      <c r="A11" t="s">
        <v>103</v>
      </c>
      <c r="B11" t="s">
        <v>109</v>
      </c>
      <c r="C11" t="s">
        <v>141</v>
      </c>
    </row>
    <row r="12" spans="1:3" x14ac:dyDescent="0.25">
      <c r="A12" t="s">
        <v>107</v>
      </c>
      <c r="B12" t="s">
        <v>109</v>
      </c>
      <c r="C12" t="s">
        <v>142</v>
      </c>
    </row>
    <row r="13" spans="1:3" x14ac:dyDescent="0.25">
      <c r="A13" t="s">
        <v>108</v>
      </c>
      <c r="B13" t="s">
        <v>109</v>
      </c>
      <c r="C13" t="s">
        <v>143</v>
      </c>
    </row>
    <row r="22" spans="1:1" x14ac:dyDescent="0.25">
      <c r="A22" t="str">
        <f>_xlfn.CONCAT("&gt;",A4,"|anti-Nipha virus glycoprotein G Fv sequence|Designed by Silico Biosciences using: ",B4,"\n",C4)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3" spans="1:1" x14ac:dyDescent="0.25">
      <c r="A23" t="str">
        <f t="shared" ref="A23:A31" si="0">_xlfn.CONCAT("&gt;",A5,"|anti-Nipha virus glycoprotein G Fv sequence|Designed by Silico Biosciences using: ",B5,"\n",C5)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24" spans="1:1" x14ac:dyDescent="0.25">
      <c r="A24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25" spans="1:1" x14ac:dyDescent="0.25">
      <c r="A25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26" spans="1:1" x14ac:dyDescent="0.25">
      <c r="A26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27" spans="1:1" x14ac:dyDescent="0.25">
      <c r="A27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28" spans="1:1" x14ac:dyDescent="0.25">
      <c r="A28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29" spans="1:1" x14ac:dyDescent="0.25">
      <c r="A29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0" spans="1:1" x14ac:dyDescent="0.25">
      <c r="A30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1" spans="1:1" x14ac:dyDescent="0.25">
      <c r="A31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9A8A-9767-46C1-B0D1-2A19AD7C2699}">
  <dimension ref="A2:C31"/>
  <sheetViews>
    <sheetView workbookViewId="0">
      <selection activeCell="G3" sqref="G3:G1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45969</v>
      </c>
    </row>
    <row r="4" spans="1:3" x14ac:dyDescent="0.25">
      <c r="A4" t="s">
        <v>22</v>
      </c>
      <c r="B4" t="s">
        <v>18</v>
      </c>
      <c r="C4" t="s">
        <v>204</v>
      </c>
    </row>
    <row r="5" spans="1:3" x14ac:dyDescent="0.25">
      <c r="A5" t="s">
        <v>25</v>
      </c>
      <c r="B5" t="s">
        <v>18</v>
      </c>
      <c r="C5" t="s">
        <v>205</v>
      </c>
    </row>
    <row r="6" spans="1:3" x14ac:dyDescent="0.25">
      <c r="A6" t="s">
        <v>28</v>
      </c>
      <c r="B6" t="s">
        <v>18</v>
      </c>
      <c r="C6" t="s">
        <v>206</v>
      </c>
    </row>
    <row r="7" spans="1:3" x14ac:dyDescent="0.25">
      <c r="A7" t="s">
        <v>31</v>
      </c>
      <c r="B7" t="s">
        <v>18</v>
      </c>
      <c r="C7" t="s">
        <v>207</v>
      </c>
    </row>
    <row r="8" spans="1:3" x14ac:dyDescent="0.25">
      <c r="A8" t="s">
        <v>37</v>
      </c>
      <c r="B8" t="s">
        <v>35</v>
      </c>
      <c r="C8" t="s">
        <v>208</v>
      </c>
    </row>
    <row r="9" spans="1:3" x14ac:dyDescent="0.25">
      <c r="A9" t="s">
        <v>44</v>
      </c>
      <c r="B9" t="s">
        <v>51</v>
      </c>
      <c r="C9" t="s">
        <v>209</v>
      </c>
    </row>
    <row r="10" spans="1:3" x14ac:dyDescent="0.25">
      <c r="A10" t="s">
        <v>47</v>
      </c>
      <c r="B10" t="s">
        <v>51</v>
      </c>
      <c r="C10" t="s">
        <v>210</v>
      </c>
    </row>
    <row r="11" spans="1:3" x14ac:dyDescent="0.25">
      <c r="A11" t="s">
        <v>48</v>
      </c>
      <c r="B11" t="s">
        <v>51</v>
      </c>
      <c r="C11" t="s">
        <v>211</v>
      </c>
    </row>
    <row r="12" spans="1:3" x14ac:dyDescent="0.25">
      <c r="A12" t="s">
        <v>69</v>
      </c>
      <c r="B12" t="s">
        <v>51</v>
      </c>
      <c r="C12" t="s">
        <v>212</v>
      </c>
    </row>
    <row r="13" spans="1:3" x14ac:dyDescent="0.25">
      <c r="A13" t="s">
        <v>71</v>
      </c>
      <c r="B13" t="s">
        <v>51</v>
      </c>
      <c r="C13" t="s">
        <v>213</v>
      </c>
    </row>
    <row r="22" spans="1:1" x14ac:dyDescent="0.25">
      <c r="A22" t="str">
        <f>_xlfn.CONCAT("&gt;",A4,"\n",C4)</f>
        <v>&gt;sbio-nipahgpg-002\nQVQLVESGGGVVQPGKSLRLSCAASGFTFSSYAMSWVRQAPGKGPEWVAFISYDGSNNYYADSVKGRFTISRDNPKNTLYLQMKSLRAEDTAVYYCARWRQRFDMYWGRGTLVTVSSGGGSGGGSGGGSGGGSDIQMTQSPSSLSASVGDRVTITCRASQSISSYLNWYQQKPGKAPKLLIYAASSLQSGVPSRFSGSGSGTDFTLTISSLQPEDFATYYCQQSYSTPYTFGQGTKVEIK</v>
      </c>
    </row>
    <row r="23" spans="1:1" x14ac:dyDescent="0.25">
      <c r="A23" t="str">
        <f t="shared" ref="A23:A31" si="0">_xlfn.CONCAT("&gt;",A5,"\n",C5)</f>
        <v>&gt;sbio-nipahgpg-003\nQVQLQESGPGLVKPSETLSLTCTVSGASIRGYYWSWIRQFPGKELEWIGYVYSGSTENYNPSLKSRVTVTLTDTKNSFSLKLNSVTSEDTAVYYCARGGALIYYDVWGTGTTVTVSSGGGSGGGSGGGSGGGSDIQVTQSPVSLSASVGDRVTITCRASQGIDSLNWFQQRPGKAPKLLIYAASQLTGIAPRFRSGSGSGTDFTLTISSLQPEDFATYYCQQYNIYPATFGQGTKVEIK</v>
      </c>
    </row>
    <row r="24" spans="1:1" x14ac:dyDescent="0.25">
      <c r="A24" t="str">
        <f t="shared" si="0"/>
        <v>&gt;sbio-nipahgpg-004\nEVQLVQSGAEVKKPGESLKISCKGSGYTFSYYWIGWVRQMPGKGLEWMGIIYPGDSDTRYSPSFQGQVTISADKSISTAYLQWSSLKASDTAMYYCARGEGVFDYWGQGTLVTVSSGGGSGGGSGGGSGGGSYTLTQAPSVSASGQSVTISCTGTSRDVGTYWYQQIPGRAPKLLIHDKSENQGKTPGIPDRFSGSKSGNTASLVIIRGLQADDEADYYCNSYHGSGSNIFGGGTKLTVD</v>
      </c>
    </row>
    <row r="25" spans="1:1" x14ac:dyDescent="0.25">
      <c r="A25" t="str">
        <f t="shared" si="0"/>
        <v>&gt;sbio-nipahgpg-005\nEVQLVESGGGLVQPGGSLRLSCAASGFTFSSYWMNWVRQAPGKGLEWVANINQDGGEKYYVDSVKGRFTISRDNAKNSLYLQMNSLRAEDTAIYYCARDVGGGMDVWGQGTTVTVSSGGGSGGGSGGGSGGGSQMTQSPSSLSASVGDRVTITCRASQSVSSAVAWYQQKPGKAPKLLIYSASSLYSGVPSRFSGSRSGTDFTLTISSLQPEDFATYYCQQSSSSLITFGQGTKVEIK</v>
      </c>
    </row>
    <row r="26" spans="1:1" x14ac:dyDescent="0.25">
      <c r="A26" t="str">
        <f t="shared" si="0"/>
        <v>&gt;sbio-nipahgpg-008\nQVQLVESGGGVVQPGRSLRLSCAASGFTFSSYAMSWVRQAPGKGLEWVSAIWSNGGSTYYADSVKGRFTISRDNAKNSLYLQMNSLRAEDTAVYYCARDYGSYGYFDYWGQGTLVTVSSGGGSGGGSGGGSGGGSDIVMTQSPLSLPVTPGEPASISCRSSQSLLYSNGNTYLEWYLQKPGQSPQLLIYLVSKLDSGVPDRFSGSGSGTDFTLKISRVEAEDLGIYYCQQSKEVPYTFGAGTKLEIK</v>
      </c>
    </row>
    <row r="27" spans="1:1" x14ac:dyDescent="0.25">
      <c r="A27" t="str">
        <f t="shared" si="0"/>
        <v>&gt;sbio-nipahgpg-010\nAVSITESGGGTKAPGSSVTLSCKVSGFVFSKYSIAWVRQAPGQGLEWVSQISPDGSTTRYNPAVAGRFTISRDNSNSTAYLQMSNLTPSDTATYYCAIIPQDNEHGDYSLSHWGQGTQLTVSAGGGSGGGSGGGSGGGSAIKLTQSPKSLSAKVGDTVTINCTASAPIGDFLSWYKQKPGQPPQLLIYKSSTLAPGVSSRYSGSGSDTNFTLTISSLQEEDFATYYCQQTATLPITFGEGTTINKK</v>
      </c>
    </row>
    <row r="28" spans="1:1" x14ac:dyDescent="0.25">
      <c r="A28" t="str">
        <f t="shared" si="0"/>
        <v xml:space="preserve">&gt;sbio-nipahgpg-013\nEVSLVESGGGTVKPGESVTLSCQASGFNFSKYRLAWVRQPPGQGLVWVSEISPDGTEVKYHPDVKGRFTASRDNSNSTAYLKMNNLQPSDTATYYCGIIPQDSSHGDYSISHWGQGTQLTVSAGGGSGGGSGGGSGGGSTITLTQSPSSLSASVGDTVTINCTASRPIGDFLSWYKQKPGQPPQLLIYRSSTLASGVSSRYSGSGSDTNFTLTISSLQSDDFATYYCQQTYTLPITFGQGTTLTKK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29" spans="1:1" x14ac:dyDescent="0.25">
      <c r="A29" t="str">
        <f t="shared" si="0"/>
        <v>&gt;sbio-nipahgpg-014\nAVSLVESGGGTYAPGSSVTLSCQGSGFNFSKVRKVWVRQPPGGPLEYVAEISPDGSTTTYASSVAGRFTISKDNSNSTLYLSMSNLTPADTATYYCGLIPGDSEHGDRSISHWGQGTLVTVSAGGGSGGGSGGGSGGGSAITLTQSPSSLSASVGDTVTINCTASQPIGNFLSWYKQKPGQPPQLLIYNASTLAPGVSSRYSGSGSDTNFTLTISSLQSEDFATYYCQQTSRLPVTFGQGTTINKK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30" spans="1:1" x14ac:dyDescent="0.25">
      <c r="A30" t="str">
        <f t="shared" si="0"/>
        <v xml:space="preserve">&gt;sbio-nipahgpg-016\nPVSLVESGGGTVAPGSSVTLTCQASGFNFSKYIVAWVRQPPGQPLRFVAMITPDGSKVWLHPEVEGRFTPSKDNSKNTSYLQLKDLQPEDTATYYCGIIPQGSTHGDYSITHWGQGVVLTVTAGGGSGGGSGGGSGGGSMVTLTQSPSSLSASVGDTVTITCTASSPVDNLMSWYQQPPGQPLRLLIYNASTRAPGVSSRFSGSGSDTNFTLTISSLQASDFATYYCQQTYRLPVTFGQGTTLSAA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31" spans="1:1" x14ac:dyDescent="0.25">
      <c r="A31" t="str">
        <f t="shared" si="0"/>
        <v>&gt;sbio-nipahgpg-018\nAITLTESGGGVVAPGSSVTLTCTASGFNFSKYSMVWVRQPPGGPLQWVAQISPDNSTVRYHPAVEGRFTASKDNSKNTAYLAMSDLEPSDTATYYCGIIPQGSTHNDYSIVHWGQGTELRVVAGGGSGGGSGGGSGGGSMIKLTQSPSSLSAKVGDKVTITCTASSPVDNLVSWYKQPPGGPLQLLIYNSSTRAPGVSSRFKGSGSDTNFTLTIESLQEEDFATYYCQQTYKFPITFGQGTKLTRA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5C98-D213-4C3E-A62C-3D471ED52EA4}">
  <dimension ref="A2:C31"/>
  <sheetViews>
    <sheetView workbookViewId="0">
      <selection activeCell="G1" sqref="G1:G9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45970</v>
      </c>
    </row>
    <row r="4" spans="1:3" x14ac:dyDescent="0.25">
      <c r="A4" t="s">
        <v>72</v>
      </c>
      <c r="B4" t="s">
        <v>51</v>
      </c>
      <c r="C4" t="s">
        <v>214</v>
      </c>
    </row>
    <row r="5" spans="1:3" x14ac:dyDescent="0.25">
      <c r="A5" t="s">
        <v>73</v>
      </c>
      <c r="B5" t="s">
        <v>51</v>
      </c>
      <c r="C5" t="s">
        <v>215</v>
      </c>
    </row>
    <row r="6" spans="1:3" x14ac:dyDescent="0.25">
      <c r="A6" t="s">
        <v>74</v>
      </c>
      <c r="B6" t="s">
        <v>51</v>
      </c>
      <c r="C6" t="s">
        <v>216</v>
      </c>
    </row>
    <row r="7" spans="1:3" x14ac:dyDescent="0.25">
      <c r="A7" t="s">
        <v>75</v>
      </c>
      <c r="B7" t="s">
        <v>51</v>
      </c>
      <c r="C7" t="s">
        <v>217</v>
      </c>
    </row>
    <row r="8" spans="1:3" x14ac:dyDescent="0.25">
      <c r="A8" t="s">
        <v>76</v>
      </c>
      <c r="B8" t="s">
        <v>51</v>
      </c>
      <c r="C8" t="s">
        <v>218</v>
      </c>
    </row>
    <row r="9" spans="1:3" x14ac:dyDescent="0.25">
      <c r="A9" t="s">
        <v>101</v>
      </c>
      <c r="B9" t="s">
        <v>109</v>
      </c>
      <c r="C9" t="s">
        <v>219</v>
      </c>
    </row>
    <row r="10" spans="1:3" x14ac:dyDescent="0.25">
      <c r="A10" t="s">
        <v>104</v>
      </c>
      <c r="B10" t="s">
        <v>109</v>
      </c>
      <c r="C10" t="s">
        <v>220</v>
      </c>
    </row>
    <row r="11" spans="1:3" x14ac:dyDescent="0.25">
      <c r="A11" t="s">
        <v>105</v>
      </c>
      <c r="B11" t="s">
        <v>109</v>
      </c>
      <c r="C11" t="s">
        <v>221</v>
      </c>
    </row>
    <row r="12" spans="1:3" x14ac:dyDescent="0.25">
      <c r="A12" t="s">
        <v>106</v>
      </c>
      <c r="B12" t="s">
        <v>109</v>
      </c>
      <c r="C12" t="s">
        <v>222</v>
      </c>
    </row>
    <row r="22" spans="1:1" x14ac:dyDescent="0.25">
      <c r="A22" t="str">
        <f>_xlfn.CONCAT("&gt;",A4,"\n",C4)</f>
        <v>&gt;sbio-nipahgpg-019\nSISLTESGGGTVAPGSSVTLTCTASGFNFSKYSVAWVRQPPGQPLQWVALISPDGSKKWYHPDVKGRATISKDNSKNTSYLTLSNLQPSDTATYYCGIIPGGNIHGDYSMTHWGQGTQLTVVAGGGSGGGSGGGSGGGSMITLTQSPLSLSAKVGDTVTITCTASSPVDDLVSWYQQKPGQPLRLLIRNASERAPGVSSRFSGSGSDTTFTLTISSVQEEDFATYYCQQTSKLPYTFGQGTTLSRA</v>
      </c>
    </row>
    <row r="23" spans="1:1" x14ac:dyDescent="0.25">
      <c r="A23" t="str">
        <f t="shared" ref="A23:A31" si="0">_xlfn.CONCAT("&gt;",A5,"\n",C5)</f>
        <v>&gt;sbio-nipahgpg-020\nAVTLTESGGGTVAPGSSVTLTCTASGFNFSKYILAWVRQAPGQPLEWVASISPDGSKTRYHPAVKGRATASKDNSKNTAYLELKDLRPEDTATYYCGIIPQGSVHGDYSMTHWGQGTELRVEAGGGSGGGSGGGSGGGSPVVLTQSPLSLSAKVGDTVTITCTASSPVDNLVSWYKQAPGQPLQLLIYNATTRAPGVPSRFTGSGSDTTFTLTISSLQPEDFAVYYCQQTYKFPITFGQGTRLTPA</v>
      </c>
    </row>
    <row r="24" spans="1:1" x14ac:dyDescent="0.25">
      <c r="A24" t="str">
        <f t="shared" si="0"/>
        <v>&gt;sbio-nipahgpg-021\nPVKLVESGGGTVAPGSSVTLTCKASGFNFSKYMVQWVRQAPGGAFQWVGLISPDGSTKWYHPDVEGRFTISKDNSKNTAYLEMRNLTPADTAVYYCGIVPQGSVHGDYSITHWGQGVTLTVTAGGGSGGGSGGGSGGGSVVQLTQSPPELSAKVGEKVTITCTASSPVDNLVSWYQQKPGGAPKLLIYNATTLAPGVPSRFSGSGSDTVFTLTIDSLQAEDFATYYCQQTSRLPFTFGQGTVLRPA</v>
      </c>
    </row>
    <row r="25" spans="1:1" x14ac:dyDescent="0.25">
      <c r="A25" t="str">
        <f t="shared" si="0"/>
        <v>&gt;sbio-nipahgpg-022\nAIKLTESGGGTVKPGSSVTLTCQASGFNFSKYIMAWVRQAPGQPLQWVAQISPDNSVKRYHPEVEGRFTASKDNSKNTAYLEMKNLTPADTATYYCAIIPQGSTQGDYSMVHWGQGVELKVVAGGGSGGGSGGGSGGGSPVVLTQSPASLKAAVGDTVTITCTASAPVDNLVSWYKQAPGQPPQLLIYNASTLAPGVPSRFTGSGSDTSFTLTISSLQEEDFATYYCQETSKFPITFGQGTKLEKK</v>
      </c>
    </row>
    <row r="26" spans="1:1" x14ac:dyDescent="0.25">
      <c r="A26" t="str">
        <f t="shared" si="0"/>
        <v>&gt;sbio-nipahgpg-023\nSIKLTESGGGVVAPGESVTLTCTASGFNFSKYEMAWVRQAPGGPLEFVAVISPDGSTTRYHPRVEGRATISRDNSKNTAYLTLRDLTPADTAVYYCGIIPGGSVHGDRALSHWGQGVRLEVRAGGGSGGGSGGGSGGGSMVTLTQSPSSLSAKVGDKVTISCTASEPVDDLVSWYKQAPGGPPQLLISRASTRAPGVPSRFSGSGSDTNFTLTIESLQSSDFATYYCQQTYKFPDTFGQGTTLSEA</v>
      </c>
    </row>
    <row r="27" spans="1:1" x14ac:dyDescent="0.25">
      <c r="A27" t="str">
        <f t="shared" si="0"/>
        <v xml:space="preserve">&gt;sbio-nipahgpg-024\nSVTLVESGDQTVAPGGSVTLSCTSSGGSFGNSGVSWVKQQPGGPLQWIGGIIPSLGISKVSPEYAGRVTISSDSSNNTAYLTISNLTAADTATYYCALGEGEDVFASSPFASNVNLGALSVWGQGTKVTVSGGGSGGGSGGGSITVTQSPSSPSLKVGETATLTCTLSAPVPRSNVAWYKQQPGQPPTLLIYGGSTRAPGVPSRYSGSGSGTTFTLTITALKPEDFATYYCQVYGENPSFGQGTTLKLK </v>
      </c>
    </row>
    <row r="28" spans="1:1" x14ac:dyDescent="0.25">
      <c r="A28" t="str">
        <f t="shared" si="0"/>
        <v>&gt;sbio-nipahgpg-027\nSITLVQSGDVTVAPGGSVTLTCTSSGGSFGNKAVAWVRQRPGGPYEWLGFIIPAYGVSRYNPAYEGRVTISVDSASNTASLTISNLTAADTATYYCALGEGEIVYAASPFDENYKLGALYIWGQGTKVTVSGGGSGGGSGGGSITLTQSPSSPSLSVGETATLTCTASAPVPKSNVAWYKQLPGQPPELLIYGGSTRASGVPSRYSGSGSGTTFTLTISSLTADDFATYYCQVYGENPSFGEGTTLTLK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29" spans="1:1" x14ac:dyDescent="0.25">
      <c r="A29" t="str">
        <f t="shared" si="0"/>
        <v>&gt;sbio-nipahgpg-028\nSVTLVQSGDQTVPIGGSVTLSCTANGGSFGNKGVAWVRQRPGGPYEFLGFIKPAIGESRYHPKYKGRVTISSDVSSNTAYLTISNLTPEDTAVYYCALGEAEDVFAAHPFKTDLLLGALSIWGQGTRVTVTGGGSGGGSGGGSITVTQSPSSPSLSVGETAVLTCTLSQPVPQSQVAWYKQLPGQPPTLLISGGSTRASGVPSRYSGSGSGTTFTLTISSLLPEDFATYYCQVVGKEPSFGQGTTLTLK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30" spans="1:1" x14ac:dyDescent="0.25">
      <c r="A30" t="str">
        <f t="shared" si="0"/>
        <v>&gt;sbio-nipahgpg-029\nSVKLVQSGDQTVPVGGSVTLSCTASGGSFGNYGVAWVRQRPGGPLEYIGSIIPAYGISTVNPKYEGRVTISADPTNNTAYLTISNLTPEDTATYYCALGPGEVVFASSPFDIDVLTGALWVWGEGTKVTVTGGGSGGGSGGGSITVTQSPSSPSLKVGETATLTCTLSAPVAKSNVAWYKQLPGQPPELLIYGGSTRASGVPSRYSGSGSGTTFTLTISSLQPEDFATYYCQVVGKNPSFGQGTLLKLK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31" spans="1:1" x14ac:dyDescent="0.25">
      <c r="A31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FDEB-5BB3-48D3-9187-D05B367D0DB3}">
  <dimension ref="A2:C31"/>
  <sheetViews>
    <sheetView workbookViewId="0">
      <selection activeCell="G3" sqref="G3:G1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45971</v>
      </c>
    </row>
    <row r="4" spans="1:3" x14ac:dyDescent="0.25">
      <c r="A4" t="s">
        <v>184</v>
      </c>
      <c r="B4" t="s">
        <v>18</v>
      </c>
      <c r="C4" t="s">
        <v>260</v>
      </c>
    </row>
    <row r="5" spans="1:3" x14ac:dyDescent="0.25">
      <c r="A5" t="s">
        <v>185</v>
      </c>
      <c r="B5" t="s">
        <v>18</v>
      </c>
      <c r="C5" t="s">
        <v>261</v>
      </c>
    </row>
    <row r="6" spans="1:3" x14ac:dyDescent="0.25">
      <c r="A6" t="s">
        <v>186</v>
      </c>
      <c r="B6" t="s">
        <v>18</v>
      </c>
      <c r="C6" t="s">
        <v>262</v>
      </c>
    </row>
    <row r="7" spans="1:3" x14ac:dyDescent="0.25">
      <c r="A7" t="s">
        <v>187</v>
      </c>
      <c r="B7" t="s">
        <v>18</v>
      </c>
      <c r="C7" t="s">
        <v>263</v>
      </c>
    </row>
    <row r="8" spans="1:3" x14ac:dyDescent="0.25">
      <c r="A8" t="s">
        <v>188</v>
      </c>
      <c r="B8" t="s">
        <v>18</v>
      </c>
      <c r="C8" t="s">
        <v>264</v>
      </c>
    </row>
    <row r="9" spans="1:3" x14ac:dyDescent="0.25">
      <c r="A9" t="s">
        <v>189</v>
      </c>
      <c r="B9" t="s">
        <v>18</v>
      </c>
      <c r="C9" t="s">
        <v>265</v>
      </c>
    </row>
    <row r="10" spans="1:3" x14ac:dyDescent="0.25">
      <c r="A10" t="s">
        <v>190</v>
      </c>
      <c r="B10" t="s">
        <v>18</v>
      </c>
      <c r="C10" t="s">
        <v>266</v>
      </c>
    </row>
    <row r="11" spans="1:3" x14ac:dyDescent="0.25">
      <c r="A11" t="s">
        <v>191</v>
      </c>
      <c r="B11" t="s">
        <v>18</v>
      </c>
      <c r="C11" t="s">
        <v>267</v>
      </c>
    </row>
    <row r="12" spans="1:3" x14ac:dyDescent="0.25">
      <c r="A12" t="s">
        <v>192</v>
      </c>
      <c r="B12" t="s">
        <v>18</v>
      </c>
      <c r="C12" t="s">
        <v>268</v>
      </c>
    </row>
    <row r="13" spans="1:3" x14ac:dyDescent="0.25">
      <c r="A13" t="s">
        <v>193</v>
      </c>
      <c r="B13" t="s">
        <v>18</v>
      </c>
      <c r="C13" t="s">
        <v>269</v>
      </c>
    </row>
    <row r="22" spans="1:1" x14ac:dyDescent="0.25">
      <c r="A22" t="str">
        <f>_xlfn.CONCAT("&gt;",A4,"\n",C4)</f>
        <v>&gt;sbio-nipahgpg-032\nVQLQESGPGLVKPSQSLSLTCTVTGYSITTGYAWNWIRQFPGNKLEWMGYISYSGSTYYPSLKSRISITRDTSKNQFFLQLSIVTTEDTATYYCARGTTLPDYVDFWGQGTSVTVSSGGGSGGGSGGGSGGGSDIQLTQSPSSLSASVGDRVTITCRASQTISTYLNWYQQKPGKAPKLLIYAASTLQSGVPSRFSGSGSGTDFTLTISSLQPEDFATYFCLQHFWTPPITFGQGTRLEIK</v>
      </c>
    </row>
    <row r="23" spans="1:1" x14ac:dyDescent="0.25">
      <c r="A23" t="str">
        <f t="shared" ref="A23:A31" si="0">_xlfn.CONCAT("&gt;",A5,"\n",C5)</f>
        <v>&gt;sbio-nipahgpg-033\nQVQLQESGPGLVKPSETLSVTCTVSGGSIGSNNYWSWIRQPAGKGLEWIGYIYYSGSTNYNPSLKSRVTMSVDTSKNQFSLKLSSVTAADTAVYYCVRNYYDSSDSSGYYFMDVWGQGTTVTVSSGGGSGGGSGGGSDIVMTQSPLSLSVTPGEPASISCRSSQSLLHSNGYNYLDWYLQKPGQSPQLLIYLGSNRASGVPDRFSGSGSGTDFTLKISRVEAEDVGVYYCMQALQTPTFGQGTRLEIK</v>
      </c>
    </row>
    <row r="24" spans="1:1" x14ac:dyDescent="0.25">
      <c r="A24" t="str">
        <f t="shared" si="0"/>
        <v>&gt;sbio-nipahgpg-034\nQVQLVQSGAEVKKPGESLKISCKGSGYRFSSYWIGWVRQMPGKGLEWMGIIYPGDSDTRYSPSFQGQVTISADKSISTAYLQWSSLKASDTAMYYCARQGPDYYYGMDVWGQGTTVTVSSGGGSGGGSGGGSGGGSDIQMTQSPSTLSASVGDRVTITCRASQSISSWLAWYQQKPGKAPKLLIYKASELQSGVPSRFSGSGSGTEFTLTISSLQPDDFATYYCQQYINSYTFGQGTKVEIK</v>
      </c>
    </row>
    <row r="25" spans="1:1" x14ac:dyDescent="0.25">
      <c r="A25" t="str">
        <f t="shared" si="0"/>
        <v>&gt;sbio-nipahgpg-035\nQVQLQQSGPELVKPGASVKLSCKASGYTFTDYYMHWVKQRPGQGLEWIGEINPNSGGTNTYDQKFKGRATLTVDKSSSTAYLQLSSLTSEDSAVYYCARSPPWYFDYWGQGTTLTVSGGGSGGGSGGGSGGGSDIVMTQSPSSMFASVGETVTITCRASENIYSNLAWYQQKPGQSPKLLIYWASTRHTGVPDRFTGSGSGTDFTLTISSVQAEDLALYYCQHYGSYSFTFGSGTKLEIK</v>
      </c>
    </row>
    <row r="26" spans="1:1" x14ac:dyDescent="0.25">
      <c r="A26" t="str">
        <f t="shared" si="0"/>
        <v>&gt;sbio-nipahgpg-036\nEVQLVESGGGLVQPGGSLRLSCAASGFNVSYSSIHWVRQAPGKGLEWVASISSYYGYTYYADSVKGRFTISADTSKNTAYLQMNSLRAEDTAVYYCARSRNYVYSSGYLDFWGQGTLVTVSSGGGSGGGSGGGSGGGSDIQMTQSPSSLSASVGDRVTITCRASQSVSSAVAWYQQKPGKAPKLLIYSASSLYSGVPSRFSGSRSGTDFTLTISSLQPEDFATYYCQQSSYSSPPTFGQGTKVEIK</v>
      </c>
    </row>
    <row r="27" spans="1:1" x14ac:dyDescent="0.25">
      <c r="A27" t="str">
        <f t="shared" si="0"/>
        <v>&gt;sbio-nipahgpg-037\nEVQLVESGGGLVQPGGSLRLSCAASGFNIYYSSIHWVRQAPGKGLEWVASISPYYGSTSYADSVKGRFTISADTSKNTAYLQMNSLRAEDTAVYYCARDYGHYYYAMDYWGQGTLVTVSSGGGSGGGSGGGSGGGSEIVMTQSPATLSVSPGERATLSCRASQSVSSYLAWYQQKPGQAPRLLIYGASTRATGIPARFSGSGSGTEFTLTISSLQSEDSAVYYCQQYNNWPPITFGQGTRLEIK</v>
      </c>
    </row>
    <row r="28" spans="1:1" x14ac:dyDescent="0.25">
      <c r="A28" t="str">
        <f t="shared" si="0"/>
        <v>&gt;sbio-nipahgpg-038\nQVQLQESGPGLVKPSETLSLSCVVSGDSSSTNYYWGWIRQPPGKGLEWIGYIYGSGDTAYNPSLKSRVTISVDTSKNQFSLKLSSVTAADTAVYYCARRSWGYGYNGYSTYYYYYYFDQGYFDVWGPGTLVTGGGSGGGSGGGSDIQMTQSPSSLSASVGDRVTITCRASQSIGSYLNWYQQKPGKAPKLLIYAASTLQSGVPSRFSGSGSGTEFTLTISSLQPEDFATYYCQQSYSWGQGTKVEIK</v>
      </c>
    </row>
    <row r="29" spans="1:1" x14ac:dyDescent="0.25">
      <c r="A29" t="str">
        <f t="shared" si="0"/>
        <v>&gt;sbio-nipahgpg-039\nQVQLVQSGAEVKKPGASVKVSCKASGYTFTSYGISWVRQAPGQGLEWMGWISAHNGDTNYAQKFQGRVTMTRDTSITTAYMELRSDDTAVYYCARDGSVGGFYWGQGTLVTVSSGGGSGGGSGGGSGGGSEIVLTQSPGTLSLSPGERATLSCRASQSVSSYLAWYQQKPGQAPRLLIYGASSRATGIPDRFSGSGSGTDFTLTISRLEPEDFAVYYCQQYGSSPITFGQGTRLEIK</v>
      </c>
    </row>
    <row r="30" spans="1:1" x14ac:dyDescent="0.25">
      <c r="A30" t="str">
        <f t="shared" si="0"/>
        <v>&gt;sbio-nipahgpg-040\nEVQLLESGGGLVQPGGSLRLSCAASGFNVSYSSIHWVRQAPGKGLEWVASISPYYGSTSYADSVKGRFTISADTSKNTAYLQMNSLRAEDTAVYYCARSYYWYWSGWGTLVTVSSGGGSGGGSGGGSGGGSDIQMTQSPSSLSASVGDRVTITCRASQSVSSAVAWYQQKPGKAPKLLIYSASSLYSGVPSRFSGSRSGTDFTLTISSLQPEDFATYYCQQSYGSPPTFGQGTKVEIK</v>
      </c>
    </row>
    <row r="31" spans="1:1" x14ac:dyDescent="0.25">
      <c r="A31" t="str">
        <f t="shared" si="0"/>
        <v>&gt;sbio-nipahgpg-041\nQVQLQESGPGLVKPSQTLSLTCTVSGGSISSGHYAWWIRQPPGKGLEWIACIYSSSGSTYYNPSLKSRITISVDTSKNQFSLKLSSVTAADTAVYYCARRQRGYDYDYYYGMDVWGQGTTVTVSSGGGSGGGSGGGSGGGSDIQLTQSPSSLSASVGDRVTITCRASQGISRNLAWYQQKPGKAPKLLIYAASSLQSGVPSRFSGSGSGTDFTLTISSLQPEDFATYYCQQSNNWPITFGQGTKVEIK</v>
      </c>
    </row>
  </sheetData>
  <pageMargins left="0.7" right="0.7" top="0.75" bottom="0.75" header="0.3" footer="0.3"/>
  <pageSetup orientation="portrait" horizontalDpi="1200" verticalDpi="12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4B225-7142-4022-8646-BD8C8E254557}">
  <dimension ref="A2:C31"/>
  <sheetViews>
    <sheetView workbookViewId="0">
      <selection activeCell="A19" sqref="A19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45972</v>
      </c>
    </row>
    <row r="4" spans="1:3" x14ac:dyDescent="0.25">
      <c r="A4" t="s">
        <v>194</v>
      </c>
      <c r="B4" t="s">
        <v>18</v>
      </c>
      <c r="C4" t="s">
        <v>270</v>
      </c>
    </row>
    <row r="5" spans="1:3" x14ac:dyDescent="0.25">
      <c r="A5" t="s">
        <v>195</v>
      </c>
      <c r="B5" t="s">
        <v>18</v>
      </c>
      <c r="C5" t="s">
        <v>271</v>
      </c>
    </row>
    <row r="6" spans="1:3" x14ac:dyDescent="0.25">
      <c r="A6" t="s">
        <v>196</v>
      </c>
      <c r="B6" t="s">
        <v>18</v>
      </c>
      <c r="C6" t="s">
        <v>272</v>
      </c>
    </row>
    <row r="7" spans="1:3" x14ac:dyDescent="0.25">
      <c r="A7" t="s">
        <v>197</v>
      </c>
      <c r="B7" t="s">
        <v>18</v>
      </c>
      <c r="C7" t="s">
        <v>273</v>
      </c>
    </row>
    <row r="8" spans="1:3" x14ac:dyDescent="0.25">
      <c r="A8" t="s">
        <v>198</v>
      </c>
      <c r="B8" t="s">
        <v>18</v>
      </c>
      <c r="C8" t="s">
        <v>274</v>
      </c>
    </row>
    <row r="9" spans="1:3" x14ac:dyDescent="0.25">
      <c r="A9" t="s">
        <v>199</v>
      </c>
      <c r="B9" t="s">
        <v>18</v>
      </c>
      <c r="C9" t="s">
        <v>275</v>
      </c>
    </row>
    <row r="10" spans="1:3" x14ac:dyDescent="0.25">
      <c r="A10" t="s">
        <v>200</v>
      </c>
      <c r="B10" t="s">
        <v>18</v>
      </c>
      <c r="C10" t="s">
        <v>276</v>
      </c>
    </row>
    <row r="11" spans="1:3" x14ac:dyDescent="0.25">
      <c r="A11" t="s">
        <v>201</v>
      </c>
      <c r="B11" t="s">
        <v>18</v>
      </c>
      <c r="C11" t="s">
        <v>277</v>
      </c>
    </row>
    <row r="12" spans="1:3" x14ac:dyDescent="0.25">
      <c r="A12" t="s">
        <v>202</v>
      </c>
      <c r="B12" t="s">
        <v>18</v>
      </c>
      <c r="C12" t="s">
        <v>278</v>
      </c>
    </row>
    <row r="13" spans="1:3" x14ac:dyDescent="0.25">
      <c r="A13" t="s">
        <v>203</v>
      </c>
      <c r="B13" t="s">
        <v>18</v>
      </c>
      <c r="C13" t="s">
        <v>279</v>
      </c>
    </row>
    <row r="22" spans="1:1" x14ac:dyDescent="0.25">
      <c r="A22" t="str">
        <f>_xlfn.CONCAT("&gt;",A4,"\n",C4)</f>
        <v>&gt;sbio-nipahgpg-042\nEVQLVESGGGLVQPGGSLRLSCAASGFNIYYSSIHWVRQAPGKGLEWVASIYSYYSSTSYADSVKGRFTISADTSKNTAYLQMNSLRAEDTAVYYCARVYGYLSYSYFYWGLDVWGQGTLVTVSGGGSGGGSGGGSGGGSDIQMTQSPSSLSASVGDRVTITCRASQSVSSAVAWYQQKPGKAPKLLIYSASSLYSGVPSRFSGSRSGTDFTLTISSLQPEDFATYYCQQYKYVPVTFGQGTKVEI</v>
      </c>
    </row>
    <row r="23" spans="1:1" x14ac:dyDescent="0.25">
      <c r="A23" t="str">
        <f t="shared" ref="A23:A31" si="0">_xlfn.CONCAT("&gt;",A5,"\n",C5)</f>
        <v>&gt;sbio-nipahgpg-043\nEVQLQQSGAELVKPGASVKLSCTASGFNIKDTYVHWVKQRPEQGLEWIGRIDPANGYTKYDPKFQGKATITADTSSNTAYLQLSSLTSEDTAVYYCVRPLYDYYAMDYWGQGTTLTVSSGGGSGGGSGGGSGGGSDIVMTQSPSSLAMSAGRVSITCRTSQSISSYLNWVQQKPGKSPKLLIYWASTRESGVPDRFTGSGSGTDFTLTISRVEAEDLGVYYCMQGTHVPYTFGGGTKLEIK</v>
      </c>
    </row>
    <row r="24" spans="1:1" x14ac:dyDescent="0.25">
      <c r="A24" t="str">
        <f t="shared" si="0"/>
        <v>&gt;sbio-nipahgpg-044\nEVQLVESGGGLVKPGGSLRLSCAASGFTFSSYAMHWVRQAPGKGLEWVSAISGGGGSTYYADSVKGRFTISRDNSKNTLYLQMRAEDTAVYYCAKDDADWGQGTLVTVSSGGGSGGGSGGGSGGGSDIQMTQSPSSLSASVGDRVTITCRASQSVSSAVAWYQQKPGKAPKLLIYSASSLYSGVPSRFSGSRSGTDFTLTISSLQPEDFATYYCQQYKYVPFTFGQGTKVEIK</v>
      </c>
    </row>
    <row r="25" spans="1:1" x14ac:dyDescent="0.25">
      <c r="A25" t="str">
        <f t="shared" si="0"/>
        <v>&gt;sbio-nipahgpg-045\nQVQLQESGPGLVKPSQTLSLTCTVSGGSISSGSYYWIRQSPGKGLEWIGYIYYSGSTNYNPSLKSRVTISVDTSKNQFSLKLSSVTAADTAVYYCARHRYYDRGQGTLVTVSSGGGSGGGSGGGSGGGSDIQMTQSPASLSASVGETVTITCRASENIYSNLAWYQQKQGKSPQLLVYAATDLADGVPSRFSGSGSGTQFSLKINSLQPEDFGSYYCQHFWDTPWTFGQGTRVE</v>
      </c>
    </row>
    <row r="26" spans="1:1" x14ac:dyDescent="0.25">
      <c r="A26" t="str">
        <f t="shared" si="0"/>
        <v>&gt;sbio-nipahgpg-046\nEVQLVESGGGLVQPGGSLRLSCAASGFNLYSSSIHWVRQAPGKGLEWVAYISSSGTHYADSVKGRFTISADTSKNTAYLQMRAEDTAVYYCARVGHYYSSGGYYYAMDYWGQGTLVTVSSGGGSGGGSGGGSGGGSDIQMTQSPSSLSASVGDRVTITCRASQSVSSAVAWYQQKPGKAPKLLIYSASSLYSGVPSRFSGSRSGTDFTLTISSLQPEDFATYYCQQYSSYWTFGQGTKVEIK</v>
      </c>
    </row>
    <row r="27" spans="1:1" x14ac:dyDescent="0.25">
      <c r="A27" t="str">
        <f t="shared" si="0"/>
        <v>&gt;sbio-nipahgpg-047\nEVQLVESGGGLVQPGGSLRLSCAASGFNVVDSGISWVRQAPGKGLEWVSYISSSSGSTYYADSVKGRFTISADTSKNTAYLQMNSLRAEDTAVYYCARAHYYGSYFGSVVYYYGLDVWGQGTLVTVSSGGGSGGGSGGGSDIQMTQSPSSLSASVGDRVTITCRASQSVSSAVAWYQQKPGKAPKLLIYSASSLYSGVPSRFSGSRSGTDFTLTISSLQPEDFATYYCQQYDTYPITFGQGTKVEIK</v>
      </c>
    </row>
    <row r="28" spans="1:1" x14ac:dyDescent="0.25">
      <c r="A28" t="str">
        <f t="shared" si="0"/>
        <v>&gt;sbio-nipahgpg-048\nEVQLVESGGGLVQPGGSLRLSCAASGFNVYSSSIHWVRQAPGKGLEWVASISSYYGYTYYADSVKGRFTISADTSKNTAYLQMNSLRAEDTAVYYCARSYSTYYYGYWYFDVWGQGTLVTVSSGGGSGGGSGGGSGGGSDIQMTQSPSSLSAAVGDRVTITCRASQSVSSAVAWYQQKPGKAPKLLIYSASSLYSGVPSRFSGSRSGTDFTLTISSLQPEDFATYYCQQYNYYWLITFGQGTKVEIK</v>
      </c>
    </row>
    <row r="29" spans="1:1" x14ac:dyDescent="0.25">
      <c r="A29" t="str">
        <f t="shared" si="0"/>
        <v>&gt;sbio-nipahgpg-049\nQVQLQQPGAELVKPGASVKLSCKASGYTFTSDWIHWVKQRPGHGLEWIGEIIPSYGRANYNEKIQKKATLTADKSSSTAFMHLSSLTSEDSAVYYCARERGDGYFAVWGAGTTVTVSSGGGSGGGSGGGSGGGSDILLTQSPAILSVSPGERVSFSCRASQSIGTDIHWYQQRTNGSPRLLIKYASESISGIPSRFSGSGSGTDFTLSINSVESEDIANYYCQQSNRWPFTFGSGTKLEIK</v>
      </c>
    </row>
    <row r="30" spans="1:1" x14ac:dyDescent="0.25">
      <c r="A30" t="str">
        <f t="shared" si="0"/>
        <v>&gt;sbio-nipahgpg-050\nVRLLESGGGLVQPGGSLKLSCAASGFDYSRYWMSWVRQAPGKGLKWIGEINPVSSTINYTPSLKDKFIISRDNAKDTLYLQISKVRSEDTALYYCARLYYGYGYWYFDVWGAGTTVTVSSGGGSGGGSGGGSGGGSDIVLTQSPAIMSAAPGDKVTMTCSASSSVSYIHWYQQKSGTSPKRWIYDTSKLTSGVPVRFSGSGSGTSYSLTINTMEAEDAATYYCQQWSSHPQTFGGGTKLEIl</v>
      </c>
    </row>
    <row r="31" spans="1:1" x14ac:dyDescent="0.25">
      <c r="A31" t="str">
        <f t="shared" si="0"/>
        <v>&gt;sbio-nipahgpg-051\nQVQLQESGPGLVQPSQSLSLTCTVSGFSLTSYGVHWVRQSPGKGLEWLGVIWAGGSTDYNSALKSRLSISRDTSKNQVFLKMNSLQTDDTAMYYCAKHGSSNGDYWGQGTSVTVSSGGGSGGGSGGGSGGGSDIVMTQSPDSLAVSLGERATINCKSSQSVLYSSNNKNYLAWYQQKPEGQPPNLLIYWASTRESGVPDRFSGSGSGTDFTLTISSLQAEDVAVYYCQQYYSAPTFGQGTKLEIK</v>
      </c>
    </row>
  </sheetData>
  <pageMargins left="0.7" right="0.7" top="0.75" bottom="0.75" header="0.3" footer="0.3"/>
  <pageSetup orientation="portrait" horizontalDpi="1200" verticalDpi="120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C179-F265-452E-A6F1-4E864C51A103}">
  <dimension ref="A2:C31"/>
  <sheetViews>
    <sheetView workbookViewId="0">
      <selection activeCell="A22" sqref="A22:A31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45973</v>
      </c>
    </row>
    <row r="4" spans="1:3" x14ac:dyDescent="0.25">
      <c r="A4" t="s">
        <v>312</v>
      </c>
      <c r="B4" t="s">
        <v>18</v>
      </c>
      <c r="C4" t="s">
        <v>394</v>
      </c>
    </row>
    <row r="5" spans="1:3" x14ac:dyDescent="0.25">
      <c r="A5" t="s">
        <v>313</v>
      </c>
      <c r="B5" t="s">
        <v>18</v>
      </c>
      <c r="C5" t="s">
        <v>395</v>
      </c>
    </row>
    <row r="6" spans="1:3" x14ac:dyDescent="0.25">
      <c r="A6" t="s">
        <v>314</v>
      </c>
      <c r="B6" t="s">
        <v>18</v>
      </c>
      <c r="C6" t="s">
        <v>396</v>
      </c>
    </row>
    <row r="7" spans="1:3" x14ac:dyDescent="0.25">
      <c r="A7" t="s">
        <v>322</v>
      </c>
      <c r="B7" t="s">
        <v>18</v>
      </c>
      <c r="C7" t="s">
        <v>397</v>
      </c>
    </row>
    <row r="8" spans="1:3" x14ac:dyDescent="0.25">
      <c r="A8" t="s">
        <v>323</v>
      </c>
      <c r="B8" t="s">
        <v>18</v>
      </c>
      <c r="C8" t="s">
        <v>398</v>
      </c>
    </row>
    <row r="9" spans="1:3" x14ac:dyDescent="0.25">
      <c r="A9" t="s">
        <v>324</v>
      </c>
      <c r="B9" t="s">
        <v>18</v>
      </c>
      <c r="C9" t="s">
        <v>399</v>
      </c>
    </row>
    <row r="10" spans="1:3" x14ac:dyDescent="0.25">
      <c r="A10" t="s">
        <v>332</v>
      </c>
      <c r="B10" t="s">
        <v>18</v>
      </c>
      <c r="C10" t="s">
        <v>400</v>
      </c>
    </row>
    <row r="11" spans="1:3" x14ac:dyDescent="0.25">
      <c r="A11" t="s">
        <v>333</v>
      </c>
      <c r="B11" t="s">
        <v>18</v>
      </c>
      <c r="C11" t="s">
        <v>401</v>
      </c>
    </row>
    <row r="12" spans="1:3" x14ac:dyDescent="0.25">
      <c r="A12" t="s">
        <v>334</v>
      </c>
      <c r="B12" t="s">
        <v>18</v>
      </c>
      <c r="C12" t="s">
        <v>402</v>
      </c>
    </row>
    <row r="13" spans="1:3" x14ac:dyDescent="0.25">
      <c r="A13" t="s">
        <v>390</v>
      </c>
      <c r="B13" t="s">
        <v>18</v>
      </c>
      <c r="C13" t="s">
        <v>403</v>
      </c>
    </row>
    <row r="22" spans="1:1" x14ac:dyDescent="0.25">
      <c r="A22" t="str">
        <f>_xlfn.CONCAT("&gt;",A4,"\n",C4)</f>
        <v>&gt;sbio-nipahgpg-052\nQVQLQESGPGLVKPSETLSLTCTVSGGSVSSGGYFWSWIRQPPGKGLEWIGCIYYSGSTNYNPSLKSRVTISVDTSKNQFSLKLSSVTAADTAVYYCARVDSFYYGMDVWGQGTTVTVSSGGGSGGGSGGGSGGGSDIQMTQSPSSLSASVGDRVTITCRASQGIRNDLGWYQQKPGKAPKLLIYAASSLQSGVPSRFSGSGSGTDFTLTISSLQPEDFATYYCQQSYSTPRTFGQGTKVEIK</v>
      </c>
    </row>
    <row r="23" spans="1:1" x14ac:dyDescent="0.25">
      <c r="A23" t="str">
        <f t="shared" ref="A23:A31" si="0">_xlfn.CONCAT("&gt;",A5,"\n",C5)</f>
        <v>&gt;sbio-nipahgpg-053\nEVQLVESGGGLVQPGGSLRLSCAASGFTFSSYAMSWVRQAPGKGLEWVSAISGSGGSTYYADSVKGRFTISRDNSKNTLYLQMNSLRAEDTAVYYCARQVWFGGFDYWGQGTLVTVSSGGGSGGGSGGGSGGGSDIQMTQSPSSLSASVGDRVTITCRASQSVSSAVAWYQQKPGKAPKLLIYSASSLYSGVPSRFSGSRSGTDFTLTISSLQPEDFATYYCQQYKYVPVTFGQGTKVEIK</v>
      </c>
    </row>
    <row r="24" spans="1:1" x14ac:dyDescent="0.25">
      <c r="A24" t="str">
        <f t="shared" si="0"/>
        <v>&gt;sbio-nipahgpg-054\nEVQLVESGGGLVQPGGSLRLSCAASGFNVSSSYIHWVRQAPGKGLEWVASISSYYGYTYYADSVKGRFTISADTSKNTAYLQMNSLRAEDTAVYYCARSRQFWYSGLDYWGQGTLVTVSSGGGSGGGSGGGSGGGSDIQMTQSPSSLSASVGDRVTITCRASQSVSSAVAWYQQKPGKAPKLLIYSASSLYSGVPSRFSGSRSGTDFTLTISSLQPEDFATYYCQQYKYVPVTFGQGTKVEIK</v>
      </c>
    </row>
    <row r="25" spans="1:1" x14ac:dyDescent="0.25">
      <c r="A25" t="str">
        <f t="shared" si="0"/>
        <v>&gt;sbio-nipahgpg-062\nQMQLVQSGAEVKKPGESLKISCKGSGYSFTSYWIGWVRQMPGKGLEWMGIIYPGDSDTRYSPSFQGQVTISADKSISTAYLQWSSLKASDTAIYYCARHYYGGQYFDYWGQGTLVTVSSGGGSGGGSGGGSGGGSDIQMTQSPSSLSASVGDRVTITCRASQGIRNDLGWYQQKPGKAPKLLIYAASSLQSGVPSRFSGSGSGTDFTLTISSLQPEDFATYYCQQSYSTPYTFGQGTKLEIK</v>
      </c>
    </row>
    <row r="26" spans="1:1" x14ac:dyDescent="0.25">
      <c r="A26" t="str">
        <f t="shared" si="0"/>
        <v>&gt;sbio-nipahgpg-063\nQVQLVQSGAEVKKPGSSVKVSCKASGGTFSSYAISWVRQAPGQGLEWMGGIIPIFGTANYAQKFQGRVTITADESTSTAYMELSSLRSEDTAVYYCARWYDGYFVYWGQGTLVTVSSGGGSGGGSGGGSGGGSDIQMTQSPSSLSASVGDRVTITCRASQSISSYLNWYQQKPGKAPKLLIYAASSLQSGVPSRFSGSGSGTDFTLTISSLQPEDFATYYCQQSYSTPYTFGQGTKVEIK</v>
      </c>
    </row>
    <row r="27" spans="1:1" x14ac:dyDescent="0.25">
      <c r="A27" t="str">
        <f t="shared" si="0"/>
        <v>&gt;sbio-nipahgpg-064\nEVQLVESGGGLVQPGGSLRLSCAASGFNVSSSSIHWVRQAPGKGLEWVASISSYYGYTYYADSVKGRFTISADTSKNTAYLQMNSLRAEDTAVYYCARSRQFWYSGLDYWGQGTLVTVFNGGGSGGGSGGGSGGGSDIQMTQSPSSLSASVGDRVTITCRASQSVSSAVAWYQQKPGKAPKLLIYSASSLYSGVPSRFSGSRSGTDFTLTISSLQPEDFATYYCQQYKYVPVTFGQGTKVEIK</v>
      </c>
    </row>
    <row r="28" spans="1:1" x14ac:dyDescent="0.25">
      <c r="A28" t="str">
        <f t="shared" si="0"/>
        <v>&gt;sbio-nipahgpg-072\nVQLVQSGAEVKKPGASVKVSCKASGYTFTTYTISWVRQAPGQGLEWMGWINNSGGTNYAQKFQGRVTMTRDTSTSTVSAYMELRSEDTAVYYCATFVYGYSAYQPLTDDYGQMDVWGQGTTVTVSSGGGSGGGSGGGSGGGSDIQMTQSPSSLSASVGDRVTITCRASQSISSYLNWFQQKPGKAPKLLIYAASSLQSGVPSRFSGSGSGTDFTLTISSLQPEDFATYYCQQSLLYPLTFGGGTKVEIK</v>
      </c>
    </row>
    <row r="29" spans="1:1" x14ac:dyDescent="0.25">
      <c r="A29" t="str">
        <f t="shared" si="0"/>
        <v>&gt;sbio-nipahgpg-073\nEVQLVESGGGLVQPGGSLRLSCAASGFNISSSSIHWVRQAPGKGLEWVASIYSSSGSTYYADSVKGRFTISADTSKNTAYLQMNSLRAEDTAVYYCARHRWWAHPYWGQGTLVTVSSGGGSGGGSGGGSGGGSDIQMTQSPSSLSASVGDRVTITCRASQSVSSAVAWYQQKPGKAPKLLIYSASSLYSGVPSRFSGSRSGTDFTLTISSLQPEDFATYYCQQSYYITPYTFGQGTKVEIK</v>
      </c>
    </row>
    <row r="30" spans="1:1" x14ac:dyDescent="0.25">
      <c r="A30" t="str">
        <f t="shared" si="0"/>
        <v>&gt;sbio-nipahgpg-074\nEVQLVESGGGVVQPGRSLRLSCAASGFTFSSYAMHWVRQAPGKGLEWVAVIWYDGSNKYYADSVKGRFTISRDNSKNTLFLQMNSLRPEDTAVYYCARDTPMYYDVWGQGTTVTVSSGGGSGGGSGGGSGGGSDIQLTQSPSSLSASVGDRVTITCRTSQDIDNYLNWYQQKPGKAPKLLIYYTSSLHSGVPSRFSGSGSGTDFTFTISSLQPEDIATYYCQQYDNLPITFGQGTKLEIK</v>
      </c>
    </row>
    <row r="31" spans="1:1" x14ac:dyDescent="0.25">
      <c r="A31" t="str">
        <f t="shared" si="0"/>
        <v>&gt;sbio-nipahgpg-082\nQVQLQESGPGLVKPSQTLSLTCTVSGGSVSSGSYYWSWIRQPPGKGLEWIGYIYYSGSTNYNPSLKSRVTISVDTSKNQFSLKLSSVTAADTAVYYCARVDSFYYGMDVWGQGTTVTVSSGGGSGGGSGGGSGGGSDIQMTQSPSSLSASVGDRVTITCRASSGSSYDNGWYQQKPGKAPKLLIYAASSLQSGVPSRFSGSGSGTDFTLTISSLQPEDFATYYLQDSNYTPRTFGQGTKVEIK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Antibody Candidates</vt:lpstr>
      <vt:lpstr>Antigens</vt:lpstr>
      <vt:lpstr>Notes</vt:lpstr>
      <vt:lpstr>20251107 Submission FASTA</vt:lpstr>
      <vt:lpstr>20251108 Submission FASTA</vt:lpstr>
      <vt:lpstr>20251109 Submission FASTA</vt:lpstr>
      <vt:lpstr>20251110 Submission FASTA</vt:lpstr>
      <vt:lpstr>20251111 Submission FASTA</vt:lpstr>
      <vt:lpstr>20251112 Submission FASTA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2025-11-13T03:55:43Z</dcterms:modified>
  <dc:language>en-US</dc:language>
</cp:coreProperties>
</file>