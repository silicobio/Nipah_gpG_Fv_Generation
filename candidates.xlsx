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Nipah_gpG_Fv_Generation\"/>
    </mc:Choice>
  </mc:AlternateContent>
  <xr:revisionPtr revIDLastSave="0" documentId="13_ncr:1_{28895712-FC7E-4E5F-972F-99D2C434C973}" xr6:coauthVersionLast="47" xr6:coauthVersionMax="47" xr10:uidLastSave="{00000000-0000-0000-0000-000000000000}"/>
  <bookViews>
    <workbookView xWindow="38280" yWindow="-120" windowWidth="38640" windowHeight="21240" tabRatio="500" xr2:uid="{00000000-000D-0000-FFFF-FFFF00000000}"/>
  </bookViews>
  <sheets>
    <sheet name="Antibody Candidates" sheetId="2" r:id="rId1"/>
    <sheet name="Antigens" sheetId="1" r:id="rId2"/>
    <sheet name="Reference Antibodies" sheetId="11" r:id="rId3"/>
    <sheet name="Notes" sheetId="3" r:id="rId4"/>
    <sheet name="FASTA Generation" sheetId="4" r:id="rId5"/>
  </sheets>
  <definedNames>
    <definedName name="_xlnm._FilterDatabase" localSheetId="0" hidden="1">'Antibody Candidates'!$A$1:$V$81</definedName>
  </definedNames>
  <calcPr calcId="191029"/>
  <pivotCaches>
    <pivotCache cacheId="14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7" i="2" l="1"/>
  <c r="N87" i="2" s="1"/>
  <c r="O87" i="2" s="1"/>
  <c r="M88" i="2"/>
  <c r="N88" i="2" s="1"/>
  <c r="O88" i="2" s="1"/>
  <c r="M89" i="2"/>
  <c r="N89" i="2" s="1"/>
  <c r="O89" i="2" s="1"/>
  <c r="M90" i="2"/>
  <c r="N90" i="2" s="1"/>
  <c r="O90" i="2" s="1"/>
  <c r="M91" i="2"/>
  <c r="N91" i="2" s="1"/>
  <c r="O91" i="2" s="1"/>
  <c r="M92" i="2"/>
  <c r="N92" i="2" s="1"/>
  <c r="O92" i="2" s="1"/>
  <c r="M93" i="2"/>
  <c r="N93" i="2" s="1"/>
  <c r="O93" i="2" s="1"/>
  <c r="M94" i="2"/>
  <c r="N94" i="2" s="1"/>
  <c r="O94" i="2" s="1"/>
  <c r="M95" i="2"/>
  <c r="N95" i="2" s="1"/>
  <c r="O95" i="2" s="1"/>
  <c r="M96" i="2"/>
  <c r="N96" i="2" s="1"/>
  <c r="O96" i="2" s="1"/>
  <c r="M97" i="2"/>
  <c r="N97" i="2" s="1"/>
  <c r="O97" i="2" s="1"/>
  <c r="M98" i="2"/>
  <c r="N98" i="2" s="1"/>
  <c r="O98" i="2" s="1"/>
  <c r="M99" i="2"/>
  <c r="N99" i="2" s="1"/>
  <c r="O99" i="2" s="1"/>
  <c r="M100" i="2"/>
  <c r="N100" i="2" s="1"/>
  <c r="O100" i="2" s="1"/>
  <c r="M101" i="2"/>
  <c r="N101" i="2" s="1"/>
  <c r="O101" i="2" s="1"/>
  <c r="M102" i="2"/>
  <c r="N102" i="2" s="1"/>
  <c r="O102" i="2" s="1"/>
  <c r="M103" i="2"/>
  <c r="N103" i="2" s="1"/>
  <c r="O103" i="2" s="1"/>
  <c r="M104" i="2"/>
  <c r="N104" i="2" s="1"/>
  <c r="O104" i="2" s="1"/>
  <c r="M105" i="2"/>
  <c r="N105" i="2" s="1"/>
  <c r="O105" i="2" s="1"/>
  <c r="M106" i="2"/>
  <c r="N106" i="2" s="1"/>
  <c r="O106" i="2" s="1"/>
  <c r="M107" i="2"/>
  <c r="N107" i="2" s="1"/>
  <c r="O107" i="2" s="1"/>
  <c r="M108" i="2"/>
  <c r="N108" i="2" s="1"/>
  <c r="O108" i="2" s="1"/>
  <c r="M109" i="2"/>
  <c r="N109" i="2" s="1"/>
  <c r="O109" i="2" s="1"/>
  <c r="M110" i="2"/>
  <c r="N110" i="2" s="1"/>
  <c r="O110" i="2" s="1"/>
  <c r="M111" i="2"/>
  <c r="N111" i="2" s="1"/>
  <c r="O111" i="2" s="1"/>
  <c r="M112" i="2"/>
  <c r="N112" i="2" s="1"/>
  <c r="O112" i="2" s="1"/>
  <c r="M113" i="2"/>
  <c r="N113" i="2" s="1"/>
  <c r="O113" i="2" s="1"/>
  <c r="M114" i="2"/>
  <c r="N114" i="2" s="1"/>
  <c r="O114" i="2" s="1"/>
  <c r="M115" i="2"/>
  <c r="N115" i="2" s="1"/>
  <c r="O115" i="2" s="1"/>
  <c r="M116" i="2"/>
  <c r="N116" i="2" s="1"/>
  <c r="O116" i="2" s="1"/>
  <c r="M86" i="2"/>
  <c r="N86" i="2" s="1"/>
  <c r="O86" i="2" s="1"/>
  <c r="M85" i="2"/>
  <c r="N85" i="2" s="1"/>
  <c r="O85" i="2" s="1"/>
  <c r="M84" i="2"/>
  <c r="N84" i="2" s="1"/>
  <c r="O84" i="2" s="1"/>
  <c r="M83" i="2"/>
  <c r="N83" i="2" s="1"/>
  <c r="O83" i="2" s="1"/>
  <c r="M82" i="2"/>
  <c r="N82" i="2" s="1"/>
  <c r="O82" i="2" s="1"/>
  <c r="A30" i="4"/>
  <c r="A31" i="4"/>
  <c r="A32" i="4"/>
  <c r="A33" i="4"/>
  <c r="A34" i="4"/>
  <c r="A35" i="4"/>
  <c r="A36" i="4"/>
  <c r="A37" i="4"/>
  <c r="A38" i="4"/>
  <c r="A29" i="4"/>
  <c r="H4" i="11"/>
  <c r="G4" i="11"/>
  <c r="F4" i="11"/>
  <c r="H3" i="11"/>
  <c r="G3" i="11"/>
  <c r="F3" i="11"/>
  <c r="F2" i="11"/>
  <c r="G2" i="11" s="1"/>
  <c r="H2" i="11" s="1"/>
  <c r="M81" i="2"/>
  <c r="N81" i="2" s="1"/>
  <c r="O81" i="2" s="1"/>
  <c r="M51" i="2"/>
  <c r="N51" i="2" s="1"/>
  <c r="O51" i="2" s="1"/>
  <c r="M52" i="2"/>
  <c r="N52" i="2" s="1"/>
  <c r="O52" i="2" s="1"/>
  <c r="M53" i="2"/>
  <c r="N53" i="2" s="1"/>
  <c r="O53" i="2" s="1"/>
  <c r="M54" i="2"/>
  <c r="N54" i="2" s="1"/>
  <c r="O54" i="2" s="1"/>
  <c r="M55" i="2"/>
  <c r="N55" i="2" s="1"/>
  <c r="O55" i="2" s="1"/>
  <c r="M56" i="2"/>
  <c r="N56" i="2" s="1"/>
  <c r="O56" i="2" s="1"/>
  <c r="M57" i="2"/>
  <c r="N57" i="2" s="1"/>
  <c r="O57" i="2" s="1"/>
  <c r="M58" i="2"/>
  <c r="N58" i="2" s="1"/>
  <c r="O58" i="2" s="1"/>
  <c r="M59" i="2"/>
  <c r="N59" i="2" s="1"/>
  <c r="O59" i="2" s="1"/>
  <c r="M60" i="2"/>
  <c r="N60" i="2" s="1"/>
  <c r="O60" i="2" s="1"/>
  <c r="M61" i="2"/>
  <c r="N61" i="2" s="1"/>
  <c r="O61" i="2" s="1"/>
  <c r="M62" i="2"/>
  <c r="N62" i="2" s="1"/>
  <c r="O62" i="2" s="1"/>
  <c r="M63" i="2"/>
  <c r="N63" i="2" s="1"/>
  <c r="O63" i="2" s="1"/>
  <c r="M64" i="2"/>
  <c r="N64" i="2" s="1"/>
  <c r="O64" i="2" s="1"/>
  <c r="M65" i="2"/>
  <c r="N65" i="2" s="1"/>
  <c r="O65" i="2" s="1"/>
  <c r="M66" i="2"/>
  <c r="N66" i="2" s="1"/>
  <c r="O66" i="2" s="1"/>
  <c r="M67" i="2"/>
  <c r="N67" i="2" s="1"/>
  <c r="O67" i="2" s="1"/>
  <c r="M68" i="2"/>
  <c r="N68" i="2" s="1"/>
  <c r="O68" i="2" s="1"/>
  <c r="M69" i="2"/>
  <c r="N69" i="2" s="1"/>
  <c r="O69" i="2" s="1"/>
  <c r="M70" i="2"/>
  <c r="N70" i="2" s="1"/>
  <c r="O70" i="2" s="1"/>
  <c r="M71" i="2"/>
  <c r="N71" i="2" s="1"/>
  <c r="O71" i="2" s="1"/>
  <c r="M72" i="2"/>
  <c r="N72" i="2" s="1"/>
  <c r="O72" i="2" s="1"/>
  <c r="M73" i="2"/>
  <c r="N73" i="2" s="1"/>
  <c r="O73" i="2" s="1"/>
  <c r="M74" i="2"/>
  <c r="N74" i="2" s="1"/>
  <c r="O74" i="2" s="1"/>
  <c r="M75" i="2"/>
  <c r="N75" i="2" s="1"/>
  <c r="O75" i="2" s="1"/>
  <c r="M76" i="2"/>
  <c r="N76" i="2" s="1"/>
  <c r="O76" i="2" s="1"/>
  <c r="M77" i="2"/>
  <c r="N77" i="2" s="1"/>
  <c r="O77" i="2" s="1"/>
  <c r="M78" i="2"/>
  <c r="N78" i="2" s="1"/>
  <c r="O78" i="2" s="1"/>
  <c r="M79" i="2"/>
  <c r="N79" i="2" s="1"/>
  <c r="O79" i="2" s="1"/>
  <c r="M80" i="2"/>
  <c r="N80" i="2" s="1"/>
  <c r="O80" i="2" s="1"/>
  <c r="M25" i="2" l="1"/>
  <c r="N25" i="2" s="1"/>
  <c r="O25" i="2" s="1"/>
  <c r="M31" i="2"/>
  <c r="N31" i="2" s="1"/>
  <c r="O31" i="2" s="1"/>
  <c r="M32" i="2"/>
  <c r="N32" i="2" s="1"/>
  <c r="O32" i="2" s="1"/>
  <c r="M33" i="2"/>
  <c r="N33" i="2" s="1"/>
  <c r="O33" i="2" s="1"/>
  <c r="M34" i="2"/>
  <c r="N34" i="2" s="1"/>
  <c r="O34" i="2" s="1"/>
  <c r="M35" i="2"/>
  <c r="N35" i="2" s="1"/>
  <c r="O35" i="2" s="1"/>
  <c r="M36" i="2"/>
  <c r="N36" i="2" s="1"/>
  <c r="O36" i="2" s="1"/>
  <c r="M37" i="2"/>
  <c r="N37" i="2" s="1"/>
  <c r="O37" i="2" s="1"/>
  <c r="M38" i="2"/>
  <c r="N38" i="2" s="1"/>
  <c r="O38" i="2" s="1"/>
  <c r="M39" i="2"/>
  <c r="N39" i="2" s="1"/>
  <c r="O39" i="2" s="1"/>
  <c r="M40" i="2"/>
  <c r="N40" i="2" s="1"/>
  <c r="O40" i="2" s="1"/>
  <c r="M41" i="2"/>
  <c r="N41" i="2" s="1"/>
  <c r="O41" i="2" s="1"/>
  <c r="M42" i="2"/>
  <c r="N42" i="2" s="1"/>
  <c r="O42" i="2" s="1"/>
  <c r="M43" i="2"/>
  <c r="N43" i="2" s="1"/>
  <c r="O43" i="2" s="1"/>
  <c r="M44" i="2"/>
  <c r="N44" i="2" s="1"/>
  <c r="O44" i="2" s="1"/>
  <c r="M45" i="2"/>
  <c r="N45" i="2" s="1"/>
  <c r="O45" i="2" s="1"/>
  <c r="M46" i="2"/>
  <c r="N46" i="2" s="1"/>
  <c r="O46" i="2" s="1"/>
  <c r="M47" i="2"/>
  <c r="N47" i="2" s="1"/>
  <c r="O47" i="2" s="1"/>
  <c r="M48" i="2"/>
  <c r="N48" i="2" s="1"/>
  <c r="O48" i="2" s="1"/>
  <c r="M49" i="2"/>
  <c r="N49" i="2" s="1"/>
  <c r="O49" i="2" s="1"/>
  <c r="M50" i="2"/>
  <c r="N50" i="2" s="1"/>
  <c r="O50" i="2" s="1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2" i="2"/>
  <c r="M2" i="2"/>
  <c r="P23" i="2"/>
  <c r="P24" i="2"/>
  <c r="P25" i="2"/>
  <c r="P26" i="2"/>
  <c r="P27" i="2"/>
  <c r="P28" i="2"/>
  <c r="P29" i="2"/>
  <c r="P30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N15" i="2" s="1"/>
  <c r="O15" i="2" s="1"/>
  <c r="M16" i="2"/>
  <c r="N16" i="2" s="1"/>
  <c r="O16" i="2" s="1"/>
  <c r="M17" i="2"/>
  <c r="N17" i="2" s="1"/>
  <c r="O17" i="2" s="1"/>
  <c r="M18" i="2"/>
  <c r="N18" i="2" s="1"/>
  <c r="O18" i="2" s="1"/>
  <c r="M19" i="2"/>
  <c r="N19" i="2" s="1"/>
  <c r="O19" i="2" s="1"/>
  <c r="M20" i="2"/>
  <c r="N20" i="2" s="1"/>
  <c r="O20" i="2" s="1"/>
  <c r="M21" i="2"/>
  <c r="N21" i="2" s="1"/>
  <c r="O21" i="2" s="1"/>
  <c r="M22" i="2"/>
  <c r="N22" i="2" s="1"/>
  <c r="O22" i="2" s="1"/>
  <c r="M23" i="2"/>
  <c r="N23" i="2" s="1"/>
  <c r="O23" i="2" s="1"/>
  <c r="M24" i="2"/>
  <c r="N24" i="2" s="1"/>
  <c r="O24" i="2" s="1"/>
  <c r="M26" i="2"/>
  <c r="N26" i="2" s="1"/>
  <c r="O26" i="2" s="1"/>
  <c r="M27" i="2"/>
  <c r="N27" i="2" s="1"/>
  <c r="O27" i="2" s="1"/>
  <c r="M28" i="2"/>
  <c r="N28" i="2" s="1"/>
  <c r="O28" i="2" s="1"/>
  <c r="M29" i="2"/>
  <c r="N29" i="2" s="1"/>
  <c r="O29" i="2" s="1"/>
  <c r="M30" i="2"/>
  <c r="N30" i="2" s="1"/>
  <c r="O30" i="2" s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" i="2"/>
  <c r="N11" i="2" l="1"/>
  <c r="O11" i="2" s="1"/>
  <c r="N12" i="2"/>
  <c r="O12" i="2" s="1"/>
  <c r="N13" i="2"/>
  <c r="O13" i="2" s="1"/>
  <c r="N14" i="2"/>
  <c r="O14" i="2" s="1"/>
  <c r="N10" i="2"/>
  <c r="O10" i="2" s="1"/>
  <c r="N9" i="2"/>
  <c r="O9" i="2" s="1"/>
  <c r="N8" i="2"/>
  <c r="O8" i="2" s="1"/>
  <c r="N7" i="2"/>
  <c r="O7" i="2" s="1"/>
  <c r="N6" i="2"/>
  <c r="O6" i="2" s="1"/>
  <c r="K6" i="2"/>
  <c r="N5" i="2"/>
  <c r="O5" i="2" s="1"/>
  <c r="K5" i="2"/>
  <c r="N4" i="2"/>
  <c r="O4" i="2" s="1"/>
  <c r="K4" i="2"/>
  <c r="N3" i="2"/>
  <c r="O3" i="2" s="1"/>
  <c r="K3" i="2"/>
  <c r="N2" i="2"/>
  <c r="O2" i="2" s="1"/>
  <c r="K2" i="2"/>
</calcChain>
</file>

<file path=xl/sharedStrings.xml><?xml version="1.0" encoding="utf-8"?>
<sst xmlns="http://schemas.openxmlformats.org/spreadsheetml/2006/main" count="1137" uniqueCount="484">
  <si>
    <t>antigen_id</t>
  </si>
  <si>
    <t>antigen_sequence</t>
  </si>
  <si>
    <t>epitope_res_ids</t>
  </si>
  <si>
    <t>antigen_sequence_annotated</t>
  </si>
  <si>
    <t>nipah_gpG</t>
  </si>
  <si>
    <t>2vsm_A</t>
  </si>
  <si>
    <t>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H</t>
  </si>
  <si>
    <t>`239,240,241,242,305,388,389,401,402,458,488,489,490,491,492,501,504,505,506,507,530,531,532,533,555,557,558,559,579,580,581,583,588</t>
  </si>
  <si>
    <t>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H</t>
  </si>
  <si>
    <t>antibody_id</t>
  </si>
  <si>
    <t>method</t>
  </si>
  <si>
    <t>model_version</t>
  </si>
  <si>
    <t>temperature</t>
  </si>
  <si>
    <t>h_chain</t>
  </si>
  <si>
    <t>l_chain</t>
  </si>
  <si>
    <t>franken_chain</t>
  </si>
  <si>
    <t>len_franken_chain</t>
  </si>
  <si>
    <t>sbio-nipahgpg-001</t>
  </si>
  <si>
    <t>peleke-1</t>
  </si>
  <si>
    <t>peleke-phi-4</t>
  </si>
  <si>
    <t>QVQLVESGGGVVQPGRSLRLSCAASGFTFSSYGMHWVRQAPGKGLEWVAVISYDGSKKYYADSVKGRFTISRDNSKNTLYLQMNSLRAEDTAVYYCARSPFYDSSGYYAMDYWGQGTLVTVSS</t>
  </si>
  <si>
    <t>DIQLTQSPSSLSASVGDRVTITCRASQGISSYLAWYQQKPGKAPKLLIYAASTLQSGVPSRFSGSGSGTDFTLTISSLQPEDFATYYCQQANSFPPTFGQGTKVEIK</t>
  </si>
  <si>
    <t>sbio-nipahgpg-002</t>
  </si>
  <si>
    <t>QVQLVESGGGVVQPGKSLRLSCAASGFTFSSYAMSWVRQAPGKGPEWVAFISYDGSNNYYADSVKGRFTISRDNPKNTLYLQMKSLRAEDTAVYYCARWRQRFDMYWGRGTLVTVSS</t>
  </si>
  <si>
    <t>DIQMTQSPSSLSASVGDRVTITCRASQSISSYLNWYQQKPGKAPKLLIYAASSLQSGVPSRFSGSGSGTDFTLTISSLQPEDFATYYCQQSYSTPYTFGQGTKVEIK</t>
  </si>
  <si>
    <t>sbio-nipahgpg-003</t>
  </si>
  <si>
    <t>QVQLQESGPGLVKPSETLSLTCTVSGASIRGYYWSWIRQFPGKELEWIGYVYSGSTENYNPSLKSRVTVTLTDTKNSFSLKLNSVTSEDTAVYYCARGGALIYYDVWGTGTTVTVSS</t>
  </si>
  <si>
    <t>DIQVTQSPVSLSASVGDRVTITCRASQGIDSLNWFQQRPGKAPKLLIYAASQLTGIAPRFRSGSGSGTDFTLTISSLQPEDFATYYCQQYNIYPATFGQGTKVEIK</t>
  </si>
  <si>
    <t>sbio-nipahgpg-004</t>
  </si>
  <si>
    <t>EVQLVQSGAEVKKPGESLKISCKGSGYTFSYYWIGWVRQMPGKGLEWMGIIYPGDSDTRYSPSFQGQVTISADKSISTAYLQWSSLKASDTAMYYCARGEGVFDYWGQGTLVTVSS</t>
  </si>
  <si>
    <t>YTLTQAPSVSASGQSVTISCTGTSRDVGTYWYQQIPGRAPKLLIHDKSENQGKTPGIPDRFSGSKSGNTASLVIIRGLQADDEADYYCNSYHGSGSNIFGGGTKLTVD</t>
  </si>
  <si>
    <t>sbio-nipahgpg-005</t>
  </si>
  <si>
    <t>EVQLVESGGGLVQPGGSLRLSCAASGFTFSSYWMNWVRQAPGKGLEWVANINQDGGEKYYVDSVKGRFTISRDNAKNSLYLQMNSLRAEDTAIYYCARDVGGGMDVWGQGTTVTVSS</t>
  </si>
  <si>
    <t>QMTQSPSSLSASVGDRVTITCRASQSVSSAVAWYQQKPGKAPKLLIYSASSLYSGVPSRFSGSRSGTDFTLTISSLQPEDFATYYCQQSSSSLITFGQGTKVEIK</t>
  </si>
  <si>
    <t>peleke-mistral-7b-instruct-v0.2</t>
  </si>
  <si>
    <t>General LLM</t>
  </si>
  <si>
    <t>Qwen3-235B-A22B-Instruct-2507</t>
  </si>
  <si>
    <t>sbio-nipahgpg-008</t>
  </si>
  <si>
    <t>QVQLVESGGGVVQPGRSLRLSCAASGFTFSSYAMSWVRQAPGKGLEWVSAIWSNGGSTYYADSVKGRFTISRDNAKNSLYLQMNSLRAEDTAVYYCARDYGSYGYFDYWGQGTLVTVSS</t>
  </si>
  <si>
    <t>DIVMTQSPLSLPVTPGEPASISCRSSQSLLYSNGNTYLEWYLQKPGQSPQLLIYLVSKLDSGVPDRFSGSGSGTDFTLKISRVEAEDLGIYYCQQSKEVPYTFGAGTKLEIK</t>
  </si>
  <si>
    <t>test_chotia_pass</t>
  </si>
  <si>
    <t>type</t>
  </si>
  <si>
    <t>base</t>
  </si>
  <si>
    <t>sbio-nipahgpg-009</t>
  </si>
  <si>
    <t>sbio-nipahgpg-010</t>
  </si>
  <si>
    <t>sbio-nipahgpg-011</t>
  </si>
  <si>
    <t>sbio-nipahgpg-012</t>
  </si>
  <si>
    <t>sbio-nipahgpg-013</t>
  </si>
  <si>
    <t>sbio-nipahgpg-014</t>
  </si>
  <si>
    <t>derivative</t>
  </si>
  <si>
    <t>parent_antibody_id</t>
  </si>
  <si>
    <t>peleke-1 + ProteinMPNN</t>
  </si>
  <si>
    <t>peleke-phi-4 / v_48_020</t>
  </si>
  <si>
    <t>sbio-nipahgpg-015</t>
  </si>
  <si>
    <t>AVSLVESGGGTVKPGESVTLSCQASGFNFSKYQWVWVRQAPGKGLEWVGQISPDGSKTRYHPSVAGRFTISRDNSNSTLYLHMSNLRPEDTAVYYCGIIPQDNVHGDYSISHWGQGTLLTVSA</t>
  </si>
  <si>
    <t>AIKLTQSPKSLSASVGDTVTINCTASRPIGDLLSWYKQKPGKPPQLLIYRSSTLASGVSSRYSGSGSDTNFTLTISSLQSSDFATYYCRQTSRFPITFGEGTTINKK</t>
  </si>
  <si>
    <t>AVSITESGGGTKAPGSSVTLSCKVSGFVFSKYSIAWVRQAPGQGLEWVSQISPDGSTTRYNPAVAGRFTISRDNSNSTAYLQMSNLTPSDTATYYCAIIPQDNEHGDYSLSHWGQGTQLTVSA</t>
  </si>
  <si>
    <t>AIKLTQSPKSLSAKVGDTVTINCTASAPIGDFLSWYKQKPGQPPQLLIYKSSTLAPGVSSRYSGSGSDTNFTLTISSLQEEDFATYYCQQTATLPITFGEGTTINKK</t>
  </si>
  <si>
    <t>SISLVESGGGTVAPGSSVTLSCQASGFNFSKYSKAWVRQPPGQPLEWVSRISPDGSTKYYHPDVAGRFTISKDNSKSTVYLAMSNLTAADTATYYCGIIPGDNTHGDYAMSHWGQGTLLTVSA</t>
  </si>
  <si>
    <t>AITLTQSPSSLSASVGDTVTISCTASRPIGDKLSWYKQKPGQPPQLLIYNASTLAPGVSSRYSGSGSDTSFTLTISSLQEDDFATYYCQQTYTLPITFGQGTTISKK</t>
  </si>
  <si>
    <t>GISLVESGGGTVKPGESVTLSCKASGFVFSKYSHAWVRQPPGGPLEWVSQISSDGSVTRYASSVSGRFTISRDNSNSTVYLQMNNLRPSDTATYYCGIIPQDNVHGDYAISHWGQGTLLTVTA</t>
  </si>
  <si>
    <t>AITLTQSPASLSAKVGDTVTLSCTASRPIGDLLSWYKQKPGQPPQLLIYRASTLAPGVDSRYSGSGSDTSFTLTISSLQPEDFATYYCQQTSRFPITFGQGTTIKQA</t>
  </si>
  <si>
    <t>GVSLTESGGGTVAPGSSVTLSCKASGFNFSKYSHAWVRQAPGQGLTWVGEISPDGSKTRYASSVAGRFTISRDNSNSTVYLQMSSLTPSDTATYYCGIIPGDSVHGERSMSHWGQGTLLTVSA</t>
  </si>
  <si>
    <t>AITLTQSPSSLSASVGDTVTLNCTASRPIGDRLSWYKQKPGQAPQLLIYRASTLAPGVSSRYSGSGSDTQFTLTISSLQSDDFATYYCQQTSSYPVTFGQGTTITKK</t>
  </si>
  <si>
    <t>EVSLVESGGGTVKPGESVTLSCQASGFNFSKYRLAWVRQPPGQGLVWVSEISPDGTEVKYHPDVKGRFTASRDNSNSTAYLKMNNLQPSDTATYYCGIIPQDSSHGDYSISHWGQGTQLTVSA</t>
  </si>
  <si>
    <t xml:space="preserve">TITLTQSPSSLSASVGDTVTINCTASRPIGDFLSWYKQKPGQPPQLLIYRSSTLASGVSSRYSGSGSDTNFTLTISSLQSDDFATYYCQQTYTLPITFGQGTTLTKK </t>
  </si>
  <si>
    <t>AVSLVESGGGTYAPGSSVTLSCQGSGFNFSKVRKVWVRQPPGGPLEYVAEISPDGSTTTYASSVAGRFTISKDNSNSTLYLSMSNLTPADTATYYCGLIPGDSEHGDRSISHWGQGTLVTVSA</t>
  </si>
  <si>
    <t>AITLTQSPSSLSASVGDTVTINCTASQPIGNFLSWYKQKPGQPPQLLIYNASTLAPGVSSRYSGSGSDTNFTLTISSLQSEDFATYYCQQTSRLPVTFGQGTTINKK</t>
  </si>
  <si>
    <t>peleke-phi-4 / v_48_030</t>
  </si>
  <si>
    <t>sbio-nipahgpg-016</t>
  </si>
  <si>
    <t>sbio-nipahgpg-017</t>
  </si>
  <si>
    <t>sbio-nipahgpg-018</t>
  </si>
  <si>
    <t>sbio-nipahgpg-019</t>
  </si>
  <si>
    <t>sbio-nipahgpg-020</t>
  </si>
  <si>
    <t>sbio-nipahgpg-021</t>
  </si>
  <si>
    <t>sbio-nipahgpg-022</t>
  </si>
  <si>
    <t>sbio-nipahgpg-023</t>
  </si>
  <si>
    <t>PVSLVESGGGTVAPGSSVTLTCQASGFNFSKYIVAWVRQPPGQPLRFVAMITPDGSKVWLHPEVEGRFTPSKDNSKNTSYLQLKDLQPEDTATYYCGIIPQGSTHGDYSITHWGQGVVLTVTA</t>
  </si>
  <si>
    <t xml:space="preserve">MVTLTQSPSSLSASVGDTVTITCTASSPVDNLMSWYQQPPGQPLRLLIYNASTRAPGVSSRFSGSGSDTNFTLTISSLQASDFATYYCQQTYRLPVTFGQGTTLSAA </t>
  </si>
  <si>
    <t>SIKLTESGGGTVKPGSSVTLSCQASGFNFSKYEVVWVMQKPGQPLQWVGSISPDGSKVRLHPKVKGRFTLSKDNSKNTAYLTMKNLQPEDTATYYCGIIPGGSVHGDRSITHWGQGVELKVVA</t>
  </si>
  <si>
    <t>MIKLTQSPKSVKAKVGDTVTITCTASEPVDDLVSWYQQKPGQPLRLLIYRSSTLAPGVSSRFSGSGSDTNFTLTISSLQEEDFATYYCMQTSKYPYTFGQGTTLSRA</t>
  </si>
  <si>
    <t>AITLTESGGGVVAPGSSVTLTCTASGFNFSKYSMVWVRQPPGGPLQWVAQISPDNSTVRYHPAVEGRFTASKDNSKNTAYLAMSDLEPSDTATYYCGIIPQGSTHNDYSIVHWGQGTELRVVA</t>
  </si>
  <si>
    <t>MIKLTQSPSSLSAKVGDKVTITCTASSPVDNLVSWYKQPPGGPLQLLIYNSSTRAPGVSSRFKGSGSDTNFTLTIESLQEEDFATYYCQQTYKFPITFGQGTKLTRA</t>
  </si>
  <si>
    <t>SISLTESGGGTVAPGSSVTLTCTASGFNFSKYSVAWVRQPPGQPLQWVALISPDGSKKWYHPDVKGRATISKDNSKNTSYLTLSNLQPSDTATYYCGIIPGGNIHGDYSMTHWGQGTQLTVVA</t>
  </si>
  <si>
    <t>MITLTQSPLSLSAKVGDTVTITCTASSPVDDLVSWYQQKPGQPLRLLIRNASERAPGVSSRFSGSGSDTTFTLTISSVQEEDFATYYCQQTSKLPYTFGQGTTLSRA</t>
  </si>
  <si>
    <t>AVTLTESGGGTVAPGSSVTLTCTASGFNFSKYILAWVRQAPGQPLEWVASISPDGSKTRYHPAVKGRATASKDNSKNTAYLELKDLRPEDTATYYCGIIPQGSVHGDYSMTHWGQGTELRVEA</t>
  </si>
  <si>
    <t>PVVLTQSPLSLSAKVGDTVTITCTASSPVDNLVSWYKQAPGQPLQLLIYNATTRAPGVPSRFTGSGSDTTFTLTISSLQPEDFAVYYCQQTYKFPITFGQGTRLTPA</t>
  </si>
  <si>
    <t>PVKLVESGGGTVAPGSSVTLTCKASGFNFSKYMVQWVRQAPGGAFQWVGLISPDGSTKWYHPDVEGRFTISKDNSKNTAYLEMRNLTPADTAVYYCGIVPQGSVHGDYSITHWGQGVTLTVTA</t>
  </si>
  <si>
    <t>VVQLTQSPPELSAKVGEKVTITCTASSPVDNLVSWYQQKPGGAPKLLIYNATTLAPGVPSRFSGSGSDTVFTLTIDSLQAEDFATYYCQQTSRLPFTFGQGTVLRPA</t>
  </si>
  <si>
    <t>AIKLTESGGGTVKPGSSVTLTCQASGFNFSKYIMAWVRQAPGQPLQWVAQISPDNSVKRYHPEVEGRFTASKDNSKNTAYLEMKNLTPADTATYYCAIIPQGSTQGDYSMVHWGQGVELKVVA</t>
  </si>
  <si>
    <t>PVVLTQSPASLKAAVGDTVTITCTASAPVDNLVSWYKQAPGQPPQLLIYNASTLAPGVPSRFTGSGSDTSFTLTISSLQEEDFATYYCQETSKFPITFGQGTKLEKK</t>
  </si>
  <si>
    <t>SIKLTESGGGVVAPGESVTLTCTASGFNFSKYEMAWVRQAPGGPLEFVAVISPDGSTTRYHPRVEGRATISRDNSKNTAYLTLRDLTPADTAVYYCGIIPGGSVHGDRALSHWGQGVRLEVRA</t>
  </si>
  <si>
    <t>MVTLTQSPSSLSAKVGDKVTISCTASEPVDDLVSWYKQAPGGPPQLLISRASTRAPGVPSRFSGSGSDTNFTLTIESLQSSDFATYYCQQTYKFPDTFGQGTTLSEA</t>
  </si>
  <si>
    <t>Used ProteinMPNN to generate new H/L chain seqs while retaining target A chain seq. Notebook: https://github.com/dauparas/ProteinMPNN/blob/main/colab_notebooks/quickdemo.ipynb</t>
  </si>
  <si>
    <t>note_id</t>
  </si>
  <si>
    <t>description</t>
  </si>
  <si>
    <t>status_folded_boltz2</t>
  </si>
  <si>
    <t>note_ids</t>
  </si>
  <si>
    <t>submitted_to_comp</t>
  </si>
  <si>
    <t>len_lte_250</t>
  </si>
  <si>
    <t>m102.3 (PDB: 6CMI)</t>
  </si>
  <si>
    <t>sbio-nipahgpg-024</t>
  </si>
  <si>
    <t>sbio-nipahgpg-025</t>
  </si>
  <si>
    <t>sbio-nipahgpg-026</t>
  </si>
  <si>
    <t>sbio-nipahgpg-027</t>
  </si>
  <si>
    <t>sbio-nipahgpg-028</t>
  </si>
  <si>
    <t>sbio-nipahgpg-029</t>
  </si>
  <si>
    <t>sbio-nipahgpg-030</t>
  </si>
  <si>
    <t>sbio-nipahgpg-031</t>
  </si>
  <si>
    <t>ProteinMPNN</t>
  </si>
  <si>
    <t>v_48_020</t>
  </si>
  <si>
    <t>Generated from superimposing PDB 2VSM chain A on PDB 6CMI chain A, replacing the Hendra antigen with the Nipah antigen. Then, used ProteinMPNN to regenerate the H and L chains of the m102.3 antibody given the Nipah antigen.</t>
  </si>
  <si>
    <t>SITLVQSGDVTVAPGGSVTLTCTSSGGSFGNKAVAWVRQRPGGPYEWLGFIIPAYGVSRYNPAYEGRVTISVDSASNTASLTISNLTAADTATYYCALGEGEIVYAASPFDENYKLGALYIWGQGTKVTVS</t>
  </si>
  <si>
    <t>SVTLVESGDQTVAPGGSVTLSCTSSGGSFGNSGVSWVKQQPGGPLQWIGGIIPSLGISKVSPEYAGRVTISSDSSNNTAYLTISNLTAADTATYYCALGEGEDVFASSPFASNVNLGALSVWGQGTKVTVS</t>
  </si>
  <si>
    <t>ITVTQSPSSPSLSVGDTATLTCTLSSSVATSNVAWYKQLPGQPPELLISGGSTRAPGVPSRYSGSGSGTTFTLTISSLQASDFATYYCQVYGENPSFGQGTTLTLK</t>
  </si>
  <si>
    <t xml:space="preserve">ITVTQSPSSPSLKVGETATLTCTLSAPVPRSNVAWYKQQPGQPPTLLIYGGSTRAPGVPSRYSGSGSGTTFTLTITALKPEDFATYYCQVYGENPSFGQGTTLKLK </t>
  </si>
  <si>
    <t>GVKLVQSGDLTVKPGGSVTLSCKSEGGSFGNSSVAWVRQRPGGPYEYIGSIIPAYGVSRVSPEYEGRVTISADVANNTAYLTISNLTPEDTATYYCALGPGEVVYAASPFDEKLLTGALSVWGEGTLVTVT</t>
  </si>
  <si>
    <t>AVKLVQSGDQTVAPGGSVTLSCTSSGGSFGNSSVAWVRQRPGGPFEFIGSIIPSLGISRYNSKYKGRVTISSDAANNTAYLTISNLTAADTATYYCALGPGESVFASHPFKEKLLTGALSVWGEGTLVTVS</t>
  </si>
  <si>
    <t>ITVTQSPSSPSKSVGDTVTLTCTLSSSVPVSQVAWYKQHPGQPPELLIYGGSTRASGVPSRYSGSGSGTTFTLTISSLQPEDFATYYCQVYGEEPSFGQGTTVTLA</t>
  </si>
  <si>
    <t>ITLTQSPSSPSLSVGETATLTCTASAPVPKSNVAWYKQLPGQPPELLIYGGSTRASGVPSRYSGSGSGTTFTLTISSLTADDFATYYCQVYGENPSFGEGTTLTLK</t>
  </si>
  <si>
    <t>SVTLVQSGDQTVPIGGSVTLSCTANGGSFGNKGVAWVRQRPGGPYEFLGFIKPAIGESRYHPKYKGRVTISSDVSSNTAYLTISNLTPEDTAVYYCALGEAEDVFAAHPFKTDLLLGALSIWGQGTRVTVT</t>
  </si>
  <si>
    <t>ITVTQSPSSPSLSVGETAVLTCTLSQPVPQSQVAWYKQLPGQPPTLLISGGSTRASGVPSRYSGSGSGTTFTLTISSLLPEDFATYYCQVVGKEPSFGQGTTLTLK</t>
  </si>
  <si>
    <t>ITVTQSPSSPSLKVGETATLTCTLSAPVAKSNVAWYKQLPGQPPELLIYGGSTRASGVPSRYSGSGSGTTFTLTISSLQPEDFATYYCQVVGKNPSFGQGTLLKLK</t>
  </si>
  <si>
    <t>SVKLVQSGDQTVPVGGSVTLSCTASGGSFGNYGVAWVRQRPGGPLEYIGSIIPAYGISTVNPKYEGRVTISADPTNNTAYLTISNLTPEDTATYYCALGPGEVVFASSPFDIDVLTGALWVWGEGTKVTVT</t>
  </si>
  <si>
    <t>linker_seq</t>
  </si>
  <si>
    <t>GGGSGGGSGGGSGGGS</t>
  </si>
  <si>
    <t>GGGSGGGSGGGS</t>
  </si>
  <si>
    <t>ITVTESPSSPELSVGETAVLSCTLSSSVPQSNVAWYKQKPGQPPELLIYGGSTRASGVPSRYSGSGSGTTFYLTISSLEPEDFATYYCQVYGTSPSFGQGTTLKLK</t>
  </si>
  <si>
    <t>SISLVQSSDQTVAPGGSVTLSCTSSGGSFGNSGVAWVRQAPGGPPVYIGGIIPATGVSTYNAAFKGRVTISSDSSNNTAYLTISGLTAADTATYYCALGPAENVFASHPFAEDVNLGALSVWGQGTLVTVT</t>
  </si>
  <si>
    <t>AVSLVESGDQTVAPGGSVTLSCTSSGGSFGNSGVAWVRQAPGGPLEFLGFIIPALGVSKVNSKYEGRVTISSDPANNTAYLTISNLTAADTATYYCGLGTGESVFASSPFDEKLLLGALSVWGQGTKVTVT</t>
  </si>
  <si>
    <t>ITVTQSPASPEKKVGETATLTCTLSSAVPKSNVAWYKQKPGQPPELLIYGGSTRASGVPSRYSGSGSGTTFYLTISSLQPEDFATYYCRVYGEEPSFGQGTTLKLK</t>
  </si>
  <si>
    <t>status_folded_franken_boltz2</t>
  </si>
  <si>
    <t>max_ipsae</t>
  </si>
  <si>
    <t>min_ipsae</t>
  </si>
  <si>
    <t>VQLQESGPGLVKPSQSLSLTCTVTGYSITTGYAWNWIRQFPGNKLEWMGYISYSGSTYYPSLKSRISITRDTSKNQFFLQLSIVTTEDTATYYCARGTTLPDYVDFWGQGTSVTVSS</t>
  </si>
  <si>
    <t>DIQLTQSPSSLSASVGDRVTITCRASQTISTYLNWYQQKPGKAPKLLIYAASTLQSGVPSRFSGSGSGTDFTLTISSLQPEDFATYFCLQHFWTPPITFGQGTRLEIK</t>
  </si>
  <si>
    <t>QVQLQESGPGLVKPSETLSVTCTVSGGSIGSNNYWSWIRQPAGKGLEWIGYIYYSGSTNYNPSLKSRVTMSVDTSKNQFSLKLSSVTAADTAVYYCVRNYYDSSDSSGYYFMDVWGQGTTVTVSS</t>
  </si>
  <si>
    <t>DIVMTQSPLSLSVTPGEPASISCRSSQSLLHSNGYNYLDWYLQKPGQSPQLLIYLGSNRASGVPDRFSGSGSGTDFTLKISRVEAEDVGVYYCMQALQTPTFGQGTRLEIK</t>
  </si>
  <si>
    <t>QVQLVQSGAEVKKPGESLKISCKGSGYRFSSYWIGWVRQMPGKGLEWMGIIYPGDSDTRYSPSFQGQVTISADKSISTAYLQWSSLKASDTAMYYCARQGPDYYYGMDVWGQGTTVTVSS</t>
  </si>
  <si>
    <t>DIQMTQSPSTLSASVGDRVTITCRASQSISSWLAWYQQKPGKAPKLLIYKASELQSGVPSRFSGSGSGTEFTLTISSLQPDDFATYYCQQYINSYTFGQGTKVEIK</t>
  </si>
  <si>
    <t>QVQLQQSGPELVKPGASVKLSCKASGYTFTDYYMHWVKQRPGQGLEWIGEINPNSGGTNTYDQKFKGRATLTVDKSSSTAYLQLSSLTSEDSAVYYCARSPPWYFDYWGQGTTLTVS</t>
  </si>
  <si>
    <t>DIVMTQSPSSMFASVGETVTITCRASENIYSNLAWYQQKPGQSPKLLIYWASTRHTGVPDRFTGSGSGTDFTLTISSVQAEDLALYYCQHYGSYSFTFGSGTKLEIK</t>
  </si>
  <si>
    <t>EVQLVESGGGLVQPGGSLRLSCAASGFNVSYSSIHWVRQAPGKGLEWVASISSYYGYTYYADSVKGRFTISADTSKNTAYLQMNSLRAEDTAVYYCARSRNYVYSSGYLDFWGQGTLVTVSS</t>
  </si>
  <si>
    <t>DIQMTQSPSSLSASVGDRVTITCRASQSVSSAVAWYQQKPGKAPKLLIYSASSLYSGVPSRFSGSRSGTDFTLTISSLQPEDFATYYCQQSSYSSPPTFGQGTKVEIK</t>
  </si>
  <si>
    <t>EVQLVESGGGLVQPGGSLRLSCAASGFNIYYSSIHWVRQAPGKGLEWVASISPYYGSTSYADSVKGRFTISADTSKNTAYLQMNSLRAEDTAVYYCARDYGHYYYAMDYWGQGTLVTVSS</t>
  </si>
  <si>
    <t>EIVMTQSPATLSVSPGERATLSCRASQSVSSYLAWYQQKPGQAPRLLIYGASTRATGIPARFSGSGSGTEFTLTISSLQSEDSAVYYCQQYNNWPPITFGQGTRLEIK</t>
  </si>
  <si>
    <t>QVQLQESGPGLVKPSETLSLSCVVSGDSSSTNYYWGWIRQPPGKGLEWIGYIYGSGDTAYNPSLKSRVTISVDTSKNQFSLKLSSVTAADTAVYYCARRSWGYGYNGYSTYYYYYYFDQGYFDVWGPGTLVT</t>
  </si>
  <si>
    <t>DIQMTQSPSSLSASVGDRVTITCRASQSIGSYLNWYQQKPGKAPKLLIYAASTLQSGVPSRFSGSGSGTEFTLTISSLQPEDFATYYCQQSYSWGQGTKVEIK</t>
  </si>
  <si>
    <t>QVQLVQSGAEVKKPGASVKVSCKASGYTFTSYGISWVRQAPGQGLEWMGWISAHNGDTNYAQKFQGRVTMTRDTSITTAYMELRSDDTAVYYCARDGSVGGFYWGQGTLVTVSS</t>
  </si>
  <si>
    <t>EIVLTQSPGTLSLSPGERATLSCRASQSVSSYLAWYQQKPGQAPRLLIYGASSRATGIPDRFSGSGSGTDFTLTISRLEPEDFAVYYCQQYGSSPITFGQGTRLEIK</t>
  </si>
  <si>
    <t>EVQLLESGGGLVQPGGSLRLSCAASGFNVSYSSIHWVRQAPGKGLEWVASISPYYGSTSYADSVKGRFTISADTSKNTAYLQMNSLRAEDTAVYYCARSYYWYWSGWGTLVTVSS</t>
  </si>
  <si>
    <t>DIQMTQSPSSLSASVGDRVTITCRASQSVSSAVAWYQQKPGKAPKLLIYSASSLYSGVPSRFSGSRSGTDFTLTISSLQPEDFATYYCQQSYGSPPTFGQGTKVEIK</t>
  </si>
  <si>
    <t>QVQLQESGPGLVKPSQTLSLTCTVSGGSISSGHYAWWIRQPPGKGLEWIACIYSSSGSTYYNPSLKSRITISVDTSKNQFSLKLSSVTAADTAVYYCARRQRGYDYDYYYGMDVWGQGTTVTVSS</t>
  </si>
  <si>
    <t>DIQLTQSPSSLSASVGDRVTITCRASQGISRNLAWYQQKPGKAPKLLIYAASSLQSGVPSRFSGSGSGTDFTLTISSLQPEDFATYYCQQSNNWPITFGQGTKVEIK</t>
  </si>
  <si>
    <t>EVQLVESGGGLVQPGGSLRLSCAASGFNIYYSSIHWVRQAPGKGLEWVASIYSYYSSTSYADSVKGRFTISADTSKNTAYLQMNSLRAEDTAVYYCARVYGYLSYSYFYWGLDVWGQGTLVTVS</t>
  </si>
  <si>
    <t>DIQMTQSPSSLSASVGDRVTITCRASQSVSSAVAWYQQKPGKAPKLLIYSASSLYSGVPSRFSGSRSGTDFTLTISSLQPEDFATYYCQQYKYVPVTFGQGTKVEI</t>
  </si>
  <si>
    <t>EVQLQQSGAELVKPGASVKLSCTASGFNIKDTYVHWVKQRPEQGLEWIGRIDPANGYTKYDPKFQGKATITADTSSNTAYLQLSSLTSEDTAVYYCVRPLYDYYAMDYWGQGTTLTVSS</t>
  </si>
  <si>
    <t>DIVMTQSPSSLAMSAGRVSITCRTSQSISSYLNWVQQKPGKSPKLLIYWASTRESGVPDRFTGSGSGTDFTLTISRVEAEDLGVYYCMQGTHVPYTFGGGTKLEIK</t>
  </si>
  <si>
    <t>EVQLVESGGGLVKPGGSLRLSCAASGFTFSSYAMHWVRQAPGKGLEWVSAISGGGGSTYYADSVKGRFTISRDNSKNTLYLQMRAEDTAVYYCAKDDADWGQGTLVTVSS</t>
  </si>
  <si>
    <t>DIQMTQSPSSLSASVGDRVTITCRASQSVSSAVAWYQQKPGKAPKLLIYSASSLYSGVPSRFSGSRSGTDFTLTISSLQPEDFATYYCQQYKYVPFTFGQGTKVEIK</t>
  </si>
  <si>
    <t>QVQLQESGPGLVKPSQTLSLTCTVSGGSISSGSYYWIRQSPGKGLEWIGYIYYSGSTNYNPSLKSRVTISVDTSKNQFSLKLSSVTAADTAVYYCARHRYYDRGQGTLVTVSS</t>
  </si>
  <si>
    <t>DIQMTQSPASLSASVGETVTITCRASENIYSNLAWYQQKQGKSPQLLVYAATDLADGVPSRFSGSGSGTQFSLKINSLQPEDFGSYYCQHFWDTPWTFGQGTRVE</t>
  </si>
  <si>
    <t>EVQLVESGGGLVQPGGSLRLSCAASGFNLYSSSIHWVRQAPGKGLEWVAYISSSGTHYADSVKGRFTISADTSKNTAYLQMRAEDTAVYYCARVGHYYSSGGYYYAMDYWGQGTLVTVSS</t>
  </si>
  <si>
    <t>DIQMTQSPSSLSASVGDRVTITCRASQSVSSAVAWYQQKPGKAPKLLIYSASSLYSGVPSRFSGSRSGTDFTLTISSLQPEDFATYYCQQYSSYWTFGQGTKVEIK</t>
  </si>
  <si>
    <t>EVQLVESGGGLVQPGGSLRLSCAASGFNVVDSGISWVRQAPGKGLEWVSYISSSSGSTYYADSVKGRFTISADTSKNTAYLQMNSLRAEDTAVYYCARAHYYGSYFGSVVYYYGLDVWGQGTLVTVSS</t>
  </si>
  <si>
    <t>DIQMTQSPSSLSASVGDRVTITCRASQSVSSAVAWYQQKPGKAPKLLIYSASSLYSGVPSRFSGSRSGTDFTLTISSLQPEDFATYYCQQYDTYPITFGQGTKVEIK</t>
  </si>
  <si>
    <t>EVQLVESGGGLVQPGGSLRLSCAASGFNVYSSSIHWVRQAPGKGLEWVASISSYYGYTYYADSVKGRFTISADTSKNTAYLQMNSLRAEDTAVYYCARSYSTYYYGYWYFDVWGQGTLVTVSS</t>
  </si>
  <si>
    <t>DIQMTQSPSSLSAAVGDRVTITCRASQSVSSAVAWYQQKPGKAPKLLIYSASSLYSGVPSRFSGSRSGTDFTLTISSLQPEDFATYYCQQYNYYWLITFGQGTKVEIK</t>
  </si>
  <si>
    <t>QVQLQQPGAELVKPGASVKLSCKASGYTFTSDWIHWVKQRPGHGLEWIGEIIPSYGRANYNEKIQKKATLTADKSSSTAFMHLSSLTSEDSAVYYCARERGDGYFAVWGAGTTVTVSS</t>
  </si>
  <si>
    <t>DILLTQSPAILSVSPGERVSFSCRASQSIGTDIHWYQQRTNGSPRLLIKYASESISGIPSRFSGSGSGTDFTLSINSVESEDIANYYCQQSNRWPFTFGSGTKLEIK</t>
  </si>
  <si>
    <t>VRLLESGGGLVQPGGSLKLSCAASGFDYSRYWMSWVRQAPGKGLKWIGEINPVSSTINYTPSLKDKFIISRDNAKDTLYLQISKVRSEDTALYYCARLYYGYGYWYFDVWGAGTTVTVSS</t>
  </si>
  <si>
    <t>DIVLTQSPAIMSAAPGDKVTMTCSASSSVSYIHWYQQKSGTSPKRWIYDTSKLTSGVPVRFSGSGSGTSYSLTINTMEAEDAATYYCQQWSSHPQTFGGGTKLEIl</t>
  </si>
  <si>
    <t>QVQLQESGPGLVQPSQSLSLTCTVSGFSLTSYGVHWVRQSPGKGLEWLGVIWAGGSTDYNSALKSRLSISRDTSKNQVFLKMNSLQTDDTAMYYCAKHGSSNGDYWGQGTSVTVSS</t>
  </si>
  <si>
    <t>DIVMTQSPDSLAVSLGERATINCKSSQSVLYSSNNKNYLAWYQQKPEGQPPNLLIYWASTRESGVPDRFSGSGSGTDFTLTISSLQAEDVAVYYCQQYYSAPTFGQGTKLEIK</t>
  </si>
  <si>
    <t>sbio-nipahgpg-032</t>
  </si>
  <si>
    <t>sbio-nipahgpg-033</t>
  </si>
  <si>
    <t>sbio-nipahgpg-034</t>
  </si>
  <si>
    <t>sbio-nipahgpg-035</t>
  </si>
  <si>
    <t>sbio-nipahgpg-036</t>
  </si>
  <si>
    <t>sbio-nipahgpg-037</t>
  </si>
  <si>
    <t>sbio-nipahgpg-038</t>
  </si>
  <si>
    <t>sbio-nipahgpg-039</t>
  </si>
  <si>
    <t>sbio-nipahgpg-040</t>
  </si>
  <si>
    <t>sbio-nipahgpg-041</t>
  </si>
  <si>
    <t>sbio-nipahgpg-042</t>
  </si>
  <si>
    <t>sbio-nipahgpg-043</t>
  </si>
  <si>
    <t>sbio-nipahgpg-044</t>
  </si>
  <si>
    <t>sbio-nipahgpg-045</t>
  </si>
  <si>
    <t>sbio-nipahgpg-046</t>
  </si>
  <si>
    <t>sbio-nipahgpg-047</t>
  </si>
  <si>
    <t>sbio-nipahgpg-048</t>
  </si>
  <si>
    <t>sbio-nipahgpg-049</t>
  </si>
  <si>
    <t>sbio-nipahgpg-050</t>
  </si>
  <si>
    <t>sbio-nipahgpg-051</t>
  </si>
  <si>
    <t>proteinbase_name</t>
  </si>
  <si>
    <t>proteinbase_ipsae</t>
  </si>
  <si>
    <t>swift-swan-bronze</t>
  </si>
  <si>
    <t>young-zebra-cloud</t>
  </si>
  <si>
    <t>strong-shark-ember</t>
  </si>
  <si>
    <t>pale-bison-leaf</t>
  </si>
  <si>
    <t>noble-heron-dust</t>
  </si>
  <si>
    <t>scarlet-otter-ivy</t>
  </si>
  <si>
    <t>noble-lion-ruby</t>
  </si>
  <si>
    <t>strong-ox-thorn</t>
  </si>
  <si>
    <t>quick-quail-thorn</t>
  </si>
  <si>
    <t>strong-otter-frost</t>
  </si>
  <si>
    <t>shy-seal-ember</t>
  </si>
  <si>
    <t>vast-yak-ember</t>
  </si>
  <si>
    <t>rough-bee-opal</t>
  </si>
  <si>
    <t>vast-gecko-birch</t>
  </si>
  <si>
    <t>dark-dove-opal</t>
  </si>
  <si>
    <t>rapid-wolf-lotus</t>
  </si>
  <si>
    <t>amber-quail-granite</t>
  </si>
  <si>
    <t>noble-ram-moss</t>
  </si>
  <si>
    <t>wild-owl-rose</t>
  </si>
  <si>
    <t>swift-ant-ivy</t>
  </si>
  <si>
    <t>scarlet-eagle-ivy</t>
  </si>
  <si>
    <t>strong-zebra-ice</t>
  </si>
  <si>
    <t>mellow-toad-oak</t>
  </si>
  <si>
    <t>silver-quail-moss</t>
  </si>
  <si>
    <t>soft-cat-iron</t>
  </si>
  <si>
    <t>pale-crow-stone</t>
  </si>
  <si>
    <t>ivory-yak-flint</t>
  </si>
  <si>
    <t>soft-bear-clay</t>
  </si>
  <si>
    <t>soft-mole-cedar</t>
  </si>
  <si>
    <t>IVLEPIYWNSSNSKFLPGQGLVLYPQIGDKLDIICPKVDSKTVGQYEYYKVYMVDKDQADRCTIKKENTPLLNCAKPDQDIKFTIKFQEFSPNLWGLEFQKNKDYYIISTSNGSLEGLDNQEGGVCQTRAMKILMKVGHH</t>
  </si>
  <si>
    <t>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</si>
  <si>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ephrin_b2</t>
  </si>
  <si>
    <t>receptor_seq</t>
  </si>
  <si>
    <t>receptor_id</t>
  </si>
  <si>
    <t>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</si>
  <si>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antigen_source</t>
  </si>
  <si>
    <t>nipah_gpG_comp</t>
  </si>
  <si>
    <t>A</t>
  </si>
  <si>
    <t>B</t>
  </si>
  <si>
    <t>From Protein Data Bank entry</t>
  </si>
  <si>
    <t>brisk-bison-clay</t>
  </si>
  <si>
    <t>rough-bee-cedar</t>
  </si>
  <si>
    <t>quick-ram-stone</t>
  </si>
  <si>
    <t>amber-heron-granite</t>
  </si>
  <si>
    <t>steady-kiwi-dust</t>
  </si>
  <si>
    <t>swift-ibis-birch</t>
  </si>
  <si>
    <t>bright-quail-crystal</t>
  </si>
  <si>
    <t>solid-ant-cypress</t>
  </si>
  <si>
    <t>vast-goat-fern</t>
  </si>
  <si>
    <t>silver-fox-marble</t>
  </si>
  <si>
    <t>jade-heron-plume</t>
  </si>
  <si>
    <t>soft-shark-marble</t>
  </si>
  <si>
    <t>swift-cobra-lotus</t>
  </si>
  <si>
    <t>calm-toad-snow</t>
  </si>
  <si>
    <t>pale-deer-willow</t>
  </si>
  <si>
    <t>rough-seal-oak</t>
  </si>
  <si>
    <t>pale-otter-lotus</t>
  </si>
  <si>
    <t>quick-yak-granite</t>
  </si>
  <si>
    <t>bright-ant-jade</t>
  </si>
  <si>
    <t>From Proteinbase CIF output</t>
  </si>
  <si>
    <t>C</t>
  </si>
  <si>
    <t>MPAENKKVRFENTTSDKGKIPSKVIKSYYGTMDIKKINEGLLDSKILSAFNTVIALLGSIVIIVMNIMIIQNYTRSTDNQAVIKDALQGIQQQIKGLADKIGTEIGPKVSLIDTSSTITIPANIGLLGSKISQSTASINENVNEKCKFTLPPLKIHECNISCPNPLPFREYRPQTEGVSNLVGLPNNICLQKTSNQILKPKLISYTLPVVGQSGTCITDPLLAMDEGYFAYSHLERIGSCSRGVSKQRIIGVGEVLDRGDEVPSLFMTNVWTPPNPNTVYHCSAVYNNEFYYVLCAVSTVGDPILNSTYWSGSLMMTRLAVKPKSNGGGYNQHQLALRSIEKGRYDKVMPYGPSGIKQGDTLYFPAVGFLVRTEFKYNDSNCPITKCQYSKPENCRLSMGIRPNSHYILRSGLLKYNLSDGENPKVVFIEISDQRLSIGSPSKIYDSLGQPVFYQASFSWDTMIKFGDVLTVNPLVVNWRNNTVISRPGQSQCPRFNTCPEICWEGVYNDAFLIDRINWISAGVFLDSNQTAENPVFTVFKDNEILYRAQLASEDTNAQKTITNCFLLKNKIWCISLVEIYDTGDNVIRPKLFAVKIPEQCT</t>
  </si>
  <si>
    <t>nipah_gpG_compout</t>
  </si>
  <si>
    <t>proteinbase (github)</t>
  </si>
  <si>
    <t>proteinbase (output)</t>
  </si>
  <si>
    <t>MPAENKKVRFENTTSDKGKIPSKVIKSYYGTMDIKKINEGLLDSKILSAFNTVIALLGSIVIIVMNIMIIQNYTRSTDNQAVIKDALQGIQQQIKGLADKIGTEIGPKVSLIDTSSTITIPANIGLLGSKISQSTASINENVNEKCKFTLPPLKIHECNISCPNPLPFREYRPQTEGVSNLVGLPNNICLQKTSNQILKPKLISYTLGQSGTCITDPLLAMDEGYFAYSHLERIG[S][C][S][R]GVSKQRIIGVGEVLDRGDEVPSLFMTNVWTPPNPNTVYHCSAVYNNEFYYVLCAVSTVGDPI[L]NSTYWSGSLMMTRLAVKPKSNGGGYNQHQLALRSIEKGRYDKVMPYGPSGIKQGDTLYFPAVGFLVRTEFKYNDSNCPITKC[Q][Y]SKPENCRLSMG[I][R]PNSHYILRSGLLKYNLSDGENPKVVFIEISDQRLSIGSPSKIYDSLGQPVFYQAS[F]SWDTMIKFGDVLTVNPLVVNWRNNTVISR[P][G][Q][S][Q]CPRFNTCP[E]IC[W][E][G][V]YNDAFLIDRINWISAGVFLDSN[Q][T][A][E]NPVFTVFKDNEILYRAQLASE[D]T[N][A][Q]KTITNCFLLKNKIWCISLV[E][I][Y]D[T]GDNV[I]RPKLFAVKIPEQCT</t>
  </si>
  <si>
    <t>From Proteinbase competition evaluation logic (GitHub)</t>
  </si>
  <si>
    <t>sbio-nipahgpg-052</t>
  </si>
  <si>
    <t>sbio-nipahgpg-053</t>
  </si>
  <si>
    <t>sbio-nipahgpg-054</t>
  </si>
  <si>
    <t>sbio-nipahgpg-055</t>
  </si>
  <si>
    <t>sbio-nipahgpg-056</t>
  </si>
  <si>
    <t>sbio-nipahgpg-057</t>
  </si>
  <si>
    <t>sbio-nipahgpg-058</t>
  </si>
  <si>
    <t>sbio-nipahgpg-059</t>
  </si>
  <si>
    <t>sbio-nipahgpg-060</t>
  </si>
  <si>
    <t>sbio-nipahgpg-061</t>
  </si>
  <si>
    <t>sbio-nipahgpg-062</t>
  </si>
  <si>
    <t>sbio-nipahgpg-063</t>
  </si>
  <si>
    <t>sbio-nipahgpg-064</t>
  </si>
  <si>
    <t>sbio-nipahgpg-065</t>
  </si>
  <si>
    <t>sbio-nipahgpg-066</t>
  </si>
  <si>
    <t>sbio-nipahgpg-067</t>
  </si>
  <si>
    <t>sbio-nipahgpg-068</t>
  </si>
  <si>
    <t>sbio-nipahgpg-069</t>
  </si>
  <si>
    <t>sbio-nipahgpg-070</t>
  </si>
  <si>
    <t>sbio-nipahgpg-071</t>
  </si>
  <si>
    <t>sbio-nipahgpg-072</t>
  </si>
  <si>
    <t>sbio-nipahgpg-073</t>
  </si>
  <si>
    <t>sbio-nipahgpg-074</t>
  </si>
  <si>
    <t>sbio-nipahgpg-075</t>
  </si>
  <si>
    <t>sbio-nipahgpg-076</t>
  </si>
  <si>
    <t>sbio-nipahgpg-077</t>
  </si>
  <si>
    <t>sbio-nipahgpg-078</t>
  </si>
  <si>
    <t>sbio-nipahgpg-079</t>
  </si>
  <si>
    <t>sbio-nipahgpg-080</t>
  </si>
  <si>
    <t>sbio-nipahgpg-081</t>
  </si>
  <si>
    <t>QVQLQESGPGLVKPSETLSLTCTVSGGSVSSGGYFWSWIRQPPGKGLEWIGCIYYSGSTNYNPSLKSRVTISVDTSKNQFSLKLSSVTAADTAVYYCARVDSFYYGMDVWGQGTTVTVSS</t>
  </si>
  <si>
    <t>DIQMTQSPSSLSASVGDRVTITCRASQGIRNDLGWYQQKPGKAPKLLIYAASSLQSGVPSRFSGSGSGTDFTLTISSLQPEDFATYYCQQSYSTPRTFGQGTKVEIK</t>
  </si>
  <si>
    <t>EVQLVESGGGLVQPGGSLRLSCAASGFTFSSYAMSWVRQAPGKGLEWVSAISGSGGSTYYADSVKGRFTISRDNSKNTLYLQMNSLRAEDTAVYYCARQVWFGGFDYWGQGTLVTVSS</t>
  </si>
  <si>
    <t>DIQMTQSPSSLSASVGDRVTITCRASQSVSSAVAWYQQKPGKAPKLLIYSASSLYSGVPSRFSGSRSGTDFTLTISSLQPEDFATYYCQQYKYVPVTFGQGTKVEIK</t>
  </si>
  <si>
    <t>EVQLVESGGGLVQPGGSLRLSCAASGFNVSSSYIHWVRQAPGKGLEWVASISSYYGYTYYADSVKGRFTISADTSKNTAYLQMNSLRAEDTAVYYCARSRQFWYSGLDYWGQGTLVTVSS</t>
  </si>
  <si>
    <t>EVQLVESGGGLVQPGGSLRLSCAASGFNISSSSIHWVRQAPGKGLEWVASIYSYSGYTSYADSVKGRFTISADTSKNTAYLQMNSLRAEDTAVYYCARGGSSYFGYYAMDYWGQGTLVTVSS</t>
  </si>
  <si>
    <t>QVQLVQSGAEVKKPGSSVKVSCKASGGTFSSYSISWVRQAPGQGLEWMGGIIIFGTANYAQKFQGRVTITADESTSTAYMELSSLRSEDTAVYYCARGQGTLVDFYWGQGTLVTVSS</t>
  </si>
  <si>
    <t>DIQMTQSPSSLSASVGDRVTITCRASQSISSYLNWYQQKPGKAPKLLIYAASSLQSGVPSRFSGSGSGTDFTLTISSLQPEDFATYYCQQSYSTPRTFGQGTKVEIK</t>
  </si>
  <si>
    <t>EVQLVESGGGLVQPGGSLRLSCAASGFNVSYYSIHWVRQAPGKGLEWVASIYPYSGYTNYADSVKGRFTISADTSKNTAYLQMNSLRAEDTAVYYCARYYGYGYWGYAMDYWGQGTLVTVSS</t>
  </si>
  <si>
    <t>EVQLVESGGGLVQPGGSLRLSCAASGFTFSSYAMSWVRQAPGKGLEWVSAISGSGGSTYYADSVKGRFTISRDNSKNTLYLQMNSLRAEDTAVYYCARGYQVYFDYWGQGTLVTVSS</t>
  </si>
  <si>
    <t>EVQLVESGGGLVQPGGSLRLSCAASGFNVSSSYIHWVRQAPGKGLEWVASISSYYGSTYYADSVKGRFTISADTSKNTAYLQMNSLRAEDTAVYYCARGWSYSWSYSWSYSGLDVWGQGTTVTVSS</t>
  </si>
  <si>
    <t>DIQMTQSPSSLSASVGDRVTITCRASQSVSSAVAWYQQKPGKAPKLLIYSASSLYSGVPSRFSGSRSGTDFTLTISSLQPEDFATYYCQQSSSSLITFGQGTKVEIK</t>
  </si>
  <si>
    <t>EVQLVESGGGLVQPGGSLRLSCAASGFNISSSSIHWVRQAPGKGLEWVASIYSYSGYTSYADSVKGRFTISADTSKNTAYLQMNSLRAEDTAVYYCARGWYYGSSYWGQGTLVTVSS</t>
  </si>
  <si>
    <t>EVQLVESGGGLVQPGGSLRLSCAASGFNVSSSYIHWVRQAPGKGLEWVASISSYYGYTYYADSVKGRFTISADTSKNTAYLQMNSLRAEDTAVYYCARYYGTYYGSSYWGQGTLVTVSS</t>
  </si>
  <si>
    <t>QMQLVQSGAEVKKPGESLKISCKGSGYSFTSYWIGWVRQMPGKGLEWMGIIYPGDSDTRYSPSFQGQVTISADKSISTAYLQWSSLKASDTAIYYCARHYYGGQYFDYWGQGTLVTVSS</t>
  </si>
  <si>
    <t>DIQMTQSPSSLSASVGDRVTITCRASQGIRNDLGWYQQKPGKAPKLLIYAASSLQSGVPSRFSGSGSGTDFTLTISSLQPEDFATYYCQQSYSTPYTFGQGTKLEIK</t>
  </si>
  <si>
    <t>QVQLVQSGAEVKKPGSSVKVSCKASGGTFSSYAISWVRQAPGQGLEWMGGIIPIFGTANYAQKFQGRVTITADESTSTAYMELSSLRSEDTAVYYCARWYDGYFVYWGQGTLVTVSS</t>
  </si>
  <si>
    <t>EVQLVESGGGLVQPGGSLRLSCAASGFNVSSSSIHWVRQAPGKGLEWVASISSYYGYTYYADSVKGRFTISADTSKNTAYLQMNSLRAEDTAVYYCARSRQFWYSGLDYWGQGTLVTVFN</t>
  </si>
  <si>
    <t>EVQLVESGGGLVQPGGSLRLSCAASGFNISSSSIHWVRQAPGKGLEWVASIYSYYGSTYYADSVKGRFTISADTSKNTAYLQMRAEDTAVYYCARGWRSYAMDYWGQGTLVTVSS</t>
  </si>
  <si>
    <t>QVQLVQSGAEVKKPGSSVKVSCKASGGTFSSYSFIWVRQAPGQGLEWMGGIIPIFGTANYAQKFQGRVTITADESTSTAYMELSSLRSEDTAVYYCARSSYSGVYYSWYFDVWGAGTTVTVSS</t>
  </si>
  <si>
    <t>DIQMTQSPSSLSASVGDRVTITCRASQGISNYLAWYQQKPGKAPKLLIYAASTLQSGVPSRFSGSGSGTDFTLTISSLQPEDFATYYCQQSYSTPRTFGQGTKVEIK</t>
  </si>
  <si>
    <t>EVQLQESGPGLVKPSQTLSLTCTVSGGSISSYAAWSWIRQPPGKGLEWIGYIYSSSGSTNYNPSLKSRVTISVDTSKNQFSLKLSSVTAADTAVYYCARGDYSYSYYGLDYWGQGTLVTVSS</t>
  </si>
  <si>
    <t>DIQMTQSPSSLSASVGDRVTITCRASQGIRNDLGWYQQKPGKAPKLLIYAASNLQSGVPSRFSGSGSGTDFTLTISSLQPEDFATYYCQQSYSTPRYTFGQGTKVEIK</t>
  </si>
  <si>
    <t>EVQLQQSGPELVKPGASVKMSCKASGYTFTSYNIHWVKQTPVHGLEWIGAIVSGGDTNYNENFKDKATLTVDKSSSTAYMQLTSEDSAVYYCARGGFYGDYWGQGTSVTVSS</t>
  </si>
  <si>
    <t>DIVLTQSPATLSVTPGDSVSLSCRASQSVTNNIHWYQQKSHESPRLLIKYASQSISGIPSRFSGSGSGTDFTLSINSVETEDFGMYFCQQSNSWPYTFGGGTKLEIK</t>
  </si>
  <si>
    <t>QVQLQESGPGLVKPSQTLSLTCTVSGGSISSGDYYWIRQHPGKGLEWIGYIYYSGSTYYNPSLKSRVTISVDTSKNQFSLKLSSVTAADTAVYYCARQLWLRGRFDYWGQGTLVTVSS</t>
  </si>
  <si>
    <t>DIQMTQSPSSLSASVGDRVTITCRASQGISSWLAWYQQKPGKAPKLLIYAASTLQSGVPSRFSGSGSGTDFTLTISSLQPEDFATYYCQQSYSTPYTFGQGTKVEIK</t>
  </si>
  <si>
    <t>EVQLVESGGGLVQPGGSLRLSCAASGFTVSSNYMSWVRQAPGKGLEWVSVIYSGGSTYYADSVKGRFTISRDNSKNTLYLQMNSLRAEDTAVYYCAREAGVWVFDYWGQGTLVTVSS</t>
  </si>
  <si>
    <t>EVQLVESGGGLVQPGGSLRLSCAASGFNLYSSSIHWVRQAPGKGLEWVASISSYYGSTYYADSVKGRFTISADTSKNTAYLQMNSLRAEDTAVYYCARSRQFWLWFGQGTLVTVSS</t>
  </si>
  <si>
    <t>VQLVQSGAEVKKPGASVKVSCKASGYTFTTYTISWVRQAPGQGLEWMGWINNSGGTNYAQKFQGRVTMTRDTSTSTVSAYMELRSEDTAVYYCATFVYGYSAYQPLTDDYGQMDVWGQGTTVTVSS</t>
  </si>
  <si>
    <t>DIQMTQSPSSLSASVGDRVTITCRASQSISSYLNWFQQKPGKAPKLLIYAASSLQSGVPSRFSGSGSGTDFTLTISSLQPEDFATYYCQQSLLYPLTFGGGTKVEIK</t>
  </si>
  <si>
    <t>EVQLVESGGGLVQPGGSLRLSCAASGFNISSSSIHWVRQAPGKGLEWVASIYSSSGSTYYADSVKGRFTISADTSKNTAYLQMNSLRAEDTAVYYCARHRWWAHPYWGQGTLVTVSS</t>
  </si>
  <si>
    <t>DIQMTQSPSSLSASVGDRVTITCRASQSVSSAVAWYQQKPGKAPKLLIYSASSLYSGVPSRFSGSRSGTDFTLTISSLQPEDFATYYCQQSYYITPYTFGQGTKVEIK</t>
  </si>
  <si>
    <t>EVQLVESGGGVVQPGRSLRLSCAASGFTFSSYAMHWVRQAPGKGLEWVAVIWYDGSNKYYADSVKGRFTISRDNSKNTLFLQMNSLRPEDTAVYYCARDTPMYYDVWGQGTTVTVSS</t>
  </si>
  <si>
    <t>DIQLTQSPSSLSASVGDRVTITCRTSQDIDNYLNWYQQKPGKAPKLLIYYTSSLHSGVPSRFSGSGSGTDFTFTISSLQPEDIATYYCQQYDNLPITFGQGTKLEIK</t>
  </si>
  <si>
    <t>EVQLVESGGGLVQPGGSLRLSCAASGFTFSNYAMSWVRQAPGKGLEWVSAISGSGGSTYYADSVKGRFTISRDNSKNTLYLQMNSLRAEDTAVYYCARLSPYNGSMDYWGQGTLVTVSS</t>
  </si>
  <si>
    <t>VTQPASVSGSPGQSITISCTGTSSDIGAYNYVSWYQQHPGKAPKLMIYEVSKRPSGVSNRFSGSKSGNTASLTISGLQTEDEADYYCSSYTRSGSVVFGGGTKLTVL</t>
  </si>
  <si>
    <t>QVQLVQSGAEVKKPGSSVKVSCKASGGTFSSYTISWVRQAPGQGLEWMGGIIPILGIANYAQKFQGRVTITADKSTSTAYMELSSLRSEDTAVYYCARGDSSYVDSWDYWGQGTLVTVS</t>
  </si>
  <si>
    <t>EIVLTQSPGTLSLSPGERATLSCRASQSVSSSYLAWYQQKPGQAPRLLIYGASSRATGIPDRFSGSGSGTDFTLTISRLEPEDFAVYYCQQYGSSPWTFGQGTKVEIK</t>
  </si>
  <si>
    <t>QVQLVESGGGVVQPGRSLRLSCAASGFTFSNYGMHWVRQAPGKGLEWVAVISDGSNKYYADSVKGRFTISRDNSKNTLYLQMRAEDTAVYYCARGSHSSRDYWGQGTLVTVSS</t>
  </si>
  <si>
    <t>DIQMTQSPSSLSASVGDRVTITCRASQSISSYLNWYQQKPGKAPKLLIYAASSLQSGVPSRFSGSGSGTDFTLTISSLQPEDFATYYCQQSYSTPPYTFGQGTKVEIK</t>
  </si>
  <si>
    <t>VQLVQSGAEVKRPGSSVKVSCKTSGGTIFSTYVFWVRQAPGQGLEWMGGFPPKAGYIYAQKFQGRVTFTADESSSTTVYMEDLRSEDTAVYFCARFPYFVYDVWGQGTTVTVSS</t>
  </si>
  <si>
    <t>DIQMTQSPSSLSASVGDRVTITCRASQSIGGYLAWYQQKPGKVPKLLIYAASSLQSGVPSRFSGSGSGTDFTLTISSLQPEDFATYYCQQSYSTPRTFGQGTKVEIK</t>
  </si>
  <si>
    <t>VQLQESGPGLVKPSQSLSLTCTVTGFSIDYNIYWGWIRQPPGKGLEWIGYIYSGSDTYNPSLKSRVTISVDTSKNQFSLKVNSVTAADTAVYYCARVVDLWYDDGKYASCVKGAIDYWGQGTLVTVSS</t>
  </si>
  <si>
    <t>SVLTQPPSVSGAPGQRVTISCTGSSGAGYDVHWYQQLPGTAPKLLIYGNSNRPSGVPDRFSGSKSGTSASLAITGLQAEDEADYYCQSYDSSLSGWVFGGGTKLTVL</t>
  </si>
  <si>
    <t>EVQLVESGGGLVQPGGSLRLSCAASGFNVVDFSLHWVRQAPGKGLEWVASIYPYDGSAYYADSVKGRFTISADTSKNTAYLQMNSLRAEDTAVYYCARWGYWPGEGWLGKYWGQGTLVTVS</t>
  </si>
  <si>
    <t>EVQLVESGGGLVQPGGSLRLSCAASGFNISSSSIHWVRQAPGKGLEWVASISSSYGSTYYADSVKGRFTISADTSKNTAYLQMNSLRAEDTAVYYCARWEGYRGDLWGQGTLVTVSS</t>
  </si>
  <si>
    <t>DIQMTQSPSSLSASVGDRVTITCRASQSVSSAVAWYQQKPGKAPKLLIYSASSLYSGVPSRFSGSRSGTDFTLTISSLQPEDFATYYCQQYYEWLRTFGQGTKVEIK</t>
  </si>
  <si>
    <t>sbio-nipahgpg-082</t>
  </si>
  <si>
    <t>Humanized using Abysis (Chothia scheme and CDR regions)</t>
  </si>
  <si>
    <t>QVQLQESGPGLVKPSQTLSLTCTVSGGSVSSGSYYWSWIRQPPGKGLEWIGYIYYSGSTNYNPSLKSRVTISVDTSKNQFSLKLSSVTAADTAVYYCARVDSFYYGMDVWGQGTTVTVSS</t>
  </si>
  <si>
    <t>DIQMTQSPSSLSASVGDRVTITCRASSGSSYDNGWYQQKPGKAPKLLIYAASSLQSGVPSRFSGSGSGTDFTLTISSLQPEDFATYYLQDSNYTPRTFGQGTKVEIK</t>
  </si>
  <si>
    <t>gentle-quail-fern</t>
  </si>
  <si>
    <t>swift-wolf-marble</t>
  </si>
  <si>
    <t>crimson-kiwi-pine</t>
  </si>
  <si>
    <t>solid-bee-ivy</t>
  </si>
  <si>
    <t>vast-goat-clay</t>
  </si>
  <si>
    <t>quick-panda-iron</t>
  </si>
  <si>
    <t>brisk-panther-marble</t>
  </si>
  <si>
    <t>wild-tiger-jade</t>
  </si>
  <si>
    <t>ivory-cat-ivy</t>
  </si>
  <si>
    <t>violet-quail-maple</t>
  </si>
  <si>
    <t>ref_antibody_id</t>
  </si>
  <si>
    <t>pdb_id</t>
  </si>
  <si>
    <t>QSLEESGGRLVTPGTPLTLTCTASGFSLSSYYMMWVRQAPGKGLEWIGIINTGGNAYYASWTKGRFTISKTSTTVDLKITSPTTEDTATYFCARAVPSGAGYSAGGLWGPGTLVTVSS</t>
  </si>
  <si>
    <t>DQVLTQTPASVEAAVGGTVTIKCQASQSVGFYLSWYQQKPGQPPKLLIYRASTLESGVPSRFKGSGSGTEFTLTISDLECADAATYYCQTNDYLASSAFGGGTEVVVRGDP</t>
  </si>
  <si>
    <t>fab92_1</t>
  </si>
  <si>
    <t>8RVN_fasta</t>
  </si>
  <si>
    <t>fab92_2</t>
  </si>
  <si>
    <t>8VRN_JI</t>
  </si>
  <si>
    <t>EVQLQQSGAELVKPGASVKLSCTASGFNIKDTYMYWVKQRPEQGLEWIGRIDPANGDTKYDPKFQGKATITTDTFSNTAYLQLSSLTSEDTAVYYCARKGLRWAMDYWGQGTSVTVST</t>
  </si>
  <si>
    <t>NIVMTQSPKSMSMSVGERVTLSCKASEYVGTYVSWYQQKPEQSPKLLIYGASNRYTGVPDRFTGSGSATDFTLTIGSVQAEDLADYHCGQSYSYPTFGAGTKLELKRA</t>
  </si>
  <si>
    <t>1f5</t>
  </si>
  <si>
    <t>7KI6_CB</t>
  </si>
  <si>
    <t>QIVLTQSPAIMSASLGEAITLTCSASSSVSYMHWYQQKSGTSPKLLIYSTSNLASGVPSRFSGSGSGTFYSLTISSVEAEDAADYYCHQWYSYPWTFGGGTKLEIK</t>
  </si>
  <si>
    <t>DVQLQESGPGLVKPSQSLSLTCSVTGYSITSDYYWNWIRQFPGNKLEWMGYVTYDGSNNYNPSLKNRISITRDSSKNQFFLKLNSVISEDTATYYCARFGSSYWAMDYWGQGTSLTVSS</t>
  </si>
  <si>
    <t>sbio-nipahgpg-083</t>
  </si>
  <si>
    <t>QVQLVQSGAEVKKPGSSVKVSCKASGGTFSSYTISWVRQAPGQGLEWMGRIIPIFGTANYAQKFQGRVTITADKSTSTAYMELSSLRSEDTAVYYCARYYDSYFDYWGQGTLVTVSS</t>
  </si>
  <si>
    <t>DIQMTQSPSSLSASVGDRVTITCRASQGISSWLAWYQQKPGKAPKLLIYAASSLQSGVPSRFSGSGSGTDFTLTISSLQPEDFATYYCQCGNSFPWTFGGGTKLEIK</t>
  </si>
  <si>
    <t>frozen-goat-snow</t>
  </si>
  <si>
    <t>vast-shark-iron</t>
  </si>
  <si>
    <t>quiet-ant-vine</t>
  </si>
  <si>
    <t>crimson-boar-moss</t>
  </si>
  <si>
    <t>swift-panther-sand</t>
  </si>
  <si>
    <t>deep-otter-oak</t>
  </si>
  <si>
    <t>carlet-moth-plume</t>
  </si>
  <si>
    <t>swift-heron-dust</t>
  </si>
  <si>
    <t>violet-panda-ash</t>
  </si>
  <si>
    <t>FAILED SIMILARITY TEST</t>
  </si>
  <si>
    <t>GPT-4o</t>
  </si>
  <si>
    <t>DVQLQESGPGLVKPSQTLSLTCTVSGYSITSDYYWNWIRQFPGNKLEWMGYISYDGSSNYNPSLKNRISITRDNSKNQFFLQLNSVTTEDTATYYCARSCSRRGYAMDYWGQGTSVTVSS</t>
  </si>
  <si>
    <t>QIVLTQSPAIMSASLGEKVTLTCSASSSVSYMHWYQQKPGTSPKLLIYSCNLLSGVPDRFSGSGSGTDFTLSISNVETEDAATYYCYQYRIRFGGGTKLTVLQ</t>
  </si>
  <si>
    <t>sbio-nipahgpg-084</t>
  </si>
  <si>
    <t>sbio-nipahgpg-085</t>
  </si>
  <si>
    <t>sbio-nipahgpg-086</t>
  </si>
  <si>
    <t>EVQLVESGGGLVQPGGSLRLSCAASGFTFSSYAMSWVRQAPGKGLEWVSSISRSGGSTYYADSVKGRFTISRDNAKNSLYLQMNSLRAEDTAVYYCARSCSSRGYFDYWGQGTLVTVSS</t>
  </si>
  <si>
    <t>DIVMTQSPDSLAVSLGERATINCRASQSVSSYLAWYQQKPGQSPKLLIYSCNLQSGVPDRFSGSGSGTDFTLTISSLQPEDFATYYCQPYIRFGGGGTKLEIK</t>
  </si>
  <si>
    <t>QVQLQESGPGLVKPSQTLSLTCTVSGFSFSSYAMSWVRQAPGKGLEWVSSISRSGGSTYYADSVKGRFTISRDNAKNSLYLQMNSLRAEDTAVYYCARSCSSRGYLFDYWGQGTLVTVSS</t>
  </si>
  <si>
    <t>GPT-4o /  v_48_030</t>
  </si>
  <si>
    <t>sbio-nipahgpg-087</t>
  </si>
  <si>
    <t>General LLM + ProteinMPNN</t>
  </si>
  <si>
    <t>QVKLTQSPKEVTAKIGDTVTLTCTASQPVSTVSWYMQKPGQPPQLLISNNKLVEGVPERFSASGSGTEFTLTIKDVQKEDEAIYYCEVNGQVFGQGTKLTVLE</t>
  </si>
  <si>
    <t>SIKLTESGPTSVAPGSTLNLTCTVTGDNITSSGWYWWVKQAPDNKLTWIGGIDKNGNTWLNVAYIDRATLTRDPAANTVYLSIRNVTSSDTATYYCAKSSDDNGSYLDVWGQGLKVTVSG</t>
  </si>
  <si>
    <t>EVQLVESGGGLVQPGGSLRLSCAASGFTFSSYAMSWVRQAPGKGLEWVSAISGSGGSTYYADSVKGRFTISRDNSKNTLYLQMNSLRAEDTAVYYCARGYQVYFDYWGQGTLVTVSSGGGSGGGSGGGSGGGSDIQMTQSPSSLSASVGDRVTITCRASQSVSSAVAWYQQKPGKAPKLLIYSASSLYSGVPSRFSGSRSGTDFTLTISSLQPEDFATYYCQQYKYVPVTFGQGTKVEIK</t>
  </si>
  <si>
    <t>EVQLVESGGGLVQPGGSLRLSCAASGFNVSSSYIHWVRQAPGKGLEWVASISSYYGSTYYADSVKGRFTISADTSKNTAYLQMNSLRAEDTAVYYCARGWSYSWSYSWSYSGLDVWGQGTTVTVSSGGGSGGGSGGGSGGGSDIQMTQSPSSLSASVGDRVTITCRASQSVSSAVAWYQQKPGKAPKLLIYSASSLYSGVPSRFSGSRSGTDFTLTISSLQPEDFATYYCQQSSSSLITFGQGTKVEIK</t>
  </si>
  <si>
    <t>EVQLQQSGPELVKPGASVKMSCKASGYTFTSYNIHWVKQTPVHGLEWIGAIVSGGDTNYNENFKDKATLTVDKSSSTAYMQLTSEDSAVYYCARGGFYGDYWGQGTSVTVSSGGGSGGGSGGGSGGGSDIVLTQSPATLSVTPGDSVSLSCRASQSVTNNIHWYQQKSHESPRLLIKYASQSISGIPSRFSGSGSGTDFTLSINSVETEDFGMYFCQQSNSWPYTFGGGTKLEIK</t>
  </si>
  <si>
    <t>QVQLQESGPGLVKPSQTLSLTCTVSGGSISSGDYYWIRQHPGKGLEWIGYIYYSGSTYYNPSLKSRVTISVDTSKNQFSLKLSSVTAADTAVYYCARQLWLRGRFDYWGQGTLVTVSSGGGSGGGSGGGSGGGSDIQMTQSPSSLSASVGDRVTITCRASQGISSWLAWYQQKPGKAPKLLIYAASTLQSGVPSRFSGSGSGTDFTLTISSLQPEDFATYYCQQSYSTPYTFGQGTKVEIK</t>
  </si>
  <si>
    <t>VQLVQSGAEVKRPGSSVKVSCKTSGGTIFSTYVFWVRQAPGQGLEWMGGFPPKAGYIYAQKFQGRVTFTADESSSTTVYMEDLRSEDTAVYFCARFPYFVYDVWGQGTTVTVSSGGGSGGGSGGGSGGGSDIQMTQSPSSLSASVGDRVTITCRASQSIGGYLAWYQQKPGKVPKLLIYAASSLQSGVPSRFSGSGSGTDFTLTISSLQPEDFATYYCQQSYSTPRTFGQGTKVEIK</t>
  </si>
  <si>
    <t>VQLQESGPGLVKPSQSLSLTCTVTGFSIDYNIYWGWIRQPPGKGLEWIGYIYSGSDTYNPSLKSRVTISVDTSKNQFSLKVNSVTAADTAVYYCARVVDLWYDDGKYASCVKGAIDYWGQGTLVTVSSGGGSGGGSGGGSSVLTQPPSVSGAPGQRVTISCTGSSGAGYDVHWYQQLPGTAPKLLIYGNSNRPSGVPDRFSGSKSGTSASLAITGLQAEDEADYYCQSYDSSLSGWVFGGGTKLTVL</t>
  </si>
  <si>
    <t>DVQLQESGPGLVKPSQTLSLTCTVSGYSITSDYYWNWIRQFPGNKLEWMGYISYDGSSNYNPSLKNRISITRDNSKNQFFLQLNSVTTEDTATYYCARSCSRRGYAMDYWGQGTSVTVSSGGGSGGGSGGGSGGGSQIVLTQSPAIMSASLGEKVTLTCSASSSVSYMHWYQQKPGTSPKLLIYSCNLLSGVPDRFSGSGSGTDFTLSISNVETEDAATYYCYQYRIRFGGGTKLTVLQ</t>
  </si>
  <si>
    <t>EVQLVESGGGLVQPGGSLRLSCAASGFTFSSYAMSWVRQAPGKGLEWVSSISRSGGSTYYADSVKGRFTISRDNAKNSLYLQMNSLRAEDTAVYYCARSCSSRGYFDYWGQGTLVTVSSGGGSGGGSGGGSGGGSDIVMTQSPDSLAVSLGERATINCRASQSVSSYLAWYQQKPGQSPKLLIYSCNLQSGVPDRFSGSGSGTDFTLTISSLQPEDFATYYCQPYIRFGGGGTKLEIK</t>
  </si>
  <si>
    <t>QVQLQESGPGLVKPSQTLSLTCTVSGFSFSSYAMSWVRQAPGKGLEWVSSISRSGGSTYYADSVKGRFTISRDNAKNSLYLQMNSLRAEDTAVYYCARSCSSRGYLFDYWGQGTLVTVSSGGGSGGGSGGGSGGGSDIVMTQSPDSLAVSLGERATINCRASQSVSSYLAWYQQKPGQSPKLLIYSCNLQSGVPDRFSGSGSGTDFTLTISSLQPEDFATYYCQPYIRFGGGGTKLEIK</t>
  </si>
  <si>
    <t>SIKLTESGPTSVAPGSTLNLTCTVTGDNITSSGWYWWVKQAPDNKLTWIGGIDKNGNTWLNVAYIDRATLTRDPAANTVYLSIRNVTSSDTATYYCAKSSDDNGSYLDVWGQGLKVTVSGGGGSGGGSGGGSGGGSQVKLTQSPKEVTAKIGDTVTLTCTASQPVSTVSWYMQKPGQPPQLLISNNKLVEGVPERFSASGSGTEFTLTIKDVQKEDEAIYYCEVNGQVFGQGTKLTVLE</t>
  </si>
  <si>
    <t>sbio-nipahgpg-088</t>
  </si>
  <si>
    <t>sbio-nipahgpg-089</t>
  </si>
  <si>
    <t>sbio-nipahgpg-090</t>
  </si>
  <si>
    <t>sbio-nipahgpg-091</t>
  </si>
  <si>
    <t>sbio-nipahgpg-092</t>
  </si>
  <si>
    <t>sbio-nipahgpg-093</t>
  </si>
  <si>
    <t>sbio-nipahgpg-094</t>
  </si>
  <si>
    <t>sbio-nipahgpg-095</t>
  </si>
  <si>
    <t>sbio-nipahgpg-096</t>
  </si>
  <si>
    <t>sbio-nipahgpg-097</t>
  </si>
  <si>
    <t>sbio-nipahgpg-098</t>
  </si>
  <si>
    <t>sbio-nipahgpg-099</t>
  </si>
  <si>
    <t>sbio-nipahgpg-100</t>
  </si>
  <si>
    <t>sbio-nipahgpg-101</t>
  </si>
  <si>
    <t>sbio-nipahgpg-102</t>
  </si>
  <si>
    <t>sbio-nipahgpg-103</t>
  </si>
  <si>
    <t>sbio-nipahgpg-104</t>
  </si>
  <si>
    <t>sbio-nipahgpg-105</t>
  </si>
  <si>
    <t>sbio-nipahgpg-106</t>
  </si>
  <si>
    <t>sbio-nipahgpg-107</t>
  </si>
  <si>
    <t>sbio-nipahgpg-108</t>
  </si>
  <si>
    <t>sbio-nipahgpg-109</t>
  </si>
  <si>
    <t>sbio-nipahgpg-110</t>
  </si>
  <si>
    <t>sbio-nipahgpg-111</t>
  </si>
  <si>
    <t>sbio-nipahgpg-112</t>
  </si>
  <si>
    <t>sbio-nipahgpg-113</t>
  </si>
  <si>
    <t>sbio-nipahgpg-114</t>
  </si>
  <si>
    <t>sbio-nipahgpg-115</t>
  </si>
  <si>
    <t>sbio-nipahgpg-116</t>
  </si>
  <si>
    <t>sbio-nipahgpg-117</t>
  </si>
  <si>
    <t>EVQLVESGGGLVQPGGSLRLSCAASGFNVSYSSIHWVRQAPGKGLEWVASIYSYSGYTYYADSVKGRFTISADTSKNTAYLQMNSLRAEDTAVYYCARGWYSYFDYWGQGTLVTVSS</t>
  </si>
  <si>
    <t>QVQLVQSGAEVKKPGSSVKVSCKASGGTFSSYAISWVRQAPGQGLEWMGGIIIFGTANYAQKFQGRVTITADKSTSTAYMELRSEDTAVYYCAREGTTGWDYWGQGTLVTVSS</t>
  </si>
  <si>
    <t>EIVLTQSPGTLSLSPGERATLSCRASQSVSSSYLAWYQQKPGQAPRLLIYGASSRATGIPDRFSGSGSGTDFTLTISRLEPEDFAVYYCQQYGSSPRTFGQGTKVEIK</t>
  </si>
  <si>
    <t>EVQLVESGGGLVQPGGSLRLSCAASGFNVSYYSIHWVRQAPGKGLEWVASIYSYSGYTSYADSVKGRFTISADTSKNTAYLQMNSLRAEDTAVYYCARYYVYYGAMDYWGQGTLVTVSS</t>
  </si>
  <si>
    <t>EVQLVESGGGLVQPGGSLRLSCAASGFNVSYSSIHWVRQAPGKGLEWVASIYSYSGYTYYADSVKGRFTISADTSKNTAYLQMNSLRAEDTAVYYCARGWVRGSSYWGQGTLVTVSS</t>
  </si>
  <si>
    <t>EVQLVESGGGLVQPGGSLRLSCAASGFNVSYSSIHWVRQAPGKGLEWVASIYSYSGYTNYADSVKGRFTISADTSKNTAYLQMNSLRAEDTAVYYCARYYGGYGGYFDYWGQGTLVTVSS</t>
  </si>
  <si>
    <t>EVQLVESGGGLVQPGGSLRLSCAASGFNVSYYSIHWVRQAPGKGLEWVASIYPYSGYTNYADSVKGRFTISADTSKNTAYLQMNSLRAEDTAVYYCARYYGYWYFDYWGQGTLVTVSS</t>
  </si>
  <si>
    <t>EVQLVESGGGLVQPGGSLRLSCAASGFNVSYSSIHWVRQAPGKGLEWVASIYSYSGYTSYADSVKGRFTISADTSKNTAYLQMNSLRAEDTAVYYCARYYGGYGGWYFDYWGQGTLVTVSS</t>
  </si>
  <si>
    <t>EVQLVESGGGLVQPGGSLRLSCAASGFNVSYYSIHWVRQAPGKGLEWVASISSYYGYTYYADSVKGRFTISADTSKNTAYLQMNSLRAEDTAVYYCARYYGYWYFDYWGQGTLVTVSS</t>
  </si>
  <si>
    <t>EVQLVESGGGLVQPGGSLRLSCAASGFNVSYYSIHWVRQAPGKGLEWVASISSYYGYTYYADSVKGRFTISADTSKNTAYLQMNSLRAEDTAVYYCARYYGTYYGHSYWGQGTLVTVSS</t>
  </si>
  <si>
    <t>EVQLVESGGGLVQPGGSLRLSCAASGFNVSYSSIHWVRQAPGKGLEWVASIYSYSGYTNYADSVKGRFTISADTSKNTAYLQMNSLRAEDTAVYYCARYWYFGYFDYWGQGTLVTVSS</t>
  </si>
  <si>
    <t>EVQLVESGGGLVKPGGSLRLSCAASGFTFRNYAMSWVRQAPGKGLEWVSSISSKSKSTSYADSVKGRFTISRDNAKNSLYLQMNSLRAEDTAVYYCARESGSFSYEGVWGQGTLVTVSS</t>
  </si>
  <si>
    <t>SVLTQPPSVSGAPGQRVTISCTGSSSNIGAGYDVHWYQQLPGTAPKLLIYDNNKRPSGVPDRFSGSKSGTSASLAITGLQAEDEADYYCQSYDSSLSGLVFGGGTKLTVL</t>
  </si>
  <si>
    <t>EVQLVESGGGLVQPGGSLRLSCAASGFNISSSSIHWVRQAPGKGLEWVASIYYSSGYTHYADSVKGRFTISADTSKNTAYLQMNSLRAEDTAVYYCARWGYWPGQVWLWFAYWGQGTLVTVS</t>
  </si>
  <si>
    <t>QVQLVQSGAEVKKPGSSVKVSCKSSGGTSNNYAISWVRQAPGQGLEWMGGIIPILGIANYAQKFQGRVTITADKSTSTAYMELSSLRSEDTAVYYCAREDAVVDYWGQGTLVTVSS</t>
  </si>
  <si>
    <t>DIQMTQSPSTLSASVGDRVTITCRASQGISSWLAWYQQKPGKAPKLLIYKASSLESGVPSRFSGSGSGTEFTLTISSLQPDDFATYYCQQYNSYPLTFGQGTKVQVK</t>
  </si>
  <si>
    <t>EVQLVESGGGLVQPGGSLRLSCAASGFNVSSSSIHWVRQAPGKGLEWVASISSYYGYTYYADSVKGRFTISADTSKNTAYLQMNSLRAEDTAVYYCARHWGYCSWFAYWGQGTLVTVSS</t>
  </si>
  <si>
    <t>EVQLVESGGGLVQPGGSLRLSCAASGFNISSSSIHWVRQAPGKGLEWVASIYSYSGYTSYADSVKGRFTISADTSKNTAYLQMNSLRAEDTAVYYCARGSHYFGYFDYWGQGTLVTVSS</t>
  </si>
  <si>
    <t>QVQLQESGPGLVKPSQTLSLTCTVSGGSISSGDYYWIRQHPGKGLEWIGYIYYSGSTDYNPSLKSRVTISVDTSKNQFSLKVTAADTAVYYCARTWFGSDYWGQGTLVTVSS</t>
  </si>
  <si>
    <t>DIQMTQSPSSLSASVGDRVTITCRASQGISNYLAWYQQKPGKAPKLLIYAASTLQSGVPSRFSGSGSGTDFTLTISSLQPEDFATYYCQQAHSFPYTFGGGTKLEIK</t>
  </si>
  <si>
    <t>EVQLVESGGGLVQPGGSLRLSCAASGFTFSSYWMNWVRQAPGKGLEWVAFIRYDGGNKYYADSVKGRFTISRDNSKNTLYLQMNSLRAEDTAVYYCARWSYSGGSGSYYVYFDYWGQGTLVTVS</t>
  </si>
  <si>
    <t>SVLTQPPSVSGAPGQRVTISCTGSSSNIGAGYDVHWYQQLPGTAPKLLIYGNSNRPSGVPDRFSGSKSGTSASLAITGLQAEDEADYYCQSYDSSLSGSVFGGGTKLTVL</t>
  </si>
  <si>
    <t>QVQLVQSGAEVKKPGASVKVSCKASGYTFTNYYIHWVRQAPGQGLEWMGWIYPGGNTNYAQKFQGRVTMTRDTSISTAYMELSRLRSDDTAVYYCARVRTEFDYWGQGTLVTVSS</t>
  </si>
  <si>
    <t>DIVMTQSPSSLAMSAGAETITCRSSQSVHSNGYLNWYQQKPGQPPKLLIYWASTRESGVPDRFTGSGSGTDFTLTITNVQSEDLAEYFCQQYSSYPLTFGAGTKLELR</t>
  </si>
  <si>
    <t>QVQLQESGPGLVKPSETLSLTCTVSGGSVSSGGYFWSWIRQPPGKGLEWIGYVSGSGSTNYNPSLKSRVTISVDTSKNQFSLKLSSVTAADTAVYYCARWDVWISDYWGQGTLVTVSS</t>
  </si>
  <si>
    <t>EIVLTQSPATLSLSPGERATLSCRASQSVSSYLAWYQQKPGQAPRLLIYDASNRATGIPARFSGSGSGTDFTLTISSLEPEDFAVYYCQHSWDQPPWTFGQGTKVEIK</t>
  </si>
  <si>
    <t>QVQLQESGPGLVKPSQTLSLTCTVTGSSITSGYWNWIRQFPGNKLEWMGYISYSGTITYNPSLKSRISITRDTSKNQFFLQLNSVTTEDTATYYCARVYDGFYDYWGQGTLVTVSS</t>
  </si>
  <si>
    <t>DIVMTQSPSSLSASVGDRVTITCRASQGISSWLAWYQQKPGKAPKLLIYKASSLESGVPSRFSGSGSGTEFTLTISSLQPDDFATYYCQQYNSYPLTFGGGTKVEIK</t>
  </si>
  <si>
    <t>QVQLVESGGGVVQPGRSLRLSCAASGFTFSNYAMHWVRQAPGKGLEWVAVISYNSGNPYADSVKGRFTISRDNSKNTLYLQMRVEDTAVYYCSRTTIGYGGDIWGNMFDYWGQGTLVTVSS</t>
  </si>
  <si>
    <t>DIVMTQSPATLSVSPGDRATLSCRASQSISTNLAWYQQKPGQAPRLLIYTASTLESGVPSRFSGSGSGTEFTLTISNLQSEDFATYFCQQYSAPLTFGGGTKVEIK</t>
  </si>
  <si>
    <t>EVQLVESGGGLVQPGGSLRLSCAASGFASSSSNYVHWVRQAPGKGLEWVATIYPYSSSEYAASVQGRFTISRDDSKNTLYLQMNSLRGEDTAVYYCARYGYYSSRSGYGYYFNYWGQGTLVTVSS</t>
  </si>
  <si>
    <t>DIVMTQSPASLAVSLGQRATISCRASESVDSYGNSFLAWYQQKPGQPPKLLIYWASTRQSGVPARFSGSGSGTDFTLNIHPVEEEDAATYYCQQHNYPLTFGAGTKLEIK</t>
  </si>
  <si>
    <t>EVQLVESGAEVKKPGSSVKVSCKASGGPFTSYVISWVRQAPGQGLEWMGRIIPIRGTTYAQKFQGRVTITADKSTSTAYMELRSEDTAVYYCARGSHVFGYYDYWGQGTLVTVSS</t>
  </si>
  <si>
    <t>EIVLTQSPGTLSLSPGERATLSCRASQSISGNYLAWYQQKPGQAPRLLIYGASIRAAGIPDRFSGSGSGTDFTLTISRLEPEDFAVYYCQQYGSSPRTFGQGTKVEIK</t>
  </si>
  <si>
    <t>EVQLVETGGGLVQPGGSLKLSCRASGYTFTDYAMHWVRQAPLGLGLYTGGVNYARHFMKSRISITRDNSKNTLYLQMTKVDDTATYFCARRGLFDSDYWGQGTLVTVSS</t>
  </si>
  <si>
    <t>SVTQPPSVSGSTSVGDRVTTCRASQSISSNWLAWYQQFPGTAPKLLIYENSSRPSGVPDRFSGSGSGTDFTLKISRVEAEDVGVYYCLQALSPRFTFGSGTKLEIK</t>
  </si>
  <si>
    <t>QVQLVQSGAEVKKPGSSVKVSCKASGGTFSNYGISWVRQAPGQGLEWMGGIIPILGIANYAQKFQGRVTITADKSTSTAYMELRSLRSDDTAVYYCAREGHAYFHNGLDYWGQGTLVTVSS</t>
  </si>
  <si>
    <t>EIVLTQSPGTLSLSPGERATLSCRASQSVSSSYFAWYQQKPGQAPRLLIYGASSRATGIPDRFSGSGSGTDFTLTISRLEPEDFAVYYCQQYGSSPPATFGQGTKVEIK</t>
  </si>
  <si>
    <t>QVQLVESGGGVVQPGRSLRLSCAASGFTFSSFGMHWVRQAPGKGLEWVAIIWDGSNKYYADSVKGRFTISRDNSKNTLYLQMRAEDTAVYYCALDGGSFDDYWGQGTLVTVSS</t>
  </si>
  <si>
    <t>DIQMTQSPSTLSTSVGDRVTITCRASQSISSWLAWYQQKPGKAPKLLIYKASTLESGVPSRFSGSGSGTEFTLTISSLQPDDFATYYCQHFYGTPITFGPGTKVD</t>
  </si>
  <si>
    <t>EVQLVESGGGLVKPGGSLKVSCAASGFTFSDYSMNWVRQAPGKGLEWVSSITSGYTSIYYADSVKGRFTISRDNAKNSLYLQMNSLRAGDTAVYYCARVSDNFDYWGQGTAVTVSS</t>
  </si>
  <si>
    <t>DIQMTQSPSSLSASVGDRVTITCQASQDIRFYLNWYQQKPGKAPKLLISAASTLQSGVPSRFSGSGSGTDFTLTITSLQPEDFATYYCAGYVPSYTFGPGTKVDIK</t>
  </si>
  <si>
    <t>EVQLQQSGAELVKPGASVKLSCKASGYTFLDYYMYWVKQRPEQGLEWIGRIDPANGNTIYAPKFQDKATLTLTTDTTSSNTAYMQLSSLTSEDSAVYYCAREGNYGYRDLAWFAYWGQGTLVTVSS</t>
  </si>
  <si>
    <t>AIRMTQSPSSLSASVGDTVTITCRASQSISSYLNWYQQKPGKAPKLLIYTASNLESGVPSRFSGSGSGTDYTLTISSLQPEDIATYYCQQYDNPPLTFGGGTKVEIK</t>
  </si>
  <si>
    <t>QVQLQESGPGLVKPSETLSLTCTVSGGSVSSGGYFWSWIRQRPGKGLEWIGHIYYSGTTNYNPSLRSRVTISRDTSKSQFSLKMDSLTSEDTALYYCARQLGLRFDIWGQGTMVTVSS</t>
  </si>
  <si>
    <t>DIQMTQSPSSLSASVGDRVTITCRASQSISSYLNWYQQKPGKAPKLLIYAASSLQSGVPSRFSGSGSGTDFTLTISSLQPEDFATYYCQQSYTTPPTFGQGTKVEIK</t>
  </si>
  <si>
    <t>QVQLVESGGGLVQPGGSLRLSCAASGFNLYSSSIHWVRQAPGKGLEWVARIYPSGATYYADSVKGRFTISADTSKNTAYLQMRAEDTAVYYCARSYYGDDYWGQGTLVTVSS</t>
  </si>
  <si>
    <t>DIQMTQSPSSLSASVGDRVTITCRASQSVSSAVAWYQQKPGKAPKLLIYSASFLYSGVPSRFSGSRSGTDFTLTISSLQPEDFATYYCQQYSYYPFTFGQGTKVEIK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</si>
</sst>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b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FF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14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 wrapText="1"/>
    </xf>
  </cellXfs>
  <cellStyles count="1">
    <cellStyle name="Normal" xfId="0" builtinId="0"/>
  </cellStyles>
  <dxfs count="21"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lby" refreshedDate="45976.484084027776" createdVersion="8" refreshedVersion="8" minRefreshableVersion="3" recordCount="86" xr:uid="{C69715DE-2A16-4198-9FD9-FAE4F60B2265}">
  <cacheSource type="worksheet">
    <worksheetSource ref="A1:T2970" sheet="Antibody Candidates"/>
  </cacheSource>
  <cacheFields count="20">
    <cacheField name="antibody_id" numFmtId="0">
      <sharedItems containsBlank="1" count="86">
        <s v="sbio-nipahgpg-001"/>
        <s v="sbio-nipahgpg-002"/>
        <s v="sbio-nipahgpg-003"/>
        <s v="sbio-nipahgpg-004"/>
        <s v="sbio-nipahgpg-005"/>
        <s v="sbio-nipahgpg-008"/>
        <s v="sbio-nipahgpg-009"/>
        <s v="sbio-nipahgpg-010"/>
        <s v="sbio-nipahgpg-011"/>
        <s v="sbio-nipahgpg-012"/>
        <s v="sbio-nipahgpg-013"/>
        <s v="sbio-nipahgpg-014"/>
        <s v="sbio-nipahgpg-015"/>
        <s v="sbio-nipahgpg-016"/>
        <s v="sbio-nipahgpg-017"/>
        <s v="sbio-nipahgpg-018"/>
        <s v="sbio-nipahgpg-019"/>
        <s v="sbio-nipahgpg-020"/>
        <s v="sbio-nipahgpg-021"/>
        <s v="sbio-nipahgpg-022"/>
        <s v="sbio-nipahgpg-023"/>
        <s v="sbio-nipahgpg-024"/>
        <s v="sbio-nipahgpg-025"/>
        <s v="sbio-nipahgpg-026"/>
        <s v="sbio-nipahgpg-027"/>
        <s v="sbio-nipahgpg-028"/>
        <s v="sbio-nipahgpg-029"/>
        <s v="sbio-nipahgpg-030"/>
        <s v="sbio-nipahgpg-031"/>
        <s v="sbio-nipahgpg-032"/>
        <s v="sbio-nipahgpg-033"/>
        <s v="sbio-nipahgpg-034"/>
        <s v="sbio-nipahgpg-035"/>
        <s v="sbio-nipahgpg-036"/>
        <s v="sbio-nipahgpg-037"/>
        <s v="sbio-nipahgpg-038"/>
        <s v="sbio-nipahgpg-039"/>
        <s v="sbio-nipahgpg-040"/>
        <s v="sbio-nipahgpg-041"/>
        <s v="sbio-nipahgpg-042"/>
        <s v="sbio-nipahgpg-043"/>
        <s v="sbio-nipahgpg-044"/>
        <s v="sbio-nipahgpg-045"/>
        <s v="sbio-nipahgpg-046"/>
        <s v="sbio-nipahgpg-047"/>
        <s v="sbio-nipahgpg-048"/>
        <s v="sbio-nipahgpg-049"/>
        <s v="sbio-nipahgpg-050"/>
        <s v="sbio-nipahgpg-051"/>
        <s v="sbio-nipahgpg-052"/>
        <s v="sbio-nipahgpg-053"/>
        <s v="sbio-nipahgpg-054"/>
        <s v="sbio-nipahgpg-055"/>
        <s v="sbio-nipahgpg-056"/>
        <s v="sbio-nipahgpg-057"/>
        <s v="sbio-nipahgpg-058"/>
        <s v="sbio-nipahgpg-059"/>
        <s v="sbio-nipahgpg-060"/>
        <s v="sbio-nipahgpg-061"/>
        <s v="sbio-nipahgpg-062"/>
        <s v="sbio-nipahgpg-063"/>
        <s v="sbio-nipahgpg-064"/>
        <s v="sbio-nipahgpg-065"/>
        <s v="sbio-nipahgpg-066"/>
        <s v="sbio-nipahgpg-067"/>
        <s v="sbio-nipahgpg-068"/>
        <s v="sbio-nipahgpg-069"/>
        <s v="sbio-nipahgpg-070"/>
        <s v="sbio-nipahgpg-071"/>
        <s v="sbio-nipahgpg-072"/>
        <s v="sbio-nipahgpg-073"/>
        <s v="sbio-nipahgpg-074"/>
        <s v="sbio-nipahgpg-075"/>
        <s v="sbio-nipahgpg-076"/>
        <s v="sbio-nipahgpg-077"/>
        <s v="sbio-nipahgpg-078"/>
        <s v="sbio-nipahgpg-079"/>
        <s v="sbio-nipahgpg-080"/>
        <s v="sbio-nipahgpg-081"/>
        <s v="sbio-nipahgpg-082"/>
        <s v="sbio-nipahgpg-083"/>
        <s v="sbio-nipahgpg-084"/>
        <s v="sbio-nipahgpg-085"/>
        <s v="sbio-nipahgpg-086"/>
        <s v="sbio-nipahgpg-087"/>
        <m/>
      </sharedItems>
    </cacheField>
    <cacheField name="method" numFmtId="0">
      <sharedItems containsBlank="1" count="6">
        <s v="peleke-1"/>
        <s v="General LLM"/>
        <s v="peleke-1 + ProteinMPNN"/>
        <s v="ProteinMPNN"/>
        <s v="General LLM + ProteinMPNN"/>
        <m/>
      </sharedItems>
    </cacheField>
    <cacheField name="model_version" numFmtId="0">
      <sharedItems containsBlank="1"/>
    </cacheField>
    <cacheField name="temperature" numFmtId="0">
      <sharedItems containsString="0" containsBlank="1" containsNumber="1" minValue="0.1" maxValue="0.9"/>
    </cacheField>
    <cacheField name="type" numFmtId="0">
      <sharedItems containsBlank="1"/>
    </cacheField>
    <cacheField name="parent_antibody_id" numFmtId="0">
      <sharedItems containsBlank="1"/>
    </cacheField>
    <cacheField name="antigen_id" numFmtId="0">
      <sharedItems containsBlank="1"/>
    </cacheField>
    <cacheField name="note_ids" numFmtId="0">
      <sharedItems containsString="0" containsBlank="1" containsNumber="1" containsInteger="1" minValue="1" maxValue="3"/>
    </cacheField>
    <cacheField name="h_chain" numFmtId="0">
      <sharedItems containsBlank="1"/>
    </cacheField>
    <cacheField name="l_chain" numFmtId="0">
      <sharedItems containsBlank="1"/>
    </cacheField>
    <cacheField name="test_chotia_pass" numFmtId="0">
      <sharedItems containsBlank="1"/>
    </cacheField>
    <cacheField name="linker_seq" numFmtId="0">
      <sharedItems containsBlank="1"/>
    </cacheField>
    <cacheField name="franken_chain" numFmtId="0">
      <sharedItems containsBlank="1" count="86">
        <s v="QVQLVESGGGVVQPGRSLRLSCAASGFTFSSYGMHWVRQAPGKGLEWVAVISYDGSKKYYADSVKGRFTISRDNSKNTLYLQMNSLRAEDTAVYYCARSPFYDSSGYYAMDYWGQGTLVTVSSGGGSGGGSGGGSGGGSDIQLTQSPSSLSASVGDRVTITCRASQGISSYLAWYQQKPGKAPKLLIYAASTLQSGVPSRFSGSGSGTDFTLTISSLQPEDFATYYCQQANSFPPTFGQGTKVEIK"/>
        <s v="QVQLVESGGGVVQPGKSLRLSCAASGFTFSSYAMSWVRQAPGKGPEWVAFISYDGSNNYYADSVKGRFTISRDNPKNTLYLQMKSLRAEDTAVYYCARWRQRFDMYWGRGTLVTVSSGGGSGGGSGGGSGGGSDIQMTQSPSSLSASVGDRVTITCRASQSISSYLNWYQQKPGKAPKLLIYAASSLQSGVPSRFSGSGSGTDFTLTISSLQPEDFATYYCQQSYSTPYTFGQGTKVEIK"/>
        <s v="QVQLQESGPGLVKPSETLSLTCTVSGASIRGYYWSWIRQFPGKELEWIGYVYSGSTENYNPSLKSRVTVTLTDTKNSFSLKLNSVTSEDTAVYYCARGGALIYYDVWGTGTTVTVSSGGGSGGGSGGGSGGGSDIQVTQSPVSLSASVGDRVTITCRASQGIDSLNWFQQRPGKAPKLLIYAASQLTGIAPRFRSGSGSGTDFTLTISSLQPEDFATYYCQQYNIYPATFGQGTKVEIK"/>
        <s v="EVQLVQSGAEVKKPGESLKISCKGSGYTFSYYWIGWVRQMPGKGLEWMGIIYPGDSDTRYSPSFQGQVTISADKSISTAYLQWSSLKASDTAMYYCARGEGVFDYWGQGTLVTVSSGGGSGGGSGGGSGGGSYTLTQAPSVSASGQSVTISCTGTSRDVGTYWYQQIPGRAPKLLIHDKSENQGKTPGIPDRFSGSKSGNTASLVIIRGLQADDEADYYCNSYHGSGSNIFGGGTKLTVD"/>
        <s v="EVQLVESGGGLVQPGGSLRLSCAASGFTFSSYWMNWVRQAPGKGLEWVANINQDGGEKYYVDSVKGRFTISRDNAKNSLYLQMNSLRAEDTAIYYCARDVGGGMDVWGQGTTVTVSSGGGSGGGSGGGSGGGSQMTQSPSSLSASVGDRVTITCRASQSVSSAVAWYQQKPGKAPKLLIYSASSLYSGVPSRFSGSRSGTDFTLTISSLQPEDFATYYCQQSSSSLITFGQGTKVEIK"/>
        <s v="QVQLVESGGGVVQPGRSLRLSCAASGFTFSSYAMSWVRQAPGKGLEWVSAIWSNGGSTYYADSVKGRFTISRDNAKNSLYLQMNSLRAEDTAVYYCARDYGSYGYFDYWGQGTLVTVSSGGGSGGGSGGGSGGGSDIVMTQSPLSLPVTPGEPASISCRSSQSLLYSNGNTYLEWYLQKPGQSPQLLIYLVSKLDSGVPDRFSGSGSGTDFTLKISRVEAEDLGIYYCQQSKEVPYTFGAGTKLEIK"/>
        <s v="AVSLVESGGGTVKPGESVTLSCQASGFNFSKYQWVWVRQAPGKGLEWVGQISPDGSKTRYHPSVAGRFTISRDNSNSTLYLHMSNLRPEDTAVYYCGIIPQDNVHGDYSISHWGQGTLLTVSAGGGSGGGSGGGSGGGSAIKLTQSPKSLSASVGDTVTINCTASRPIGDLLSWYKQKPGKPPQLLIYRSSTLASGVSSRYSGSGSDTNFTLTISSLQSSDFATYYCRQTSRFPITFGEGTTINKK"/>
        <s v="AVSITESGGGTKAPGSSVTLSCKVSGFVFSKYSIAWVRQAPGQGLEWVSQISPDGSTTRYNPAVAGRFTISRDNSNSTAYLQMSNLTPSDTATYYCAIIPQDNEHGDYSLSHWGQGTQLTVSAGGGSGGGSGGGSGGGSAIKLTQSPKSLSAKVGDTVTINCTASAPIGDFLSWYKQKPGQPPQLLIYKSSTLAPGVSSRYSGSGSDTNFTLTISSLQEEDFATYYCQQTATLPITFGEGTTINKK"/>
        <s v="SISLVESGGGTVAPGSSVTLSCQASGFNFSKYSKAWVRQPPGQPLEWVSRISPDGSTKYYHPDVAGRFTISKDNSKSTVYLAMSNLTAADTATYYCGIIPGDNTHGDYAMSHWGQGTLLTVSAGGGSGGGSGGGSGGGSAITLTQSPSSLSASVGDTVTISCTASRPIGDKLSWYKQKPGQPPQLLIYNASTLAPGVSSRYSGSGSDTSFTLTISSLQEDDFATYYCQQTYTLPITFGQGTTISKK"/>
        <s v="GVSLTESGGGTVAPGSSVTLSCKASGFNFSKYSHAWVRQAPGQGLTWVGEISPDGSKTRYASSVAGRFTISRDNSNSTVYLQMSSLTPSDTATYYCGIIPGDSVHGERSMSHWGQGTLLTVSAGGGSGGGSGGGSGGGSAITLTQSPSSLSASVGDTVTLNCTASRPIGDRLSWYKQKPGQAPQLLIYRASTLAPGVSSRYSGSGSDTQFTLTISSLQSDDFATYYCQQTSSYPVTFGQGTTITKK"/>
        <s v="EVSLVESGGGTVKPGESVTLSCQASGFNFSKYRLAWVRQPPGQGLVWVSEISPDGTEVKYHPDVKGRFTASRDNSNSTAYLKMNNLQPSDTATYYCGIIPQDSSHGDYSISHWGQGTQLTVSAGGGSGGGSGGGSGGGSTITLTQSPSSLSASVGDTVTINCTASRPIGDFLSWYKQKPGQPPQLLIYRSSTLASGVSSRYSGSGSDTNFTLTISSLQSDDFATYYCQQTYTLPITFGQGTTLTKK "/>
        <s v="AVSLVESGGGTYAPGSSVTLSCQGSGFNFSKVRKVWVRQPPGGPLEYVAEISPDGSTTTYASSVAGRFTISKDNSNSTLYLSMSNLTPADTATYYCGLIPGDSEHGDRSISHWGQGTLVTVSAGGGSGGGSGGGSGGGSAITLTQSPSSLSASVGDTVTINCTASQPIGNFLSWYKQKPGQPPQLLIYNASTLAPGVSSRYSGSGSDTNFTLTISSLQSEDFATYYCQQTSRLPVTFGQGTTINKK"/>
        <s v="GISLVESGGGTVKPGESVTLSCKASGFVFSKYSHAWVRQPPGGPLEWVSQISSDGSVTRYASSVSGRFTISRDNSNSTVYLQMNNLRPSDTATYYCGIIPQDNVHGDYAISHWGQGTLLTVTAGGGSGGGSGGGSGGGSAITLTQSPASLSAKVGDTVTLSCTASRPIGDLLSWYKQKPGQPPQLLIYRASTLAPGVDSRYSGSGSDTSFTLTISSLQPEDFATYYCQQTSRFPITFGQGTTIKQA"/>
        <s v="PVSLVESGGGTVAPGSSVTLTCQASGFNFSKYIVAWVRQPPGQPLRFVAMITPDGSKVWLHPEVEGRFTPSKDNSKNTSYLQLKDLQPEDTATYYCGIIPQGSTHGDYSITHWGQGVVLTVTAGGGSGGGSGGGSGGGSMVTLTQSPSSLSASVGDTVTITCTASSPVDNLMSWYQQPPGQPLRLLIYNASTRAPGVSSRFSGSGSDTNFTLTISSLQASDFATYYCQQTYRLPVTFGQGTTLSAA "/>
        <s v="SIKLTESGGGTVKPGSSVTLSCQASGFNFSKYEVVWVMQKPGQPLQWVGSISPDGSKVRLHPKVKGRFTLSKDNSKNTAYLTMKNLQPEDTATYYCGIIPGGSVHGDRSITHWGQGVELKVVAGGGSGGGSGGGSGGGSMIKLTQSPKSVKAKVGDTVTITCTASEPVDDLVSWYQQKPGQPLRLLIYRSSTLAPGVSSRFSGSGSDTNFTLTISSLQEEDFATYYCMQTSKYPYTFGQGTTLSRA"/>
        <s v="AITLTESGGGVVAPGSSVTLTCTASGFNFSKYSMVWVRQPPGGPLQWVAQISPDNSTVRYHPAVEGRFTASKDNSKNTAYLAMSDLEPSDTATYYCGIIPQGSTHNDYSIVHWGQGTELRVVAGGGSGGGSGGGSGGGSMIKLTQSPSSLSAKVGDKVTITCTASSPVDNLVSWYKQPPGGPLQLLIYNSSTRAPGVSSRFKGSGSDTNFTLTIESLQEEDFATYYCQQTYKFPITFGQGTKLTRA"/>
        <s v="SISLTESGGGTVAPGSSVTLTCTASGFNFSKYSVAWVRQPPGQPLQWVALISPDGSKKWYHPDVKGRATISKDNSKNTSYLTLSNLQPSDTATYYCGIIPGGNIHGDYSMTHWGQGTQLTVVAGGGSGGGSGGGSGGGSMITLTQSPLSLSAKVGDTVTITCTASSPVDDLVSWYQQKPGQPLRLLIRNASERAPGVSSRFSGSGSDTTFTLTISSVQEEDFATYYCQQTSKLPYTFGQGTTLSRA"/>
        <s v="AVTLTESGGGTVAPGSSVTLTCTASGFNFSKYILAWVRQAPGQPLEWVASISPDGSKTRYHPAVKGRATASKDNSKNTAYLELKDLRPEDTATYYCGIIPQGSVHGDYSMTHWGQGTELRVEAGGGSGGGSGGGSGGGSPVVLTQSPLSLSAKVGDTVTITCTASSPVDNLVSWYKQAPGQPLQLLIYNATTRAPGVPSRFTGSGSDTTFTLTISSLQPEDFAVYYCQQTYKFPITFGQGTRLTPA"/>
        <s v="PVKLVESGGGTVAPGSSVTLTCKASGFNFSKYMVQWVRQAPGGAFQWVGLISPDGSTKWYHPDVEGRFTISKDNSKNTAYLEMRNLTPADTAVYYCGIVPQGSVHGDYSITHWGQGVTLTVTAGGGSGGGSGGGSGGGSVVQLTQSPPELSAKVGEKVTITCTASSPVDNLVSWYQQKPGGAPKLLIYNATTLAPGVPSRFSGSGSDTVFTLTIDSLQAEDFATYYCQQTSRLPFTFGQGTVLRPA"/>
        <s v="AIKLTESGGGTVKPGSSVTLTCQASGFNFSKYIMAWVRQAPGQPLQWVAQISPDNSVKRYHPEVEGRFTASKDNSKNTAYLEMKNLTPADTATYYCAIIPQGSTQGDYSMVHWGQGVELKVVAGGGSGGGSGGGSGGGSPVVLTQSPASLKAAVGDTVTITCTASAPVDNLVSWYKQAPGQPPQLLIYNASTLAPGVPSRFTGSGSDTSFTLTISSLQEEDFATYYCQETSKFPITFGQGTKLEKK"/>
        <s v="SIKLTESGGGVVAPGESVTLTCTASGFNFSKYEMAWVRQAPGGPLEFVAVISPDGSTTRYHPRVEGRATISRDNSKNTAYLTLRDLTPADTAVYYCGIIPGGSVHGDRALSHWGQGVRLEVRAGGGSGGGSGGGSGGGSMVTLTQSPSSLSAKVGDKVTISCTASEPVDDLVSWYKQAPGGPPQLLISRASTRAPGVPSRFSGSGSDTNFTLTIESLQSSDFATYYCQQTYKFPDTFGQGTTLSEA"/>
        <s v="SVTLVESGDQTVAPGGSVTLSCTSSGGSFGNSGVSWVKQQPGGPLQWIGGIIPSLGISKVSPEYAGRVTISSDSSNNTAYLTISNLTAADTATYYCALGEGEDVFASSPFASNVNLGALSVWGQGTKVTVSGGGSGGGSGGGSITVTQSPSSPSLKVGETATLTCTLSAPVPRSNVAWYKQQPGQPPTLLIYGGSTRAPGVPSRYSGSGSGTTFTLTITALKPEDFATYYCQVYGENPSFGQGTTLKLK "/>
        <s v="GVKLVQSGDLTVKPGGSVTLSCKSEGGSFGNSSVAWVRQRPGGPYEYIGSIIPAYGVSRVSPEYEGRVTISADVANNTAYLTISNLTPEDTATYYCALGPGEVVYAASPFDEKLLTGALSVWGEGTLVTVTGGGSGGGSGGGSITVTQSPSSPSLSVGDTATLTCTLSSSVATSNVAWYKQLPGQPPELLISGGSTRAPGVPSRYSGSGSGTTFTLTISSLQASDFATYYCQVYGENPSFGQGTTLTLK"/>
        <s v="AVKLVQSGDQTVAPGGSVTLSCTSSGGSFGNSSVAWVRQRPGGPFEFIGSIIPSLGISRYNSKYKGRVTISSDAANNTAYLTISNLTAADTATYYCALGPGESVFASHPFKEKLLTGALSVWGEGTLVTVSGGGSGGGSGGGSITVTQSPSSPSKSVGDTVTLTCTLSSSVPVSQVAWYKQHPGQPPELLIYGGSTRASGVPSRYSGSGSGTTFTLTISSLQPEDFATYYCQVYGEEPSFGQGTTVTLA"/>
        <s v="SITLVQSGDVTVAPGGSVTLTCTSSGGSFGNKAVAWVRQRPGGPYEWLGFIIPAYGVSRYNPAYEGRVTISVDSASNTASLTISNLTAADTATYYCALGEGEIVYAASPFDENYKLGALYIWGQGTKVTVSGGGSGGGSGGGSITLTQSPSSPSLSVGETATLTCTASAPVPKSNVAWYKQLPGQPPELLIYGGSTRASGVPSRYSGSGSGTTFTLTISSLTADDFATYYCQVYGENPSFGEGTTLTLK"/>
        <s v="SVTLVQSGDQTVPIGGSVTLSCTANGGSFGNKGVAWVRQRPGGPYEFLGFIKPAIGESRYHPKYKGRVTISSDVSSNTAYLTISNLTPEDTAVYYCALGEAEDVFAAHPFKTDLLLGALSIWGQGTRVTVTGGGSGGGSGGGSITVTQSPSSPSLSVGETAVLTCTLSQPVPQSQVAWYKQLPGQPPTLLISGGSTRASGVPSRYSGSGSGTTFTLTISSLLPEDFATYYCQVVGKEPSFGQGTTLTLK"/>
        <s v="SVKLVQSGDQTVPVGGSVTLSCTASGGSFGNYGVAWVRQRPGGPLEYIGSIIPAYGISTVNPKYEGRVTISADPTNNTAYLTISNLTPEDTATYYCALGPGEVVFASSPFDIDVLTGALWVWGEGTKVTVTGGGSGGGSGGGSITVTQSPSSPSLKVGETATLTCTLSAPVAKSNVAWYKQLPGQPPELLIYGGSTRASGVPSRYSGSGSGTTFTLTISSLQPEDFATYYCQVVGKNPSFGQGTLLKLK"/>
        <s v="SISLVQSSDQTVAPGGSVTLSCTSSGGSFGNSGVAWVRQAPGGPPVYIGGIIPATGVSTYNAAFKGRVTISSDSSNNTAYLTISGLTAADTATYYCALGPAENVFASHPFAEDVNLGALSVWGQGTLVTVTGGGSGGGSGGGSITVTESPSSPELSVGETAVLSCTLSSSVPQSNVAWYKQKPGQPPELLIYGGSTRASGVPSRYSGSGSGTTFYLTISSLEPEDFATYYCQVYGTSPSFGQGTTLKLK"/>
        <s v="AVSLVESGDQTVAPGGSVTLSCTSSGGSFGNSGVAWVRQAPGGPLEFLGFIIPALGVSKVNSKYEGRVTISSDPANNTAYLTISNLTAADTATYYCGLGTGESVFASSPFDEKLLLGALSVWGQGTKVTVTGGGSGGGSGGGSITVTQSPASPEKKVGETATLTCTLSSAVPKSNVAWYKQKPGQPPELLIYGGSTRASGVPSRYSGSGSGTTFYLTISSLQPEDFATYYCRVYGEEPSFGQGTTLKLK"/>
        <s v="VQLQESGPGLVKPSQSLSLTCTVTGYSITTGYAWNWIRQFPGNKLEWMGYISYSGSTYYPSLKSRISITRDTSKNQFFLQLSIVTTEDTATYYCARGTTLPDYVDFWGQGTSVTVSSGGGSGGGSGGGSGGGSDIQLTQSPSSLSASVGDRVTITCRASQTISTYLNWYQQKPGKAPKLLIYAASTLQSGVPSRFSGSGSGTDFTLTISSLQPEDFATYFCLQHFWTPPITFGQGTRLEIK"/>
        <s v="QVQLQESGPGLVKPSETLSVTCTVSGGSIGSNNYWSWIRQPAGKGLEWIGYIYYSGSTNYNPSLKSRVTMSVDTSKNQFSLKLSSVTAADTAVYYCVRNYYDSSDSSGYYFMDVWGQGTTVTVSSGGGSGGGSGGGSDIVMTQSPLSLSVTPGEPASISCRSSQSLLHSNGYNYLDWYLQKPGQSPQLLIYLGSNRASGVPDRFSGSGSGTDFTLKISRVEAEDVGVYYCMQALQTPTFGQGTRLEIK"/>
        <s v="QVQLVQSGAEVKKPGESLKISCKGSGYRFSSYWIGWVRQMPGKGLEWMGIIYPGDSDTRYSPSFQGQVTISADKSISTAYLQWSSLKASDTAMYYCARQGPDYYYGMDVWGQGTTVTVSSGGGSGGGSGGGSGGGSDIQMTQSPSTLSASVGDRVTITCRASQSISSWLAWYQQKPGKAPKLLIYKASELQSGVPSRFSGSGSGTEFTLTISSLQPDDFATYYCQQYINSYTFGQGTKVEIK"/>
        <s v="QVQLQQSGPELVKPGASVKLSCKASGYTFTDYYMHWVKQRPGQGLEWIGEINPNSGGTNTYDQKFKGRATLTVDKSSSTAYLQLSSLTSEDSAVYYCARSPPWYFDYWGQGTTLTVSGGGSGGGSGGGSGGGSDIVMTQSPSSMFASVGETVTITCRASENIYSNLAWYQQKPGQSPKLLIYWASTRHTGVPDRFTGSGSGTDFTLTISSVQAEDLALYYCQHYGSYSFTFGSGTKLEIK"/>
        <s v="EVQLVESGGGLVQPGGSLRLSCAASGFNVSYSSIHWVRQAPGKGLEWVASISSYYGYTYYADSVKGRFTISADTSKNTAYLQMNSLRAEDTAVYYCARSRNYVYSSGYLDFWGQGTLVTVSSGGGSGGGSGGGSGGGSDIQMTQSPSSLSASVGDRVTITCRASQSVSSAVAWYQQKPGKAPKLLIYSASSLYSGVPSRFSGSRSGTDFTLTISSLQPEDFATYYCQQSSYSSPPTFGQGTKVEIK"/>
        <s v="EVQLVESGGGLVQPGGSLRLSCAASGFNIYYSSIHWVRQAPGKGLEWVASISPYYGSTSYADSVKGRFTISADTSKNTAYLQMNSLRAEDTAVYYCARDYGHYYYAMDYWGQGTLVTVSSGGGSGGGSGGGSGGGSEIVMTQSPATLSVSPGERATLSCRASQSVSSYLAWYQQKPGQAPRLLIYGASTRATGIPARFSGSGSGTEFTLTISSLQSEDSAVYYCQQYNNWPPITFGQGTRLEIK"/>
        <s v="QVQLQESGPGLVKPSETLSLSCVVSGDSSSTNYYWGWIRQPPGKGLEWIGYIYGSGDTAYNPSLKSRVTISVDTSKNQFSLKLSSVTAADTAVYYCARRSWGYGYNGYSTYYYYYYFDQGYFDVWGPGTLVTGGGSGGGSGGGSDIQMTQSPSSLSASVGDRVTITCRASQSIGSYLNWYQQKPGKAPKLLIYAASTLQSGVPSRFSGSGSGTEFTLTISSLQPEDFATYYCQQSYSWGQGTKVEIK"/>
        <s v="QVQLVQSGAEVKKPGASVKVSCKASGYTFTSYGISWVRQAPGQGLEWMGWISAHNGDTNYAQKFQGRVTMTRDTSITTAYMELRSDDTAVYYCARDGSVGGFYWGQGTLVTVSSGGGSGGGSGGGSGGGSEIVLTQSPGTLSLSPGERATLSCRASQSVSSYLAWYQQKPGQAPRLLIYGASSRATGIPDRFSGSGSGTDFTLTISRLEPEDFAVYYCQQYGSSPITFGQGTRLEIK"/>
        <s v="EVQLLESGGGLVQPGGSLRLSCAASGFNVSYSSIHWVRQAPGKGLEWVASISPYYGSTSYADSVKGRFTISADTSKNTAYLQMNSLRAEDTAVYYCARSYYWYWSGWGTLVTVSSGGGSGGGSGGGSGGGSDIQMTQSPSSLSASVGDRVTITCRASQSVSSAVAWYQQKPGKAPKLLIYSASSLYSGVPSRFSGSRSGTDFTLTISSLQPEDFATYYCQQSYGSPPTFGQGTKVEIK"/>
        <s v="QVQLQESGPGLVKPSQTLSLTCTVSGGSISSGHYAWWIRQPPGKGLEWIACIYSSSGSTYYNPSLKSRITISVDTSKNQFSLKLSSVTAADTAVYYCARRQRGYDYDYYYGMDVWGQGTTVTVSSGGGSGGGSGGGSGGGSDIQLTQSPSSLSASVGDRVTITCRASQGISRNLAWYQQKPGKAPKLLIYAASSLQSGVPSRFSGSGSGTDFTLTISSLQPEDFATYYCQQSNNWPITFGQGTKVEIK"/>
        <s v="EVQLVESGGGLVQPGGSLRLSCAASGFNIYYSSIHWVRQAPGKGLEWVASIYSYYSSTSYADSVKGRFTISADTSKNTAYLQMNSLRAEDTAVYYCARVYGYLSYSYFYWGLDVWGQGTLVTVSGGGSGGGSGGGSGGGSDIQMTQSPSSLSASVGDRVTITCRASQSVSSAVAWYQQKPGKAPKLLIYSASSLYSGVPSRFSGSRSGTDFTLTISSLQPEDFATYYCQQYKYVPVTFGQGTKVEI"/>
        <s v="EVQLQQSGAELVKPGASVKLSCTASGFNIKDTYVHWVKQRPEQGLEWIGRIDPANGYTKYDPKFQGKATITADTSSNTAYLQLSSLTSEDTAVYYCVRPLYDYYAMDYWGQGTTLTVSSGGGSGGGSGGGSGGGSDIVMTQSPSSLAMSAGRVSITCRTSQSISSYLNWVQQKPGKSPKLLIYWASTRESGVPDRFTGSGSGTDFTLTISRVEAEDLGVYYCMQGTHVPYTFGGGTKLEIK"/>
        <s v="EVQLVESGGGLVKPGGSLRLSCAASGFTFSSYAMHWVRQAPGKGLEWVSAISGGGGSTYYADSVKGRFTISRDNSKNTLYLQMRAEDTAVYYCAKDDADWGQGTLVTVSSGGGSGGGSGGGSGGGSDIQMTQSPSSLSASVGDRVTITCRASQSVSSAVAWYQQKPGKAPKLLIYSASSLYSGVPSRFSGSRSGTDFTLTISSLQPEDFATYYCQQYKYVPFTFGQGTKVEIK"/>
        <s v="QVQLQESGPGLVKPSQTLSLTCTVSGGSISSGSYYWIRQSPGKGLEWIGYIYYSGSTNYNPSLKSRVTISVDTSKNQFSLKLSSVTAADTAVYYCARHRYYDRGQGTLVTVSSGGGSGGGSGGGSGGGSDIQMTQSPASLSASVGETVTITCRASENIYSNLAWYQQKQGKSPQLLVYAATDLADGVPSRFSGSGSGTQFSLKINSLQPEDFGSYYCQHFWDTPWTFGQGTRVE"/>
        <s v="EVQLVESGGGLVQPGGSLRLSCAASGFNLYSSSIHWVRQAPGKGLEWVAYISSSGTHYADSVKGRFTISADTSKNTAYLQMRAEDTAVYYCARVGHYYSSGGYYYAMDYWGQGTLVTVSSGGGSGGGSGGGSGGGSDIQMTQSPSSLSASVGDRVTITCRASQSVSSAVAWYQQKPGKAPKLLIYSASSLYSGVPSRFSGSRSGTDFTLTISSLQPEDFATYYCQQYSSYWTFGQGTKVEIK"/>
        <s v="EVQLVESGGGLVQPGGSLRLSCAASGFNVVDSGISWVRQAPGKGLEWVSYISSSSGSTYYADSVKGRFTISADTSKNTAYLQMNSLRAEDTAVYYCARAHYYGSYFGSVVYYYGLDVWGQGTLVTVSSGGGSGGGSGGGSDIQMTQSPSSLSASVGDRVTITCRASQSVSSAVAWYQQKPGKAPKLLIYSASSLYSGVPSRFSGSRSGTDFTLTISSLQPEDFATYYCQQYDTYPITFGQGTKVEIK"/>
        <s v="EVQLVESGGGLVQPGGSLRLSCAASGFNVYSSSIHWVRQAPGKGLEWVASISSYYGYTYYADSVKGRFTISADTSKNTAYLQMNSLRAEDTAVYYCARSYSTYYYGYWYFDVWGQGTLVTVSSGGGSGGGSGGGSGGGSDIQMTQSPSSLSAAVGDRVTITCRASQSVSSAVAWYQQKPGKAPKLLIYSASSLYSGVPSRFSGSRSGTDFTLTISSLQPEDFATYYCQQYNYYWLITFGQGTKVEIK"/>
        <s v="QVQLQQPGAELVKPGASVKLSCKASGYTFTSDWIHWVKQRPGHGLEWIGEIIPSYGRANYNEKIQKKATLTADKSSSTAFMHLSSLTSEDSAVYYCARERGDGYFAVWGAGTTVTVSSGGGSGGGSGGGSGGGSDILLTQSPAILSVSPGERVSFSCRASQSIGTDIHWYQQRTNGSPRLLIKYASESISGIPSRFSGSGSGTDFTLSINSVESEDIANYYCQQSNRWPFTFGSGTKLEIK"/>
        <s v="VRLLESGGGLVQPGGSLKLSCAASGFDYSRYWMSWVRQAPGKGLKWIGEINPVSSTINYTPSLKDKFIISRDNAKDTLYLQISKVRSEDTALYYCARLYYGYGYWYFDVWGAGTTVTVSSGGGSGGGSGGGSGGGSDIVLTQSPAIMSAAPGDKVTMTCSASSSVSYIHWYQQKSGTSPKRWIYDTSKLTSGVPVRFSGSGSGTSYSLTINTMEAEDAATYYCQQWSSHPQTFGGGTKLEIl"/>
        <s v="QVQLQESGPGLVQPSQSLSLTCTVSGFSLTSYGVHWVRQSPGKGLEWLGVIWAGGSTDYNSALKSRLSISRDTSKNQVFLKMNSLQTDDTAMYYCAKHGSSNGDYWGQGTSVTVSSGGGSGGGSGGGSGGGSDIVMTQSPDSLAVSLGERATINCKSSQSVLYSSNNKNYLAWYQQKPEGQPPNLLIYWASTRESGVPDRFSGSGSGTDFTLTISSLQAEDVAVYYCQQYYSAPTFGQGTKLEIK"/>
        <s v="QVQLQESGPGLVKPSETLSLTCTVSGGSVSSGGYFWSWIRQPPGKGLEWIGCIYYSGSTNYNPSLKSRVTISVDTSKNQFSLKLSSVTAADTAVYYCARVDSFYYGMDVWGQGTTVTVSSGGGSGGGSGGGSGGGSDIQMTQSPSSLSASVGDRVTITCRASQGIRNDLGWYQQKPGKAPKLLIYAASSLQSGVPSRFSGSGSGTDFTLTISSLQPEDFATYYCQQSYSTPRTFGQGTKVEIK"/>
        <s v="EVQLVESGGGLVQPGGSLRLSCAASGFTFSSYAMSWVRQAPGKGLEWVSAISGSGGSTYYADSVKGRFTISRDNSKNTLYLQMNSLRAEDTAVYYCARQVWFGGFDYWGQGTLVTVSSGGGSGGGSGGGSGGGSDIQMTQSPSSLSASVGDRVTITCRASQSVSSAVAWYQQKPGKAPKLLIYSASSLYSGVPSRFSGSRSGTDFTLTISSLQPEDFATYYCQQYKYVPVTFGQGTKVEIK"/>
        <s v="EVQLVESGGGLVQPGGSLRLSCAASGFNVSSSYIHWVRQAPGKGLEWVASISSYYGYTYYADSVKGRFTISADTSKNTAYLQMNSLRAEDTAVYYCARSRQFWYSGLDYWGQGTLVTVSSGGGSGGGSGGGSGGGSDIQMTQSPSSLSASVGDRVTITCRASQSVSSAVAWYQQKPGKAPKLLIYSASSLYSGVPSRFSGSRSGTDFTLTISSLQPEDFATYYCQQYKYVPVTFGQGTKVEIK"/>
        <s v="EVQLVESGGGLVQPGGSLRLSCAASGFNISSSSIHWVRQAPGKGLEWVASIYSYSGYTSYADSVKGRFTISADTSKNTAYLQMNSLRAEDTAVYYCARGGSSYFGYYAMDYWGQGTLVTVSSGGGSGGGSGGGSGGGSDIQMTQSPSSLSASVGDRVTITCRASQSVSSAVAWYQQKPGKAPKLLIYSASSLYSGVPSRFSGSRSGTDFTLTISSLQPEDFATYYCQQYKYVPVTFGQGTKVEIK"/>
        <s v="QVQLVQSGAEVKKPGSSVKVSCKASGGTFSSYSISWVRQAPGQGLEWMGGIIIFGTANYAQKFQGRVTITADESTSTAYMELSSLRSEDTAVYYCARGQGTLVDFYWGQGTLVTVSSGGGSGGGSGGGSGGGSDIQMTQSPSSLSASVGDRVTITCRASQSISSYLNWYQQKPGKAPKLLIYAASSLQSGVPSRFSGSGSGTDFTLTISSLQPEDFATYYCQQSYSTPRTFGQGTKVEIK"/>
        <s v="EVQLVESGGGLVQPGGSLRLSCAASGFNVSYYSIHWVRQAPGKGLEWVASIYPYSGYTNYADSVKGRFTISADTSKNTAYLQMNSLRAEDTAVYYCARYYGYGYWGYAMDYWGQGTLVTVSSGGGSGGGSGGGSGGGSDIQMTQSPSSLSASVGDRVTITCRASQSVSSAVAWYQQKPGKAPKLLIYSASSLYSGVPSRFSGSRSGTDFTLTISSLQPEDFATYYCQQYKYVPVTFGQGTKVEIK"/>
        <s v="EVQLVESGGGLVQPGGSLRLSCAASGFTFSSYAMSWVRQAPGKGLEWVSAISGSGGSTYYADSVKGRFTISRDNSKNTLYLQMNSLRAEDTAVYYCARGYQVYFDYWGQGTLVTVSSGGGSGGGSGGGSGGGSDIQMTQSPSSLSASVGDRVTITCRASQSVSSAVAWYQQKPGKAPKLLIYSASSLYSGVPSRFSGSRSGTDFTLTISSLQPEDFATYYCQQYKYVPVTFGQGTKVEIK"/>
        <s v="EVQLVESGGGLVQPGGSLRLSCAASGFNVSSSYIHWVRQAPGKGLEWVASISSYYGSTYYADSVKGRFTISADTSKNTAYLQMNSLRAEDTAVYYCARGWSYSWSYSWSYSGLDVWGQGTTVTVSSGGGSGGGSGGGSGGGSDIQMTQSPSSLSASVGDRVTITCRASQSVSSAVAWYQQKPGKAPKLLIYSASSLYSGVPSRFSGSRSGTDFTLTISSLQPEDFATYYCQQSSSSLITFGQGTKVEIK"/>
        <s v="EVQLVESGGGLVQPGGSLRLSCAASGFNISSSSIHWVRQAPGKGLEWVASIYSYSGYTSYADSVKGRFTISADTSKNTAYLQMNSLRAEDTAVYYCARGWYYGSSYWGQGTLVTVSSGGGSGGGSGGGSGGGSDIQMTQSPSSLSASVGDRVTITCRASQSVSSAVAWYQQKPGKAPKLLIYSASSLYSGVPSRFSGSRSGTDFTLTISSLQPEDFATYYCQQYKYVPVTFGQGTKVEIK"/>
        <s v="EVQLVESGGGLVQPGGSLRLSCAASGFNVSSSYIHWVRQAPGKGLEWVASISSYYGYTYYADSVKGRFTISADTSKNTAYLQMNSLRAEDTAVYYCARYYGTYYGSSYWGQGTLVTVSSGGGSGGGSGGGSGGGSDIQMTQSPSSLSASVGDRVTITCRASQSVSSAVAWYQQKPGKAPKLLIYSASSLYSGVPSRFSGSRSGTDFTLTISSLQPEDFATYYCQQYKYVPVTFGQGTKVEIK"/>
        <s v="QMQLVQSGAEVKKPGESLKISCKGSGYSFTSYWIGWVRQMPGKGLEWMGIIYPGDSDTRYSPSFQGQVTISADKSISTAYLQWSSLKASDTAIYYCARHYYGGQYFDYWGQGTLVTVSSGGGSGGGSGGGSGGGSDIQMTQSPSSLSASVGDRVTITCRASQGIRNDLGWYQQKPGKAPKLLIYAASSLQSGVPSRFSGSGSGTDFTLTISSLQPEDFATYYCQQSYSTPYTFGQGTKLEIK"/>
        <s v="QVQLVQSGAEVKKPGSSVKVSCKASGGTFSSYAISWVRQAPGQGLEWMGGIIPIFGTANYAQKFQGRVTITADESTSTAYMELSSLRSEDTAVYYCARWYDGYFVYWGQGTLVTVSSGGGSGGGSGGGSGGGSDIQMTQSPSSLSASVGDRVTITCRASQSISSYLNWYQQKPGKAPKLLIYAASSLQSGVPSRFSGSGSGTDFTLTISSLQPEDFATYYCQQSYSTPYTFGQGTKVEIK"/>
        <s v="EVQLVESGGGLVQPGGSLRLSCAASGFNVSSSSIHWVRQAPGKGLEWVASISSYYGYTYYADSVKGRFTISADTSKNTAYLQMNSLRAEDTAVYYCARSRQFWYSGLDYWGQGTLVTVFNGGGSGGGSGGGSGGGSDIQMTQSPSSLSASVGDRVTITCRASQSVSSAVAWYQQKPGKAPKLLIYSASSLYSGVPSRFSGSRSGTDFTLTISSLQPEDFATYYCQQYKYVPVTFGQGTKVEIK"/>
        <s v="EVQLVESGGGLVQPGGSLRLSCAASGFNISSSSIHWVRQAPGKGLEWVASIYSYYGSTYYADSVKGRFTISADTSKNTAYLQMRAEDTAVYYCARGWRSYAMDYWGQGTLVTVSSGGGSGGGSGGGSGGGSDIQMTQSPSSLSASVGDRVTITCRASQSVSSAVAWYQQKPGKAPKLLIYSASSLYSGVPSRFSGSRSGTDFTLTISSLQPEDFATYYCQQSSSSLITFGQGTKVEIK"/>
        <s v="QVQLVQSGAEVKKPGSSVKVSCKASGGTFSSYSFIWVRQAPGQGLEWMGGIIPIFGTANYAQKFQGRVTITADESTSTAYMELSSLRSEDTAVYYCARSSYSGVYYSWYFDVWGAGTTVTVSSGGGSGGGSGGGSGGGSDIQMTQSPSSLSASVGDRVTITCRASQGISNYLAWYQQKPGKAPKLLIYAASTLQSGVPSRFSGSGSGTDFTLTISSLQPEDFATYYCQQSYSTPRTFGQGTKVEIK"/>
        <s v="EVQLQESGPGLVKPSQTLSLTCTVSGGSISSYAAWSWIRQPPGKGLEWIGYIYSSSGSTNYNPSLKSRVTISVDTSKNQFSLKLSSVTAADTAVYYCARGDYSYSYYGLDYWGQGTLVTVSSGGGSGGGSGGGSGGGSDIQMTQSPSSLSASVGDRVTITCRASQGIRNDLGWYQQKPGKAPKLLIYAASNLQSGVPSRFSGSGSGTDFTLTISSLQPEDFATYYCQQSYSTPRYTFGQGTKVEIK"/>
        <s v="EVQLQQSGPELVKPGASVKMSCKASGYTFTSYNIHWVKQTPVHGLEWIGAIVSGGDTNYNENFKDKATLTVDKSSSTAYMQLTSEDSAVYYCARGGFYGDYWGQGTSVTVSSGGGSGGGSGGGSGGGSDIVLTQSPATLSVTPGDSVSLSCRASQSVTNNIHWYQQKSHESPRLLIKYASQSISGIPSRFSGSGSGTDFTLSINSVETEDFGMYFCQQSNSWPYTFGGGTKLEIK"/>
        <s v="QVQLQESGPGLVKPSQTLSLTCTVSGGSISSGDYYWIRQHPGKGLEWIGYIYYSGSTYYNPSLKSRVTISVDTSKNQFSLKLSSVTAADTAVYYCARQLWLRGRFDYWGQGTLVTVSSGGGSGGGSGGGSGGGSDIQMTQSPSSLSASVGDRVTITCRASQGISSWLAWYQQKPGKAPKLLIYAASTLQSGVPSRFSGSGSGTDFTLTISSLQPEDFATYYCQQSYSTPYTFGQGTKVEIK"/>
        <s v="EVQLVESGGGLVQPGGSLRLSCAASGFTVSSNYMSWVRQAPGKGLEWVSVIYSGGSTYYADSVKGRFTISRDNSKNTLYLQMNSLRAEDTAVYYCAREAGVWVFDYWGQGTLVTVSSGGGSGGGSGGGSGGGSDIQMTQSPSSLSASVGDRVTITCRASQSVSSAVAWYQQKPGKAPKLLIYSASSLYSGVPSRFSGSRSGTDFTLTISSLQPEDFATYYCQQYKYVPVTFGQGTKVEIK"/>
        <s v="EVQLVESGGGLVQPGGSLRLSCAASGFNLYSSSIHWVRQAPGKGLEWVASISSYYGSTYYADSVKGRFTISADTSKNTAYLQMNSLRAEDTAVYYCARSRQFWLWFGQGTLVTVSSGGGSGGGSGGGSGGGSDIQMTQSPSSLSASVGDRVTITCRASQSVSSAVAWYQQKPGKAPKLLIYSASSLYSGVPSRFSGSRSGTDFTLTISSLQPEDFATYYCQQYKYVPVTFGQGTKVEIK"/>
        <s v="VQLVQSGAEVKKPGASVKVSCKASGYTFTTYTISWVRQAPGQGLEWMGWINNSGGTNYAQKFQGRVTMTRDTSTSTVSAYMELRSEDTAVYYCATFVYGYSAYQPLTDDYGQMDVWGQGTTVTVSSGGGSGGGSGGGSGGGSDIQMTQSPSSLSASVGDRVTITCRASQSISSYLNWFQQKPGKAPKLLIYAASSLQSGVPSRFSGSGSGTDFTLTISSLQPEDFATYYCQQSLLYPLTFGGGTKVEIK"/>
        <s v="EVQLVESGGGLVQPGGSLRLSCAASGFNISSSSIHWVRQAPGKGLEWVASIYSSSGSTYYADSVKGRFTISADTSKNTAYLQMNSLRAEDTAVYYCARHRWWAHPYWGQGTLVTVSSGGGSGGGSGGGSGGGSDIQMTQSPSSLSASVGDRVTITCRASQSVSSAVAWYQQKPGKAPKLLIYSASSLYSGVPSRFSGSRSGTDFTLTISSLQPEDFATYYCQQSYYITPYTFGQGTKVEIK"/>
        <s v="EVQLVESGGGVVQPGRSLRLSCAASGFTFSSYAMHWVRQAPGKGLEWVAVIWYDGSNKYYADSVKGRFTISRDNSKNTLFLQMNSLRPEDTAVYYCARDTPMYYDVWGQGTTVTVSSGGGSGGGSGGGSGGGSDIQLTQSPSSLSASVGDRVTITCRTSQDIDNYLNWYQQKPGKAPKLLIYYTSSLHSGVPSRFSGSGSGTDFTFTISSLQPEDIATYYCQQYDNLPITFGQGTKLEIK"/>
        <s v="EVQLVESGGGLVQPGGSLRLSCAASGFTFSNYAMSWVRQAPGKGLEWVSAISGSGGSTYYADSVKGRFTISRDNSKNTLYLQMNSLRAEDTAVYYCARLSPYNGSMDYWGQGTLVTVSSGGGSGGGSGGGSGGGSVTQPASVSGSPGQSITISCTGTSSDIGAYNYVSWYQQHPGKAPKLMIYEVSKRPSGVSNRFSGSKSGNTASLTISGLQTEDEADYYCSSYTRSGSVVFGGGTKLTVL"/>
        <s v="QVQLVQSGAEVKKPGSSVKVSCKASGGTFSSYTISWVRQAPGQGLEWMGGIIPILGIANYAQKFQGRVTITADKSTSTAYMELSSLRSEDTAVYYCARGDSSYVDSWDYWGQGTLVTVSGGGSGGGSGGGSGGGSEIVLTQSPGTLSLSPGERATLSCRASQSVSSSYLAWYQQKPGQAPRLLIYGASSRATGIPDRFSGSGSGTDFTLTISRLEPEDFAVYYCQQYGSSPWTFGQGTKVEIK"/>
        <s v="QVQLVESGGGVVQPGRSLRLSCAASGFTFSNYGMHWVRQAPGKGLEWVAVISDGSNKYYADSVKGRFTISRDNSKNTLYLQMRAEDTAVYYCARGSHSSRDYWGQGTLVTVSSGGGSGGGSGGGSGGGSDIQMTQSPSSLSASVGDRVTITCRASQSISSYLNWYQQKPGKAPKLLIYAASSLQSGVPSRFSGSGSGTDFTLTISSLQPEDFATYYCQQSYSTPPYTFGQGTKVEIK"/>
        <s v="VQLVQSGAEVKRPGSSVKVSCKTSGGTIFSTYVFWVRQAPGQGLEWMGGFPPKAGYIYAQKFQGRVTFTADESSSTTVYMEDLRSEDTAVYFCARFPYFVYDVWGQGTTVTVSSGGGSGGGSGGGSGGGSDIQMTQSPSSLSASVGDRVTITCRASQSIGGYLAWYQQKPGKVPKLLIYAASSLQSGVPSRFSGSGSGTDFTLTISSLQPEDFATYYCQQSYSTPRTFGQGTKVEIK"/>
        <s v="VQLQESGPGLVKPSQSLSLTCTVTGFSIDYNIYWGWIRQPPGKGLEWIGYIYSGSDTYNPSLKSRVTISVDTSKNQFSLKVNSVTAADTAVYYCARVVDLWYDDGKYASCVKGAIDYWGQGTLVTVSSGGGSGGGSGGGSSVLTQPPSVSGAPGQRVTISCTGSSGAGYDVHWYQQLPGTAPKLLIYGNSNRPSGVPDRFSGSKSGTSASLAITGLQAEDEADYYCQSYDSSLSGWVFGGGTKLTVL"/>
        <s v="EVQLVESGGGLVQPGGSLRLSCAASGFNVVDFSLHWVRQAPGKGLEWVASIYPYDGSAYYADSVKGRFTISADTSKNTAYLQMNSLRAEDTAVYYCARWGYWPGEGWLGKYWGQGTLVTVSGGGSGGGSGGGSGGGSDIQMTQSPSSLSASVGDRVTITCRASQSVSSAVAWYQQKPGKAPKLLIYSASSLYSGVPSRFSGSRSGTDFTLTISSLQPEDFATYYCQQYKYVPVTFGQGTKVEI"/>
        <s v="EVQLVESGGGLVQPGGSLRLSCAASGFNISSSSIHWVRQAPGKGLEWVASISSSYGSTYYADSVKGRFTISADTSKNTAYLQMNSLRAEDTAVYYCARWEGYRGDLWGQGTLVTVSSGGGSGGGSGGGSGGGSDIQMTQSPSSLSASVGDRVTITCRASQSVSSAVAWYQQKPGKAPKLLIYSASSLYSGVPSRFSGSRSGTDFTLTISSLQPEDFATYYCQQYYEWLRTFGQGTKVEIK"/>
        <s v="QVQLQESGPGLVKPSQTLSLTCTVSGGSVSSGSYYWSWIRQPPGKGLEWIGYIYYSGSTNYNPSLKSRVTISVDTSKNQFSLKLSSVTAADTAVYYCARVDSFYYGMDVWGQGTTVTVSSGGGSGGGSGGGSGGGSDIQMTQSPSSLSASVGDRVTITCRASSGSSYDNGWYQQKPGKAPKLLIYAASSLQSGVPSRFSGSGSGTDFTLTISSLQPEDFATYYLQDSNYTPRTFGQGTKVEIK"/>
        <s v="QVQLVQSGAEVKKPGSSVKVSCKASGGTFSSYTISWVRQAPGQGLEWMGRIIPIFGTANYAQKFQGRVTITADKSTSTAYMELSSLRSEDTAVYYCARYYDSYFDYWGQGTLVTVSSGGGSGGGSGGGSGGGSDIQMTQSPSSLSASVGDRVTITCRASQGISSWLAWYQQKPGKAPKLLIYAASSLQSGVPSRFSGSGSGTDFTLTISSLQPEDFATYYCQCGNSFPWTFGGGTKLEIK"/>
        <s v="DVQLQESGPGLVKPSQTLSLTCTVSGYSITSDYYWNWIRQFPGNKLEWMGYISYDGSSNYNPSLKNRISITRDNSKNQFFLQLNSVTTEDTATYYCARSCSRRGYAMDYWGQGTSVTVSSGGGSGGGSGGGSGGGSQIVLTQSPAIMSASLGEKVTLTCSASSSVSYMHWYQQKPGTSPKLLIYSCNLLSGVPDRFSGSGSGTDFTLSISNVETEDAATYYCYQYRIRFGGGTKLTVLQ"/>
        <s v="EVQLVESGGGLVQPGGSLRLSCAASGFTFSSYAMSWVRQAPGKGLEWVSSISRSGGSTYYADSVKGRFTISRDNAKNSLYLQMNSLRAEDTAVYYCARSCSSRGYFDYWGQGTLVTVSSGGGSGGGSGGGSGGGSDIVMTQSPDSLAVSLGERATINCRASQSVSSYLAWYQQKPGQSPKLLIYSCNLQSGVPDRFSGSGSGTDFTLTISSLQPEDFATYYCQPYIRFGGGGTKLEIK"/>
        <s v="QVQLQESGPGLVKPSQTLSLTCTVSGFSFSSYAMSWVRQAPGKGLEWVSSISRSGGSTYYADSVKGRFTISRDNAKNSLYLQMNSLRAEDTAVYYCARSCSSRGYLFDYWGQGTLVTVSSGGGSGGGSGGGSGGGSDIVMTQSPDSLAVSLGERATINCRASQSVSSYLAWYQQKPGQSPKLLIYSCNLQSGVPDRFSGSGSGTDFTLTISSLQPEDFATYYCQPYIRFGGGGTKLEIK"/>
        <s v="SIKLTESGPTSVAPGSTLNLTCTVTGDNITSSGWYWWVKQAPDNKLTWIGGIDKNGNTWLNVAYIDRATLTRDPAANTVYLSIRNVTSSDTATYYCAKSSDDNGSYLDVWGQGLKVTVSGGGGSGGGSGGGSGGGSQVKLTQSPKEVTAKIGDTVTLTCTASQPVSTVSWYMQKPGQPPQLLISNNKLVEGVPERFSASGSGTEFTLTIKDVQKEDEAIYYCEVNGQVFGQGTKLTVLE"/>
        <m/>
      </sharedItems>
    </cacheField>
    <cacheField name="len_franken_chain" numFmtId="0">
      <sharedItems containsString="0" containsBlank="1" containsNumber="1" containsInteger="1" minValue="233" maxValue="250"/>
    </cacheField>
    <cacheField name="len_lte_250" numFmtId="0">
      <sharedItems containsBlank="1"/>
    </cacheField>
    <cacheField name="status_folded_boltz2" numFmtId="0">
      <sharedItems containsBlank="1"/>
    </cacheField>
    <cacheField name="status_folded_franken_boltz2" numFmtId="0">
      <sharedItems containsBlank="1"/>
    </cacheField>
    <cacheField name="min_ipsae" numFmtId="0">
      <sharedItems containsString="0" containsBlank="1" containsNumber="1" minValue="0" maxValue="0.64176299999999997"/>
    </cacheField>
    <cacheField name="max_ipsae" numFmtId="0">
      <sharedItems containsString="0" containsBlank="1" containsNumber="1" minValue="0" maxValue="0.69121100000000002"/>
    </cacheField>
    <cacheField name="submitted_to_comp" numFmtId="0">
      <sharedItems containsNonDate="0" containsDate="1" containsString="0" containsBlank="1" minDate="2023-11-12T00:00:00" maxDate="2025-11-16T00:00:00" count="11"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5T00:00:00"/>
        <m/>
        <d v="2025-11-14T00:00:00" u="1"/>
        <d v="2023-11-12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">
  <r>
    <x v="0"/>
    <x v="0"/>
    <s v="peleke-phi-4"/>
    <n v="0.7"/>
    <s v="base"/>
    <m/>
    <s v="nipah_gpG"/>
    <m/>
    <s v="QVQLVESGGGVVQPGRSLRLSCAASGFTFSSYGMHWVRQAPGKGLEWVAVISYDGSKKYYADSVKGRFTISRDNSKNTLYLQMNSLRAEDTAVYYCARSPFYDSSGYYAMDYWGQGTLVTVSS"/>
    <s v="DIQLTQSPSSLSASVGDRVTITCRASQGISSYLAWYQQKPGKAPKLLIYAASTLQSGVPSRFSGSGSGTDFTLTISSLQPEDFATYYCQQANSFPPTFGQGTKVEIK"/>
    <b v="1"/>
    <s v="GGGSGGGSGGGSGGGS"/>
    <x v="0"/>
    <n v="246"/>
    <b v="1"/>
    <b v="1"/>
    <b v="1"/>
    <n v="0.25843100000000002"/>
    <n v="0.33503300000000003"/>
    <x v="0"/>
  </r>
  <r>
    <x v="1"/>
    <x v="0"/>
    <s v="peleke-phi-4"/>
    <n v="0.7"/>
    <s v="base"/>
    <m/>
    <s v="nipah_gpG"/>
    <m/>
    <s v="QVQLVESGGGVVQPGKSLRLSCAASGFTFSSYAMSWVRQAPGKGPEWVAFISYDGSNNYYADSVKGRFTISRDNPKNTLYLQMKSLRAEDTAVYYCARWRQRFDMYWGRGTLVTVSS"/>
    <s v="DIQMTQSPSSLSASVGDRVTITCRASQSISSYLNWYQQKPGKAPKLLIYAASSLQSGVPSRFSGSGSGTDFTLTISSLQPEDFATYYCQQSYSTPYTFGQGTKVEIK"/>
    <b v="1"/>
    <s v="GGGSGGGSGGGSGGGS"/>
    <x v="1"/>
    <n v="240"/>
    <b v="1"/>
    <b v="1"/>
    <b v="1"/>
    <n v="0"/>
    <n v="5.4939999999999998E-3"/>
    <x v="1"/>
  </r>
  <r>
    <x v="2"/>
    <x v="0"/>
    <s v="peleke-phi-4"/>
    <n v="0.9"/>
    <s v="base"/>
    <m/>
    <s v="nipah_gpG"/>
    <m/>
    <s v="QVQLQESGPGLVKPSETLSLTCTVSGASIRGYYWSWIRQFPGKELEWIGYVYSGSTENYNPSLKSRVTVTLTDTKNSFSLKLNSVTSEDTAVYYCARGGALIYYDVWGTGTTVTVSS"/>
    <s v="DIQVTQSPVSLSASVGDRVTITCRASQGIDSLNWFQQRPGKAPKLLIYAASQLTGIAPRFRSGSGSGTDFTLTISSLQPEDFATYYCQQYNIYPATFGQGTKVEIK"/>
    <b v="1"/>
    <s v="GGGSGGGSGGGSGGGS"/>
    <x v="2"/>
    <n v="239"/>
    <b v="1"/>
    <b v="1"/>
    <b v="1"/>
    <n v="0"/>
    <n v="0"/>
    <x v="1"/>
  </r>
  <r>
    <x v="3"/>
    <x v="0"/>
    <s v="peleke-phi-4"/>
    <n v="0.9"/>
    <s v="base"/>
    <m/>
    <s v="nipah_gpG"/>
    <m/>
    <s v="EVQLVQSGAEVKKPGESLKISCKGSGYTFSYYWIGWVRQMPGKGLEWMGIIYPGDSDTRYSPSFQGQVTISADKSISTAYLQWSSLKASDTAMYYCARGEGVFDYWGQGTLVTVSS"/>
    <s v="YTLTQAPSVSASGQSVTISCTGTSRDVGTYWYQQIPGRAPKLLIHDKSENQGKTPGIPDRFSGSKSGNTASLVIIRGLQADDEADYYCNSYHGSGSNIFGGGTKLTVD"/>
    <b v="1"/>
    <s v="GGGSGGGSGGGSGGGS"/>
    <x v="3"/>
    <n v="240"/>
    <b v="1"/>
    <b v="1"/>
    <b v="1"/>
    <n v="5.2389999999999997E-3"/>
    <n v="8.0114000000000005E-2"/>
    <x v="1"/>
  </r>
  <r>
    <x v="4"/>
    <x v="0"/>
    <s v="peleke-phi-4"/>
    <n v="0.5"/>
    <s v="base"/>
    <m/>
    <s v="nipah_gpG"/>
    <m/>
    <s v="EVQLVESGGGLVQPGGSLRLSCAASGFTFSSYWMNWVRQAPGKGLEWVANINQDGGEKYYVDSVKGRFTISRDNAKNSLYLQMNSLRAEDTAIYYCARDVGGGMDVWGQGTTVTVSS"/>
    <s v="QMTQSPSSLSASVGDRVTITCRASQSVSSAVAWYQQKPGKAPKLLIYSASSLYSGVPSRFSGSRSGTDFTLTISSLQPEDFATYYCQQSSSSLITFGQGTKVEIK"/>
    <b v="1"/>
    <s v="GGGSGGGSGGGSGGGS"/>
    <x v="4"/>
    <n v="238"/>
    <b v="1"/>
    <b v="1"/>
    <b v="1"/>
    <n v="0"/>
    <n v="5.3489999999999996E-3"/>
    <x v="1"/>
  </r>
  <r>
    <x v="5"/>
    <x v="1"/>
    <s v="Qwen3-235B-A22B-Instruct-2507"/>
    <m/>
    <s v="base"/>
    <m/>
    <s v="nipah_gpG"/>
    <m/>
    <s v="QVQLVESGGGVVQPGRSLRLSCAASGFTFSSYAMSWVRQAPGKGLEWVSAIWSNGGSTYYADSVKGRFTISRDNAKNSLYLQMNSLRAEDTAVYYCARDYGSYGYFDYWGQGTLVTVSS"/>
    <s v="DIVMTQSPLSLPVTPGEPASISCRSSQSLLYSNGNTYLEWYLQKPGQSPQLLIYLVSKLDSGVPDRFSGSGSGTDFTLKISRVEAEDLGIYYCQQSKEVPYTFGAGTKLEIK"/>
    <b v="1"/>
    <s v="GGGSGGGSGGGSGGGS"/>
    <x v="5"/>
    <n v="247"/>
    <b v="1"/>
    <b v="1"/>
    <b v="1"/>
    <n v="0"/>
    <n v="1.302E-2"/>
    <x v="1"/>
  </r>
  <r>
    <x v="6"/>
    <x v="2"/>
    <s v="peleke-phi-4 / v_48_020"/>
    <n v="0.1"/>
    <s v="derivative"/>
    <s v="sbio-nipahgpg-001"/>
    <s v="nipah_gpG"/>
    <n v="1"/>
    <s v="AVSLVESGGGTVKPGESVTLSCQASGFNFSKYQWVWVRQAPGKGLEWVGQISPDGSKTRYHPSVAGRFTISRDNSNSTLYLHMSNLRPEDTAVYYCGIIPQDNVHGDYSISHWGQGTLLTVSA"/>
    <s v="AIKLTQSPKSLSASVGDTVTINCTASRPIGDLLSWYKQKPGKPPQLLIYRSSTLASGVSSRYSGSGSDTNFTLTISSLQSSDFATYYCRQTSRFPITFGEGTTINKK"/>
    <b v="1"/>
    <s v="GGGSGGGSGGGSGGGS"/>
    <x v="6"/>
    <n v="246"/>
    <b v="1"/>
    <b v="1"/>
    <b v="1"/>
    <n v="5.2820000000000002E-3"/>
    <n v="8.6638999999999994E-2"/>
    <x v="0"/>
  </r>
  <r>
    <x v="7"/>
    <x v="2"/>
    <s v="peleke-phi-4 / v_48_020"/>
    <n v="0.1"/>
    <s v="derivative"/>
    <s v="sbio-nipahgpg-001"/>
    <s v="nipah_gpG"/>
    <n v="1"/>
    <s v="AVSITESGGGTKAPGSSVTLSCKVSGFVFSKYSIAWVRQAPGQGLEWVSQISPDGSTTRYNPAVAGRFTISRDNSNSTAYLQMSNLTPSDTATYYCAIIPQDNEHGDYSLSHWGQGTQLTVSA"/>
    <s v="AIKLTQSPKSLSAKVGDTVTINCTASAPIGDFLSWYKQKPGQPPQLLIYKSSTLAPGVSSRYSGSGSDTNFTLTISSLQEEDFATYYCQQTATLPITFGEGTTINKK"/>
    <b v="1"/>
    <s v="GGGSGGGSGGGSGGGS"/>
    <x v="7"/>
    <n v="246"/>
    <b v="1"/>
    <b v="1"/>
    <b v="1"/>
    <n v="0"/>
    <n v="0"/>
    <x v="1"/>
  </r>
  <r>
    <x v="8"/>
    <x v="2"/>
    <s v="peleke-phi-4 / v_48_020"/>
    <n v="0.1"/>
    <s v="derivative"/>
    <s v="sbio-nipahgpg-001"/>
    <s v="nipah_gpG"/>
    <n v="1"/>
    <s v="SISLVESGGGTVAPGSSVTLSCQASGFNFSKYSKAWVRQPPGQPLEWVSRISPDGSTKYYHPDVAGRFTISKDNSKSTVYLAMSNLTAADTATYYCGIIPGDNTHGDYAMSHWGQGTLLTVSA"/>
    <s v="AITLTQSPSSLSASVGDTVTISCTASRPIGDKLSWYKQKPGQPPQLLIYNASTLAPGVSSRYSGSGSDTSFTLTISSLQEDDFATYYCQQTYTLPITFGQGTTISKK"/>
    <b v="1"/>
    <s v="GGGSGGGSGGGSGGGS"/>
    <x v="8"/>
    <n v="246"/>
    <b v="1"/>
    <b v="1"/>
    <b v="1"/>
    <n v="0.116301"/>
    <n v="0.18454400000000001"/>
    <x v="0"/>
  </r>
  <r>
    <x v="9"/>
    <x v="2"/>
    <s v="peleke-phi-4 / v_48_020"/>
    <n v="0.1"/>
    <s v="derivative"/>
    <s v="sbio-nipahgpg-001"/>
    <s v="nipah_gpG"/>
    <n v="1"/>
    <s v="GVSLTESGGGTVAPGSSVTLSCKASGFNFSKYSHAWVRQAPGQGLTWVGEISPDGSKTRYASSVAGRFTISRDNSNSTVYLQMSSLTPSDTATYYCGIIPGDSVHGERSMSHWGQGTLLTVSA"/>
    <s v="AITLTQSPSSLSASVGDTVTLNCTASRPIGDRLSWYKQKPGQAPQLLIYRASTLAPGVSSRYSGSGSDTQFTLTISSLQSDDFATYYCQQTSSYPVTFGQGTTITKK"/>
    <b v="1"/>
    <s v="GGGSGGGSGGGSGGGS"/>
    <x v="9"/>
    <n v="246"/>
    <b v="1"/>
    <b v="1"/>
    <b v="1"/>
    <n v="0"/>
    <n v="4.8060000000000004E-3"/>
    <x v="0"/>
  </r>
  <r>
    <x v="10"/>
    <x v="2"/>
    <s v="peleke-phi-4 / v_48_020"/>
    <n v="0.1"/>
    <s v="derivative"/>
    <s v="sbio-nipahgpg-001"/>
    <s v="nipah_gpG"/>
    <n v="1"/>
    <s v="EVSLVESGGGTVKPGESVTLSCQASGFNFSKYRLAWVRQPPGQGLVWVSEISPDGTEVKYHPDVKGRFTASRDNSNSTAYLKMNNLQPSDTATYYCGIIPQDSSHGDYSISHWGQGTQLTVSA"/>
    <s v="TITLTQSPSSLSASVGDTVTINCTASRPIGDFLSWYKQKPGQPPQLLIYRSSTLASGVSSRYSGSGSDTNFTLTISSLQSDDFATYYCQQTYTLPITFGQGTTLTKK "/>
    <b v="1"/>
    <s v="GGGSGGGSGGGSGGGS"/>
    <x v="10"/>
    <n v="247"/>
    <b v="1"/>
    <b v="1"/>
    <b v="1"/>
    <m/>
    <m/>
    <x v="1"/>
  </r>
  <r>
    <x v="11"/>
    <x v="2"/>
    <s v="peleke-phi-4 / v_48_020"/>
    <n v="0.1"/>
    <s v="derivative"/>
    <s v="sbio-nipahgpg-001"/>
    <s v="nipah_gpG"/>
    <n v="1"/>
    <s v="AVSLVESGGGTYAPGSSVTLSCQGSGFNFSKVRKVWVRQPPGGPLEYVAEISPDGSTTTYASSVAGRFTISKDNSNSTLYLSMSNLTPADTATYYCGLIPGDSEHGDRSISHWGQGTLVTVSA"/>
    <s v="AITLTQSPSSLSASVGDTVTINCTASQPIGNFLSWYKQKPGQPPQLLIYNASTLAPGVSSRYSGSGSDTNFTLTISSLQSEDFATYYCQQTSRLPVTFGQGTTINKK"/>
    <b v="1"/>
    <s v="GGGSGGGSGGGSGGGS"/>
    <x v="11"/>
    <n v="246"/>
    <b v="1"/>
    <b v="1"/>
    <b v="1"/>
    <n v="0"/>
    <n v="0"/>
    <x v="1"/>
  </r>
  <r>
    <x v="12"/>
    <x v="2"/>
    <s v="peleke-phi-4 / v_48_020"/>
    <n v="0.1"/>
    <s v="derivative"/>
    <s v="sbio-nipahgpg-001"/>
    <s v="nipah_gpG"/>
    <n v="1"/>
    <s v="GISLVESGGGTVKPGESVTLSCKASGFVFSKYSHAWVRQPPGGPLEWVSQISSDGSVTRYASSVSGRFTISRDNSNSTVYLQMNNLRPSDTATYYCGIIPQDNVHGDYAISHWGQGTLLTVTA"/>
    <s v="AITLTQSPASLSAKVGDTVTLSCTASRPIGDLLSWYKQKPGQPPQLLIYRASTLAPGVDSRYSGSGSDTSFTLTISSLQPEDFATYYCQQTSRFPITFGQGTTIKQA"/>
    <b v="1"/>
    <s v="GGGSGGGSGGGSGGGS"/>
    <x v="12"/>
    <n v="246"/>
    <b v="1"/>
    <b v="1"/>
    <b v="1"/>
    <n v="5.7704999999999999E-2"/>
    <n v="0.165157"/>
    <x v="0"/>
  </r>
  <r>
    <x v="13"/>
    <x v="2"/>
    <s v="peleke-phi-4 / v_48_030"/>
    <n v="0.15"/>
    <s v="derivative"/>
    <s v="sbio-nipahgpg-001"/>
    <s v="nipah_gpG"/>
    <n v="1"/>
    <s v="PVSLVESGGGTVAPGSSVTLTCQASGFNFSKYIVAWVRQPPGQPLRFVAMITPDGSKVWLHPEVEGRFTPSKDNSKNTSYLQLKDLQPEDTATYYCGIIPQGSTHGDYSITHWGQGVVLTVTA"/>
    <s v="MVTLTQSPSSLSASVGDTVTITCTASSPVDNLMSWYQQPPGQPLRLLIYNASTRAPGVSSRFSGSGSDTNFTLTISSLQASDFATYYCQQTYRLPVTFGQGTTLSAA "/>
    <b v="1"/>
    <s v="GGGSGGGSGGGSGGGS"/>
    <x v="13"/>
    <n v="247"/>
    <b v="1"/>
    <b v="1"/>
    <b v="1"/>
    <m/>
    <m/>
    <x v="1"/>
  </r>
  <r>
    <x v="14"/>
    <x v="2"/>
    <s v="peleke-phi-4 / v_48_030"/>
    <n v="0.15"/>
    <s v="derivative"/>
    <s v="sbio-nipahgpg-001"/>
    <s v="nipah_gpG"/>
    <n v="1"/>
    <s v="SIKLTESGGGTVKPGSSVTLSCQASGFNFSKYEVVWVMQKPGQPLQWVGSISPDGSKVRLHPKVKGRFTLSKDNSKNTAYLTMKNLQPEDTATYYCGIIPGGSVHGDRSITHWGQGVELKVVA"/>
    <s v="MIKLTQSPKSVKAKVGDTVTITCTASEPVDDLVSWYQQKPGQPLRLLIYRSSTLAPGVSSRFSGSGSDTNFTLTISSLQEEDFATYYCMQTSKYPYTFGQGTTLSRA"/>
    <b v="1"/>
    <s v="GGGSGGGSGGGSGGGS"/>
    <x v="14"/>
    <n v="246"/>
    <b v="1"/>
    <b v="1"/>
    <b v="1"/>
    <n v="0.15156800000000001"/>
    <n v="0.23256399999999999"/>
    <x v="0"/>
  </r>
  <r>
    <x v="15"/>
    <x v="2"/>
    <s v="peleke-phi-4 / v_48_030"/>
    <n v="0.15"/>
    <s v="derivative"/>
    <s v="sbio-nipahgpg-001"/>
    <s v="nipah_gpG"/>
    <n v="1"/>
    <s v="AITLTESGGGVVAPGSSVTLTCTASGFNFSKYSMVWVRQPPGGPLQWVAQISPDNSTVRYHPAVEGRFTASKDNSKNTAYLAMSDLEPSDTATYYCGIIPQGSTHNDYSIVHWGQGTELRVVA"/>
    <s v="MIKLTQSPSSLSAKVGDKVTITCTASSPVDNLVSWYKQPPGGPLQLLIYNSSTRAPGVSSRFKGSGSDTNFTLTIESLQEEDFATYYCQQTYKFPITFGQGTKLTRA"/>
    <b v="1"/>
    <s v="GGGSGGGSGGGSGGGS"/>
    <x v="15"/>
    <n v="246"/>
    <b v="1"/>
    <b v="1"/>
    <b v="1"/>
    <n v="0"/>
    <n v="0"/>
    <x v="1"/>
  </r>
  <r>
    <x v="16"/>
    <x v="2"/>
    <s v="peleke-phi-4 / v_48_030"/>
    <n v="0.15"/>
    <s v="derivative"/>
    <s v="sbio-nipahgpg-001"/>
    <s v="nipah_gpG"/>
    <n v="1"/>
    <s v="SISLTESGGGTVAPGSSVTLTCTASGFNFSKYSVAWVRQPPGQPLQWVALISPDGSKKWYHPDVKGRATISKDNSKNTSYLTLSNLQPSDTATYYCGIIPGGNIHGDYSMTHWGQGTQLTVVA"/>
    <s v="MITLTQSPLSLSAKVGDTVTITCTASSPVDDLVSWYQQKPGQPLRLLIRNASERAPGVSSRFSGSGSDTTFTLTISSVQEEDFATYYCQQTSKLPYTFGQGTTLSRA"/>
    <b v="1"/>
    <s v="GGGSGGGSGGGSGGGS"/>
    <x v="16"/>
    <n v="246"/>
    <b v="1"/>
    <b v="1"/>
    <b v="1"/>
    <n v="0"/>
    <n v="0"/>
    <x v="2"/>
  </r>
  <r>
    <x v="17"/>
    <x v="2"/>
    <s v="peleke-phi-4 / v_48_030"/>
    <n v="0.15"/>
    <s v="derivative"/>
    <s v="sbio-nipahgpg-001"/>
    <s v="nipah_gpG"/>
    <n v="1"/>
    <s v="AVTLTESGGGTVAPGSSVTLTCTASGFNFSKYILAWVRQAPGQPLEWVASISPDGSKTRYHPAVKGRATASKDNSKNTAYLELKDLRPEDTATYYCGIIPQGSVHGDYSMTHWGQGTELRVEA"/>
    <s v="PVVLTQSPLSLSAKVGDTVTITCTASSPVDNLVSWYKQAPGQPLQLLIYNATTRAPGVPSRFTGSGSDTTFTLTISSLQPEDFAVYYCQQTYKFPITFGQGTRLTPA"/>
    <b v="1"/>
    <s v="GGGSGGGSGGGSGGGS"/>
    <x v="17"/>
    <n v="246"/>
    <b v="1"/>
    <b v="1"/>
    <b v="1"/>
    <n v="0"/>
    <n v="6.1079999999999997E-3"/>
    <x v="2"/>
  </r>
  <r>
    <x v="18"/>
    <x v="2"/>
    <s v="peleke-phi-4 / v_48_030"/>
    <n v="0.15"/>
    <s v="derivative"/>
    <s v="sbio-nipahgpg-001"/>
    <s v="nipah_gpG"/>
    <n v="1"/>
    <s v="PVKLVESGGGTVAPGSSVTLTCKASGFNFSKYMVQWVRQAPGGAFQWVGLISPDGSTKWYHPDVEGRFTISKDNSKNTAYLEMRNLTPADTAVYYCGIVPQGSVHGDYSITHWGQGVTLTVTA"/>
    <s v="VVQLTQSPPELSAKVGEKVTITCTASSPVDNLVSWYQQKPGGAPKLLIYNATTLAPGVPSRFSGSGSDTVFTLTIDSLQAEDFATYYCQQTSRLPFTFGQGTVLRPA"/>
    <b v="1"/>
    <s v="GGGSGGGSGGGSGGGS"/>
    <x v="18"/>
    <n v="246"/>
    <b v="1"/>
    <b v="1"/>
    <b v="1"/>
    <n v="0"/>
    <n v="0"/>
    <x v="2"/>
  </r>
  <r>
    <x v="19"/>
    <x v="2"/>
    <s v="peleke-phi-4 / v_48_030"/>
    <n v="0.15"/>
    <s v="derivative"/>
    <s v="sbio-nipahgpg-001"/>
    <s v="nipah_gpG"/>
    <n v="1"/>
    <s v="AIKLTESGGGTVKPGSSVTLTCQASGFNFSKYIMAWVRQAPGQPLQWVAQISPDNSVKRYHPEVEGRFTASKDNSKNTAYLEMKNLTPADTATYYCAIIPQGSTQGDYSMVHWGQGVELKVVA"/>
    <s v="PVVLTQSPASLKAAVGDTVTITCTASAPVDNLVSWYKQAPGQPPQLLIYNASTLAPGVPSRFTGSGSDTSFTLTISSLQEEDFATYYCQETSKFPITFGQGTKLEKK"/>
    <b v="1"/>
    <s v="GGGSGGGSGGGSGGGS"/>
    <x v="19"/>
    <n v="246"/>
    <b v="1"/>
    <b v="1"/>
    <b v="1"/>
    <n v="0"/>
    <n v="0"/>
    <x v="2"/>
  </r>
  <r>
    <x v="20"/>
    <x v="2"/>
    <s v="peleke-phi-4 / v_48_030"/>
    <n v="0.15"/>
    <s v="derivative"/>
    <s v="sbio-nipahgpg-001"/>
    <s v="nipah_gpG"/>
    <n v="1"/>
    <s v="SIKLTESGGGVVAPGESVTLTCTASGFNFSKYEMAWVRQAPGGPLEFVAVISPDGSTTRYHPRVEGRATISRDNSKNTAYLTLRDLTPADTAVYYCGIIPGGSVHGDRALSHWGQGVRLEVRA"/>
    <s v="MVTLTQSPSSLSAKVGDKVTISCTASEPVDDLVSWYKQAPGGPPQLLISRASTRAPGVPSRFSGSGSDTNFTLTIESLQSSDFATYYCQQTYKFPDTFGQGTTLSEA"/>
    <b v="1"/>
    <s v="GGGSGGGSGGGSGGGS"/>
    <x v="20"/>
    <n v="246"/>
    <b v="1"/>
    <b v="1"/>
    <b v="1"/>
    <n v="0"/>
    <n v="5.0870000000000004E-3"/>
    <x v="2"/>
  </r>
  <r>
    <x v="21"/>
    <x v="3"/>
    <s v="v_48_020"/>
    <n v="0.1"/>
    <s v="derivative"/>
    <s v="m102.3 (PDB: 6CMI)"/>
    <s v="nipah_gpG"/>
    <n v="2"/>
    <s v="SVTLVESGDQTVAPGGSVTLSCTSSGGSFGNSGVSWVKQQPGGPLQWIGGIIPSLGISKVSPEYAGRVTISSDSSNNTAYLTISNLTAADTATYYCALGEGEDVFASSPFASNVNLGALSVWGQGTKVTVS"/>
    <s v="ITVTQSPSSPSLKVGETATLTCTLSAPVPRSNVAWYKQQPGQPPTLLIYGGSTRAPGVPSRYSGSGSGTTFTLTITALKPEDFATYYCQVYGENPSFGQGTTLKLK "/>
    <b v="1"/>
    <s v="GGGSGGGSGGGS"/>
    <x v="21"/>
    <n v="250"/>
    <b v="1"/>
    <b v="1"/>
    <b v="1"/>
    <m/>
    <m/>
    <x v="2"/>
  </r>
  <r>
    <x v="22"/>
    <x v="3"/>
    <s v="v_48_020"/>
    <n v="0.1"/>
    <s v="derivative"/>
    <s v="m102.3 (PDB: 6CMI)"/>
    <s v="nipah_gpG"/>
    <n v="2"/>
    <s v="GVKLVQSGDLTVKPGGSVTLSCKSEGGSFGNSSVAWVRQRPGGPYEYIGSIIPAYGVSRVSPEYEGRVTISADVANNTAYLTISNLTPEDTATYYCALGPGEVVYAASPFDEKLLTGALSVWGEGTLVTVT"/>
    <s v="ITVTQSPSSPSLSVGDTATLTCTLSSSVATSNVAWYKQLPGQPPELLISGGSTRAPGVPSRYSGSGSGTTFTLTISSLQASDFATYYCQVYGENPSFGQGTTLTLK"/>
    <b v="1"/>
    <s v="GGGSGGGSGGGS"/>
    <x v="22"/>
    <n v="249"/>
    <b v="1"/>
    <b v="1"/>
    <b v="1"/>
    <n v="0.31751499999999999"/>
    <n v="0.405559"/>
    <x v="0"/>
  </r>
  <r>
    <x v="23"/>
    <x v="3"/>
    <s v="v_48_020"/>
    <n v="0.1"/>
    <s v="derivative"/>
    <s v="m102.3 (PDB: 6CMI)"/>
    <s v="nipah_gpG"/>
    <n v="2"/>
    <s v="AVKLVQSGDQTVAPGGSVTLSCTSSGGSFGNSSVAWVRQRPGGPFEFIGSIIPSLGISRYNSKYKGRVTISSDAANNTAYLTISNLTAADTATYYCALGPGESVFASHPFKEKLLTGALSVWGEGTLVTVS"/>
    <s v="ITVTQSPSSPSKSVGDTVTLTCTLSSSVPVSQVAWYKQHPGQPPELLIYGGSTRASGVPSRYSGSGSGTTFTLTISSLQPEDFATYYCQVYGEEPSFGQGTTVTLA"/>
    <b v="1"/>
    <s v="GGGSGGGSGGGS"/>
    <x v="23"/>
    <n v="249"/>
    <b v="1"/>
    <b v="1"/>
    <b v="1"/>
    <n v="0.64176299999999997"/>
    <n v="0.69121100000000002"/>
    <x v="0"/>
  </r>
  <r>
    <x v="24"/>
    <x v="3"/>
    <s v="v_48_020"/>
    <n v="0.1"/>
    <s v="derivative"/>
    <s v="m102.3 (PDB: 6CMI)"/>
    <s v="nipah_gpG"/>
    <n v="2"/>
    <s v="SITLVQSGDVTVAPGGSVTLTCTSSGGSFGNKAVAWVRQRPGGPYEWLGFIIPAYGVSRYNPAYEGRVTISVDSASNTASLTISNLTAADTATYYCALGEGEIVYAASPFDENYKLGALYIWGQGTKVTVS"/>
    <s v="ITLTQSPSSPSLSVGETATLTCTASAPVPKSNVAWYKQLPGQPPELLIYGGSTRASGVPSRYSGSGSGTTFTLTISSLTADDFATYYCQVYGENPSFGEGTTLTLK"/>
    <b v="1"/>
    <s v="GGGSGGGSGGGS"/>
    <x v="24"/>
    <n v="249"/>
    <b v="1"/>
    <b v="1"/>
    <b v="1"/>
    <n v="5.2189999999999997E-3"/>
    <n v="5.4400000000000004E-3"/>
    <x v="2"/>
  </r>
  <r>
    <x v="25"/>
    <x v="3"/>
    <s v="v_48_020"/>
    <n v="0.1"/>
    <s v="derivative"/>
    <s v="m102.3 (PDB: 6CMI)"/>
    <s v="nipah_gpG"/>
    <n v="2"/>
    <s v="SVTLVQSGDQTVPIGGSVTLSCTANGGSFGNKGVAWVRQRPGGPYEFLGFIKPAIGESRYHPKYKGRVTISSDVSSNTAYLTISNLTPEDTAVYYCALGEAEDVFAAHPFKTDLLLGALSIWGQGTRVTVT"/>
    <s v="ITVTQSPSSPSLSVGETAVLTCTLSQPVPQSQVAWYKQLPGQPPTLLISGGSTRASGVPSRYSGSGSGTTFTLTISSLLPEDFATYYCQVVGKEPSFGQGTTLTLK"/>
    <b v="1"/>
    <s v="GGGSGGGSGGGS"/>
    <x v="25"/>
    <n v="249"/>
    <b v="1"/>
    <b v="1"/>
    <b v="1"/>
    <n v="0"/>
    <n v="0"/>
    <x v="2"/>
  </r>
  <r>
    <x v="26"/>
    <x v="3"/>
    <s v="v_48_020"/>
    <n v="0.1"/>
    <s v="derivative"/>
    <s v="m102.3 (PDB: 6CMI)"/>
    <s v="nipah_gpG"/>
    <n v="2"/>
    <s v="SVKLVQSGDQTVPVGGSVTLSCTASGGSFGNYGVAWVRQRPGGPLEYIGSIIPAYGISTVNPKYEGRVTISADPTNNTAYLTISNLTPEDTATYYCALGPGEVVFASSPFDIDVLTGALWVWGEGTKVTVT"/>
    <s v="ITVTQSPSSPSLKVGETATLTCTLSAPVAKSNVAWYKQLPGQPPELLIYGGSTRASGVPSRYSGSGSGTTFTLTISSLQPEDFATYYCQVVGKNPSFGQGTLLKLK"/>
    <b v="1"/>
    <s v="GGGSGGGSGGGS"/>
    <x v="26"/>
    <n v="249"/>
    <b v="1"/>
    <b v="1"/>
    <b v="1"/>
    <n v="5.1520000000000003E-3"/>
    <n v="5.3605E-2"/>
    <x v="2"/>
  </r>
  <r>
    <x v="27"/>
    <x v="3"/>
    <s v="v_48_020"/>
    <n v="0.1"/>
    <s v="derivative"/>
    <s v="m102.3 (PDB: 6CMI)"/>
    <s v="nipah_gpG"/>
    <n v="2"/>
    <s v="SISLVQSSDQTVAPGGSVTLSCTSSGGSFGNSGVAWVRQAPGGPPVYIGGIIPATGVSTYNAAFKGRVTISSDSSNNTAYLTISGLTAADTATYYCALGPAENVFASHPFAEDVNLGALSVWGQGTLVTVT"/>
    <s v="ITVTESPSSPELSVGETAVLSCTLSSSVPQSNVAWYKQKPGQPPELLIYGGSTRASGVPSRYSGSGSGTTFYLTISSLEPEDFATYYCQVYGTSPSFGQGTTLKLK"/>
    <b v="1"/>
    <s v="GGGSGGGSGGGS"/>
    <x v="27"/>
    <n v="249"/>
    <b v="1"/>
    <b v="1"/>
    <b v="1"/>
    <n v="0.32629000000000002"/>
    <n v="0.41575699999999999"/>
    <x v="0"/>
  </r>
  <r>
    <x v="28"/>
    <x v="3"/>
    <s v="v_48_020"/>
    <n v="0.1"/>
    <s v="derivative"/>
    <s v="m102.3 (PDB: 6CMI)"/>
    <s v="nipah_gpG"/>
    <n v="2"/>
    <s v="AVSLVESGDQTVAPGGSVTLSCTSSGGSFGNSGVAWVRQAPGGPLEFLGFIIPALGVSKVNSKYEGRVTISSDPANNTAYLTISNLTAADTATYYCGLGTGESVFASSPFDEKLLLGALSVWGQGTKVTVT"/>
    <s v="ITVTQSPASPEKKVGETATLTCTLSSAVPKSNVAWYKQKPGQPPELLIYGGSTRASGVPSRYSGSGSGTTFYLTISSLQPEDFATYYCRVYGEEPSFGQGTTLKLK"/>
    <b v="1"/>
    <s v="GGGSGGGSGGGS"/>
    <x v="28"/>
    <n v="249"/>
    <b v="1"/>
    <b v="1"/>
    <b v="1"/>
    <n v="0.50901600000000002"/>
    <n v="0.56638100000000002"/>
    <x v="0"/>
  </r>
  <r>
    <x v="29"/>
    <x v="0"/>
    <s v="peleke-mistral-7b-instruct-v0.2"/>
    <n v="0.7"/>
    <s v="base"/>
    <m/>
    <s v="nipah_gpG"/>
    <m/>
    <s v="VQLQESGPGLVKPSQSLSLTCTVTGYSITTGYAWNWIRQFPGNKLEWMGYISYSGSTYYPSLKSRISITRDTSKNQFFLQLSIVTTEDTATYYCARGTTLPDYVDFWGQGTSVTVSS"/>
    <s v="DIQLTQSPSSLSASVGDRVTITCRASQTISTYLNWYQQKPGKAPKLLIYAASTLQSGVPSRFSGSGSGTDFTLTISSLQPEDFATYFCLQHFWTPPITFGQGTRLEIK"/>
    <b v="1"/>
    <s v="GGGSGGGSGGGSGGGS"/>
    <x v="29"/>
    <n v="241"/>
    <b v="1"/>
    <b v="0"/>
    <b v="0"/>
    <m/>
    <m/>
    <x v="3"/>
  </r>
  <r>
    <x v="30"/>
    <x v="0"/>
    <s v="peleke-mistral-7b-instruct-v0.2"/>
    <n v="0.7"/>
    <s v="base"/>
    <m/>
    <s v="nipah_gpG"/>
    <m/>
    <s v="QVQLQESGPGLVKPSETLSVTCTVSGGSIGSNNYWSWIRQPAGKGLEWIGYIYYSGSTNYNPSLKSRVTMSVDTSKNQFSLKLSSVTAADTAVYYCVRNYYDSSDSSGYYFMDVWGQGTTVTVSS"/>
    <s v="DIVMTQSPLSLSVTPGEPASISCRSSQSLLHSNGYNYLDWYLQKPGQSPQLLIYLGSNRASGVPDRFSGSGSGTDFTLKISRVEAEDVGVYYCMQALQTPTFGQGTRLEIK"/>
    <b v="1"/>
    <s v="GGGSGGGSGGGS"/>
    <x v="30"/>
    <n v="248"/>
    <b v="1"/>
    <b v="0"/>
    <b v="0"/>
    <m/>
    <m/>
    <x v="3"/>
  </r>
  <r>
    <x v="31"/>
    <x v="0"/>
    <s v="peleke-mistral-7b-instruct-v0.2"/>
    <n v="0.7"/>
    <s v="base"/>
    <m/>
    <s v="nipah_gpG"/>
    <m/>
    <s v="QVQLVQSGAEVKKPGESLKISCKGSGYRFSSYWIGWVRQMPGKGLEWMGIIYPGDSDTRYSPSFQGQVTISADKSISTAYLQWSSLKASDTAMYYCARQGPDYYYGMDVWGQGTTVTVSS"/>
    <s v="DIQMTQSPSTLSASVGDRVTITCRASQSISSWLAWYQQKPGKAPKLLIYKASELQSGVPSRFSGSGSGTEFTLTISSLQPDDFATYYCQQYINSYTFGQGTKVEIK"/>
    <b v="1"/>
    <s v="GGGSGGGSGGGSGGGS"/>
    <x v="31"/>
    <n v="242"/>
    <b v="1"/>
    <b v="0"/>
    <b v="0"/>
    <m/>
    <m/>
    <x v="3"/>
  </r>
  <r>
    <x v="32"/>
    <x v="0"/>
    <s v="peleke-mistral-7b-instruct-v0.2"/>
    <n v="0.7"/>
    <s v="base"/>
    <m/>
    <s v="nipah_gpG"/>
    <m/>
    <s v="QVQLQQSGPELVKPGASVKLSCKASGYTFTDYYMHWVKQRPGQGLEWIGEINPNSGGTNTYDQKFKGRATLTVDKSSSTAYLQLSSLTSEDSAVYYCARSPPWYFDYWGQGTTLTVS"/>
    <s v="DIVMTQSPSSMFASVGETVTITCRASENIYSNLAWYQQKPGQSPKLLIYWASTRHTGVPDRFTGSGSGTDFTLTISSVQAEDLALYYCQHYGSYSFTFGSGTKLEIK"/>
    <b v="1"/>
    <s v="GGGSGGGSGGGSGGGS"/>
    <x v="32"/>
    <n v="240"/>
    <b v="1"/>
    <b v="0"/>
    <b v="0"/>
    <m/>
    <m/>
    <x v="3"/>
  </r>
  <r>
    <x v="33"/>
    <x v="0"/>
    <s v="peleke-mistral-7b-instruct-v0.2"/>
    <n v="0.7"/>
    <s v="base"/>
    <m/>
    <s v="nipah_gpG"/>
    <m/>
    <s v="EVQLVESGGGLVQPGGSLRLSCAASGFNVSYSSIHWVRQAPGKGLEWVASISSYYGYTYYADSVKGRFTISADTSKNTAYLQMNSLRAEDTAVYYCARSRNYVYSSGYLDFWGQGTLVTVSS"/>
    <s v="DIQMTQSPSSLSASVGDRVTITCRASQSVSSAVAWYQQKPGKAPKLLIYSASSLYSGVPSRFSGSRSGTDFTLTISSLQPEDFATYYCQQSSYSSPPTFGQGTKVEIK"/>
    <b v="1"/>
    <s v="GGGSGGGSGGGSGGGS"/>
    <x v="33"/>
    <n v="246"/>
    <b v="1"/>
    <b v="0"/>
    <b v="0"/>
    <m/>
    <m/>
    <x v="3"/>
  </r>
  <r>
    <x v="34"/>
    <x v="0"/>
    <s v="peleke-mistral-7b-instruct-v0.2"/>
    <n v="0.7"/>
    <s v="base"/>
    <m/>
    <s v="nipah_gpG"/>
    <m/>
    <s v="EVQLVESGGGLVQPGGSLRLSCAASGFNIYYSSIHWVRQAPGKGLEWVASISPYYGSTSYADSVKGRFTISADTSKNTAYLQMNSLRAEDTAVYYCARDYGHYYYAMDYWGQGTLVTVSS"/>
    <s v="EIVMTQSPATLSVSPGERATLSCRASQSVSSYLAWYQQKPGQAPRLLIYGASTRATGIPARFSGSGSGTEFTLTISSLQSEDSAVYYCQQYNNWPPITFGQGTRLEIK"/>
    <b v="1"/>
    <s v="GGGSGGGSGGGSGGGS"/>
    <x v="34"/>
    <n v="244"/>
    <b v="1"/>
    <b v="0"/>
    <b v="0"/>
    <m/>
    <m/>
    <x v="3"/>
  </r>
  <r>
    <x v="35"/>
    <x v="0"/>
    <s v="peleke-mistral-7b-instruct-v0.2"/>
    <n v="0.7"/>
    <s v="base"/>
    <m/>
    <s v="nipah_gpG"/>
    <m/>
    <s v="QVQLQESGPGLVKPSETLSLSCVVSGDSSSTNYYWGWIRQPPGKGLEWIGYIYGSGDTAYNPSLKSRVTISVDTSKNQFSLKLSSVTAADTAVYYCARRSWGYGYNGYSTYYYYYYFDQGYFDVWGPGTLVT"/>
    <s v="DIQMTQSPSSLSASVGDRVTITCRASQSIGSYLNWYQQKPGKAPKLLIYAASTLQSGVPSRFSGSGSGTEFTLTISSLQPEDFATYYCQQSYSWGQGTKVEIK"/>
    <b v="1"/>
    <s v="GGGSGGGSGGGS"/>
    <x v="35"/>
    <n v="247"/>
    <b v="1"/>
    <b v="0"/>
    <b v="0"/>
    <m/>
    <m/>
    <x v="3"/>
  </r>
  <r>
    <x v="36"/>
    <x v="0"/>
    <s v="peleke-mistral-7b-instruct-v0.2"/>
    <n v="0.7"/>
    <s v="base"/>
    <m/>
    <s v="nipah_gpG"/>
    <m/>
    <s v="QVQLVQSGAEVKKPGASVKVSCKASGYTFTSYGISWVRQAPGQGLEWMGWISAHNGDTNYAQKFQGRVTMTRDTSITTAYMELRSDDTAVYYCARDGSVGGFYWGQGTLVTVSS"/>
    <s v="EIVLTQSPGTLSLSPGERATLSCRASQSVSSYLAWYQQKPGQAPRLLIYGASSRATGIPDRFSGSGSGTDFTLTISRLEPEDFAVYYCQQYGSSPITFGQGTRLEIK"/>
    <b v="1"/>
    <s v="GGGSGGGSGGGSGGGS"/>
    <x v="36"/>
    <n v="237"/>
    <b v="1"/>
    <b v="0"/>
    <b v="0"/>
    <m/>
    <m/>
    <x v="3"/>
  </r>
  <r>
    <x v="37"/>
    <x v="0"/>
    <s v="peleke-mistral-7b-instruct-v0.2"/>
    <n v="0.7"/>
    <s v="base"/>
    <m/>
    <s v="nipah_gpG"/>
    <m/>
    <s v="EVQLLESGGGLVQPGGSLRLSCAASGFNVSYSSIHWVRQAPGKGLEWVASISPYYGSTSYADSVKGRFTISADTSKNTAYLQMNSLRAEDTAVYYCARSYYWYWSGWGTLVTVSS"/>
    <s v="DIQMTQSPSSLSASVGDRVTITCRASQSVSSAVAWYQQKPGKAPKLLIYSASSLYSGVPSRFSGSRSGTDFTLTISSLQPEDFATYYCQQSYGSPPTFGQGTKVEIK"/>
    <b v="1"/>
    <s v="GGGSGGGSGGGSGGGS"/>
    <x v="37"/>
    <n v="238"/>
    <b v="1"/>
    <b v="0"/>
    <b v="0"/>
    <m/>
    <m/>
    <x v="3"/>
  </r>
  <r>
    <x v="38"/>
    <x v="0"/>
    <s v="peleke-mistral-7b-instruct-v0.2"/>
    <n v="0.7"/>
    <s v="base"/>
    <m/>
    <s v="nipah_gpG"/>
    <m/>
    <s v="QVQLQESGPGLVKPSQTLSLTCTVSGGSISSGHYAWWIRQPPGKGLEWIACIYSSSGSTYYNPSLKSRITISVDTSKNQFSLKLSSVTAADTAVYYCARRQRGYDYDYYYGMDVWGQGTTVTVSS"/>
    <s v="DIQLTQSPSSLSASVGDRVTITCRASQGISRNLAWYQQKPGKAPKLLIYAASSLQSGVPSRFSGSGSGTDFTLTISSLQPEDFATYYCQQSNNWPITFGQGTKVEIK"/>
    <b v="1"/>
    <s v="GGGSGGGSGGGSGGGS"/>
    <x v="38"/>
    <n v="248"/>
    <b v="1"/>
    <b v="0"/>
    <b v="0"/>
    <m/>
    <m/>
    <x v="3"/>
  </r>
  <r>
    <x v="39"/>
    <x v="0"/>
    <s v="peleke-mistral-7b-instruct-v0.2"/>
    <n v="0.7"/>
    <s v="base"/>
    <m/>
    <s v="nipah_gpG"/>
    <m/>
    <s v="EVQLVESGGGLVQPGGSLRLSCAASGFNIYYSSIHWVRQAPGKGLEWVASIYSYYSSTSYADSVKGRFTISADTSKNTAYLQMNSLRAEDTAVYYCARVYGYLSYSYFYWGLDVWGQGTLVTVS"/>
    <s v="DIQMTQSPSSLSASVGDRVTITCRASQSVSSAVAWYQQKPGKAPKLLIYSASSLYSGVPSRFSGSRSGTDFTLTISSLQPEDFATYYCQQYKYVPVTFGQGTKVEI"/>
    <b v="1"/>
    <s v="GGGSGGGSGGGSGGGS"/>
    <x v="39"/>
    <n v="246"/>
    <b v="1"/>
    <b v="0"/>
    <b v="0"/>
    <m/>
    <m/>
    <x v="4"/>
  </r>
  <r>
    <x v="40"/>
    <x v="0"/>
    <s v="peleke-mistral-7b-instruct-v0.2"/>
    <n v="0.7"/>
    <s v="base"/>
    <m/>
    <s v="nipah_gpG"/>
    <m/>
    <s v="EVQLQQSGAELVKPGASVKLSCTASGFNIKDTYVHWVKQRPEQGLEWIGRIDPANGYTKYDPKFQGKATITADTSSNTAYLQLSSLTSEDTAVYYCVRPLYDYYAMDYWGQGTTLTVSS"/>
    <s v="DIVMTQSPSSLAMSAGRVSITCRTSQSISSYLNWVQQKPGKSPKLLIYWASTRESGVPDRFTGSGSGTDFTLTISRVEAEDLGVYYCMQGTHVPYTFGGGTKLEIK"/>
    <b v="1"/>
    <s v="GGGSGGGSGGGSGGGS"/>
    <x v="40"/>
    <n v="241"/>
    <b v="1"/>
    <b v="0"/>
    <b v="0"/>
    <m/>
    <m/>
    <x v="4"/>
  </r>
  <r>
    <x v="41"/>
    <x v="0"/>
    <s v="peleke-mistral-7b-instruct-v0.2"/>
    <n v="0.7"/>
    <s v="base"/>
    <m/>
    <s v="nipah_gpG"/>
    <m/>
    <s v="EVQLVESGGGLVKPGGSLRLSCAASGFTFSSYAMHWVRQAPGKGLEWVSAISGGGGSTYYADSVKGRFTISRDNSKNTLYLQMRAEDTAVYYCAKDDADWGQGTLVTVSS"/>
    <s v="DIQMTQSPSSLSASVGDRVTITCRASQSVSSAVAWYQQKPGKAPKLLIYSASSLYSGVPSRFSGSRSGTDFTLTISSLQPEDFATYYCQQYKYVPFTFGQGTKVEIK"/>
    <b v="1"/>
    <s v="GGGSGGGSGGGSGGGS"/>
    <x v="41"/>
    <n v="233"/>
    <b v="1"/>
    <b v="0"/>
    <b v="0"/>
    <m/>
    <m/>
    <x v="4"/>
  </r>
  <r>
    <x v="42"/>
    <x v="0"/>
    <s v="peleke-mistral-7b-instruct-v0.2"/>
    <n v="0.7"/>
    <s v="base"/>
    <m/>
    <s v="nipah_gpG"/>
    <m/>
    <s v="QVQLQESGPGLVKPSQTLSLTCTVSGGSISSGSYYWIRQSPGKGLEWIGYIYYSGSTNYNPSLKSRVTISVDTSKNQFSLKLSSVTAADTAVYYCARHRYYDRGQGTLVTVSS"/>
    <s v="DIQMTQSPASLSASVGETVTITCRASENIYSNLAWYQQKQGKSPQLLVYAATDLADGVPSRFSGSGSGTQFSLKINSLQPEDFGSYYCQHFWDTPWTFGQGTRVE"/>
    <b v="1"/>
    <s v="GGGSGGGSGGGSGGGS"/>
    <x v="42"/>
    <n v="234"/>
    <b v="1"/>
    <b v="0"/>
    <b v="0"/>
    <m/>
    <m/>
    <x v="4"/>
  </r>
  <r>
    <x v="43"/>
    <x v="0"/>
    <s v="peleke-mistral-7b-instruct-v0.2"/>
    <n v="0.7"/>
    <s v="base"/>
    <m/>
    <s v="nipah_gpG"/>
    <m/>
    <s v="EVQLVESGGGLVQPGGSLRLSCAASGFNLYSSSIHWVRQAPGKGLEWVAYISSSGTHYADSVKGRFTISADTSKNTAYLQMRAEDTAVYYCARVGHYYSSGGYYYAMDYWGQGTLVTVSS"/>
    <s v="DIQMTQSPSSLSASVGDRVTITCRASQSVSSAVAWYQQKPGKAPKLLIYSASSLYSGVPSRFSGSRSGTDFTLTISSLQPEDFATYYCQQYSSYWTFGQGTKVEIK"/>
    <b v="1"/>
    <s v="GGGSGGGSGGGSGGGS"/>
    <x v="43"/>
    <n v="242"/>
    <b v="1"/>
    <b v="0"/>
    <b v="0"/>
    <m/>
    <m/>
    <x v="4"/>
  </r>
  <r>
    <x v="44"/>
    <x v="0"/>
    <s v="peleke-mistral-7b-instruct-v0.2"/>
    <n v="0.7"/>
    <s v="base"/>
    <m/>
    <s v="nipah_gpG"/>
    <m/>
    <s v="EVQLVESGGGLVQPGGSLRLSCAASGFNVVDSGISWVRQAPGKGLEWVSYISSSSGSTYYADSVKGRFTISADTSKNTAYLQMNSLRAEDTAVYYCARAHYYGSYFGSVVYYYGLDVWGQGTLVTVSS"/>
    <s v="DIQMTQSPSSLSASVGDRVTITCRASQSVSSAVAWYQQKPGKAPKLLIYSASSLYSGVPSRFSGSRSGTDFTLTISSLQPEDFATYYCQQYDTYPITFGQGTKVEIK"/>
    <b v="1"/>
    <s v="GGGSGGGSGGGS"/>
    <x v="44"/>
    <n v="247"/>
    <b v="1"/>
    <b v="0"/>
    <b v="0"/>
    <m/>
    <m/>
    <x v="4"/>
  </r>
  <r>
    <x v="45"/>
    <x v="0"/>
    <s v="peleke-mistral-7b-instruct-v0.2"/>
    <n v="0.7"/>
    <s v="base"/>
    <m/>
    <s v="nipah_gpG"/>
    <m/>
    <s v="EVQLVESGGGLVQPGGSLRLSCAASGFNVYSSSIHWVRQAPGKGLEWVASISSYYGYTYYADSVKGRFTISADTSKNTAYLQMNSLRAEDTAVYYCARSYSTYYYGYWYFDVWGQGTLVTVSS"/>
    <s v="DIQMTQSPSSLSAAVGDRVTITCRASQSVSSAVAWYQQKPGKAPKLLIYSASSLYSGVPSRFSGSRSGTDFTLTISSLQPEDFATYYCQQYNYYWLITFGQGTKVEIK"/>
    <b v="1"/>
    <s v="GGGSGGGSGGGSGGGS"/>
    <x v="45"/>
    <n v="247"/>
    <b v="1"/>
    <b v="0"/>
    <b v="0"/>
    <m/>
    <m/>
    <x v="4"/>
  </r>
  <r>
    <x v="46"/>
    <x v="0"/>
    <s v="peleke-mistral-7b-instruct-v0.2"/>
    <n v="0.7"/>
    <s v="base"/>
    <m/>
    <s v="nipah_gpG"/>
    <m/>
    <s v="QVQLQQPGAELVKPGASVKLSCKASGYTFTSDWIHWVKQRPGHGLEWIGEIIPSYGRANYNEKIQKKATLTADKSSSTAFMHLSSLTSEDSAVYYCARERGDGYFAVWGAGTTVTVSS"/>
    <s v="DILLTQSPAILSVSPGERVSFSCRASQSIGTDIHWYQQRTNGSPRLLIKYASESISGIPSRFSGSGSGTDFTLSINSVESEDIANYYCQQSNRWPFTFGSGTKLEIK"/>
    <b v="1"/>
    <s v="GGGSGGGSGGGSGGGS"/>
    <x v="46"/>
    <n v="241"/>
    <b v="1"/>
    <b v="0"/>
    <b v="0"/>
    <m/>
    <m/>
    <x v="4"/>
  </r>
  <r>
    <x v="47"/>
    <x v="0"/>
    <s v="peleke-mistral-7b-instruct-v0.2"/>
    <n v="0.7"/>
    <s v="base"/>
    <m/>
    <s v="nipah_gpG"/>
    <m/>
    <s v="VRLLESGGGLVQPGGSLKLSCAASGFDYSRYWMSWVRQAPGKGLKWIGEINPVSSTINYTPSLKDKFIISRDNAKDTLYLQISKVRSEDTALYYCARLYYGYGYWYFDVWGAGTTVTVSS"/>
    <s v="DIVLTQSPAIMSAAPGDKVTMTCSASSSVSYIHWYQQKSGTSPKRWIYDTSKLTSGVPVRFSGSGSGTSYSLTINTMEAEDAATYYCQQWSSHPQTFGGGTKLEIl"/>
    <b v="1"/>
    <s v="GGGSGGGSGGGSGGGS"/>
    <x v="47"/>
    <n v="242"/>
    <b v="1"/>
    <b v="0"/>
    <b v="0"/>
    <m/>
    <m/>
    <x v="4"/>
  </r>
  <r>
    <x v="48"/>
    <x v="0"/>
    <s v="peleke-mistral-7b-instruct-v0.2"/>
    <n v="0.7"/>
    <s v="base"/>
    <m/>
    <s v="nipah_gpG"/>
    <m/>
    <s v="QVQLQESGPGLVQPSQSLSLTCTVSGFSLTSYGVHWVRQSPGKGLEWLGVIWAGGSTDYNSALKSRLSISRDTSKNQVFLKMNSLQTDDTAMYYCAKHGSSNGDYWGQGTSVTVSS"/>
    <s v="DIVMTQSPDSLAVSLGERATINCKSSQSVLYSSNNKNYLAWYQQKPEGQPPNLLIYWASTRESGVPDRFSGSGSGTDFTLTISSLQAEDVAVYYCQQYYSAPTFGQGTKLEIK"/>
    <b v="1"/>
    <s v="GGGSGGGSGGGSGGGS"/>
    <x v="48"/>
    <n v="245"/>
    <b v="1"/>
    <b v="0"/>
    <b v="0"/>
    <m/>
    <m/>
    <x v="4"/>
  </r>
  <r>
    <x v="49"/>
    <x v="0"/>
    <s v="peleke-phi-4"/>
    <n v="0.2"/>
    <s v="base"/>
    <m/>
    <s v="nipah_gpG_compout"/>
    <m/>
    <s v="QVQLQESGPGLVKPSETLSLTCTVSGGSVSSGGYFWSWIRQPPGKGLEWIGCIYYSGSTNYNPSLKSRVTISVDTSKNQFSLKLSSVTAADTAVYYCARVDSFYYGMDVWGQGTTVTVSS"/>
    <s v="DIQMTQSPSSLSASVGDRVTITCRASQGIRNDLGWYQQKPGKAPKLLIYAASSLQSGVPSRFSGSGSGTDFTLTISSLQPEDFATYYCQQSYSTPRTFGQGTKVEIK"/>
    <b v="1"/>
    <s v="GGGSGGGSGGGSGGGS"/>
    <x v="49"/>
    <n v="243"/>
    <b v="1"/>
    <b v="0"/>
    <b v="0"/>
    <m/>
    <m/>
    <x v="5"/>
  </r>
  <r>
    <x v="50"/>
    <x v="0"/>
    <s v="peleke-phi-4"/>
    <n v="0.2"/>
    <s v="base"/>
    <m/>
    <s v="nipah_gpG_compout"/>
    <m/>
    <s v="EVQLVESGGGLVQPGGSLRLSCAASGFTFSSYAMSWVRQAPGKGLEWVSAISGSGGSTYYADSVKGRFTISRDNSKNTLYLQMNSLRAEDTAVYYCARQVWFGGFDYWGQGTLVTVSS"/>
    <s v="DIQMTQSPSSLSASVGDRVTITCRASQSVSSAVAWYQQKPGKAPKLLIYSASSLYSGVPSRFSGSRSGTDFTLTISSLQPEDFATYYCQQYKYVPVTFGQGTKVEIK"/>
    <b v="1"/>
    <s v="GGGSGGGSGGGSGGGS"/>
    <x v="50"/>
    <n v="241"/>
    <b v="1"/>
    <b v="0"/>
    <b v="0"/>
    <m/>
    <m/>
    <x v="5"/>
  </r>
  <r>
    <x v="51"/>
    <x v="0"/>
    <s v="peleke-phi-4"/>
    <n v="0.2"/>
    <s v="base"/>
    <m/>
    <s v="nipah_gpG_compout"/>
    <m/>
    <s v="EVQLVESGGGLVQPGGSLRLSCAASGFNVSSSYIHWVRQAPGKGLEWVASISSYYGYTYYADSVKGRFTISADTSKNTAYLQMNSLRAEDTAVYYCARSRQFWYSGLDYWGQGTLVTVSS"/>
    <s v="DIQMTQSPSSLSASVGDRVTITCRASQSVSSAVAWYQQKPGKAPKLLIYSASSLYSGVPSRFSGSRSGTDFTLTISSLQPEDFATYYCQQYKYVPVTFGQGTKVEIK"/>
    <b v="1"/>
    <s v="GGGSGGGSGGGSGGGS"/>
    <x v="51"/>
    <n v="243"/>
    <b v="1"/>
    <b v="0"/>
    <b v="0"/>
    <m/>
    <m/>
    <x v="5"/>
  </r>
  <r>
    <x v="52"/>
    <x v="0"/>
    <s v="peleke-phi-4"/>
    <n v="0.2"/>
    <s v="base"/>
    <m/>
    <s v="nipah_gpG_compout"/>
    <m/>
    <s v="EVQLVESGGGLVQPGGSLRLSCAASGFNISSSSIHWVRQAPGKGLEWVASIYSYSGYTSYADSVKGRFTISADTSKNTAYLQMNSLRAEDTAVYYCARGGSSYFGYYAMDYWGQGTLVTVSS"/>
    <s v="DIQMTQSPSSLSASVGDRVTITCRASQSVSSAVAWYQQKPGKAPKLLIYSASSLYSGVPSRFSGSRSGTDFTLTISSLQPEDFATYYCQQYKYVPVTFGQGTKVEIK"/>
    <b v="1"/>
    <s v="GGGSGGGSGGGSGGGS"/>
    <x v="52"/>
    <n v="245"/>
    <b v="1"/>
    <b v="0"/>
    <b v="0"/>
    <m/>
    <m/>
    <x v="6"/>
  </r>
  <r>
    <x v="53"/>
    <x v="0"/>
    <s v="peleke-phi-4"/>
    <n v="0.2"/>
    <s v="base"/>
    <m/>
    <s v="nipah_gpG_compout"/>
    <m/>
    <s v="QVQLVQSGAEVKKPGSSVKVSCKASGGTFSSYSISWVRQAPGQGLEWMGGIIIFGTANYAQKFQGRVTITADESTSTAYMELSSLRSEDTAVYYCARGQGTLVDFYWGQGTLVTVSS"/>
    <s v="DIQMTQSPSSLSASVGDRVTITCRASQSISSYLNWYQQKPGKAPKLLIYAASSLQSGVPSRFSGSGSGTDFTLTISSLQPEDFATYYCQQSYSTPRTFGQGTKVEIK"/>
    <b v="1"/>
    <s v="GGGSGGGSGGGSGGGS"/>
    <x v="53"/>
    <n v="240"/>
    <b v="1"/>
    <b v="0"/>
    <b v="0"/>
    <m/>
    <m/>
    <x v="6"/>
  </r>
  <r>
    <x v="54"/>
    <x v="0"/>
    <s v="peleke-phi-4"/>
    <n v="0.2"/>
    <s v="base"/>
    <m/>
    <s v="nipah_gpG_compout"/>
    <m/>
    <s v="EVQLVESGGGLVQPGGSLRLSCAASGFNVSYYSIHWVRQAPGKGLEWVASIYPYSGYTNYADSVKGRFTISADTSKNTAYLQMNSLRAEDTAVYYCARYYGYGYWGYAMDYWGQGTLVTVSS"/>
    <s v="DIQMTQSPSSLSASVGDRVTITCRASQSVSSAVAWYQQKPGKAPKLLIYSASSLYSGVPSRFSGSRSGTDFTLTISSLQPEDFATYYCQQYKYVPVTFGQGTKVEIK"/>
    <b v="1"/>
    <s v="GGGSGGGSGGGSGGGS"/>
    <x v="54"/>
    <n v="245"/>
    <b v="1"/>
    <b v="0"/>
    <b v="0"/>
    <m/>
    <m/>
    <x v="6"/>
  </r>
  <r>
    <x v="55"/>
    <x v="0"/>
    <s v="peleke-phi-4"/>
    <n v="0.2"/>
    <s v="base"/>
    <m/>
    <s v="nipah_gpG_compout"/>
    <m/>
    <s v="EVQLVESGGGLVQPGGSLRLSCAASGFTFSSYAMSWVRQAPGKGLEWVSAISGSGGSTYYADSVKGRFTISRDNSKNTLYLQMNSLRAEDTAVYYCARGYQVYFDYWGQGTLVTVSS"/>
    <s v="DIQMTQSPSSLSASVGDRVTITCRASQSVSSAVAWYQQKPGKAPKLLIYSASSLYSGVPSRFSGSRSGTDFTLTISSLQPEDFATYYCQQYKYVPVTFGQGTKVEIK"/>
    <b v="1"/>
    <s v="GGGSGGGSGGGSGGGS"/>
    <x v="55"/>
    <n v="240"/>
    <b v="1"/>
    <b v="0"/>
    <b v="0"/>
    <m/>
    <m/>
    <x v="7"/>
  </r>
  <r>
    <x v="56"/>
    <x v="0"/>
    <s v="peleke-phi-4"/>
    <n v="0.2"/>
    <s v="base"/>
    <m/>
    <s v="nipah_gpG_compout"/>
    <m/>
    <s v="EVQLVESGGGLVQPGGSLRLSCAASGFNVSSSYIHWVRQAPGKGLEWVASISSYYGSTYYADSVKGRFTISADTSKNTAYLQMNSLRAEDTAVYYCARGWSYSWSYSWSYSGLDVWGQGTTVTVSS"/>
    <s v="DIQMTQSPSSLSASVGDRVTITCRASQSVSSAVAWYQQKPGKAPKLLIYSASSLYSGVPSRFSGSRSGTDFTLTISSLQPEDFATYYCQQSSSSLITFGQGTKVEIK"/>
    <b v="1"/>
    <s v="GGGSGGGSGGGSGGGS"/>
    <x v="56"/>
    <n v="249"/>
    <b v="1"/>
    <b v="0"/>
    <b v="0"/>
    <m/>
    <m/>
    <x v="7"/>
  </r>
  <r>
    <x v="57"/>
    <x v="0"/>
    <s v="peleke-phi-4"/>
    <n v="0.2"/>
    <s v="base"/>
    <m/>
    <s v="nipah_gpG_compout"/>
    <m/>
    <s v="EVQLVESGGGLVQPGGSLRLSCAASGFNISSSSIHWVRQAPGKGLEWVASIYSYSGYTSYADSVKGRFTISADTSKNTAYLQMNSLRAEDTAVYYCARGWYYGSSYWGQGTLVTVSS"/>
    <s v="DIQMTQSPSSLSASVGDRVTITCRASQSVSSAVAWYQQKPGKAPKLLIYSASSLYSGVPSRFSGSRSGTDFTLTISSLQPEDFATYYCQQYKYVPVTFGQGTKVEIK"/>
    <b v="1"/>
    <s v="GGGSGGGSGGGSGGGS"/>
    <x v="57"/>
    <n v="240"/>
    <b v="1"/>
    <b v="0"/>
    <b v="0"/>
    <m/>
    <m/>
    <x v="8"/>
  </r>
  <r>
    <x v="58"/>
    <x v="0"/>
    <s v="peleke-phi-4"/>
    <n v="0.2"/>
    <s v="base"/>
    <m/>
    <s v="nipah_gpG_compout"/>
    <m/>
    <s v="EVQLVESGGGLVQPGGSLRLSCAASGFNVSSSYIHWVRQAPGKGLEWVASISSYYGYTYYADSVKGRFTISADTSKNTAYLQMNSLRAEDTAVYYCARYYGTYYGSSYWGQGTLVTVSS"/>
    <s v="DIQMTQSPSSLSASVGDRVTITCRASQSVSSAVAWYQQKPGKAPKLLIYSASSLYSGVPSRFSGSRSGTDFTLTISSLQPEDFATYYCQQYKYVPVTFGQGTKVEIK"/>
    <b v="1"/>
    <s v="GGGSGGGSGGGSGGGS"/>
    <x v="58"/>
    <n v="242"/>
    <b v="1"/>
    <b v="0"/>
    <b v="0"/>
    <m/>
    <m/>
    <x v="8"/>
  </r>
  <r>
    <x v="59"/>
    <x v="0"/>
    <s v="peleke-phi-4"/>
    <n v="0.5"/>
    <s v="base"/>
    <m/>
    <s v="nipah_gpG_compout"/>
    <m/>
    <s v="QMQLVQSGAEVKKPGESLKISCKGSGYSFTSYWIGWVRQMPGKGLEWMGIIYPGDSDTRYSPSFQGQVTISADKSISTAYLQWSSLKASDTAIYYCARHYYGGQYFDYWGQGTLVTVSS"/>
    <s v="DIQMTQSPSSLSASVGDRVTITCRASQGIRNDLGWYQQKPGKAPKLLIYAASSLQSGVPSRFSGSGSGTDFTLTISSLQPEDFATYYCQQSYSTPYTFGQGTKLEIK"/>
    <b v="1"/>
    <s v="GGGSGGGSGGGSGGGS"/>
    <x v="59"/>
    <n v="242"/>
    <b v="1"/>
    <b v="0"/>
    <b v="0"/>
    <m/>
    <m/>
    <x v="5"/>
  </r>
  <r>
    <x v="60"/>
    <x v="0"/>
    <s v="peleke-phi-4"/>
    <n v="0.5"/>
    <s v="base"/>
    <m/>
    <s v="nipah_gpG_compout"/>
    <m/>
    <s v="QVQLVQSGAEVKKPGSSVKVSCKASGGTFSSYAISWVRQAPGQGLEWMGGIIPIFGTANYAQKFQGRVTITADESTSTAYMELSSLRSEDTAVYYCARWYDGYFVYWGQGTLVTVSS"/>
    <s v="DIQMTQSPSSLSASVGDRVTITCRASQSISSYLNWYQQKPGKAPKLLIYAASSLQSGVPSRFSGSGSGTDFTLTISSLQPEDFATYYCQQSYSTPYTFGQGTKVEIK"/>
    <b v="1"/>
    <s v="GGGSGGGSGGGSGGGS"/>
    <x v="60"/>
    <n v="240"/>
    <b v="1"/>
    <b v="0"/>
    <b v="0"/>
    <m/>
    <m/>
    <x v="5"/>
  </r>
  <r>
    <x v="61"/>
    <x v="0"/>
    <s v="peleke-phi-4"/>
    <n v="0.5"/>
    <s v="base"/>
    <m/>
    <s v="nipah_gpG_compout"/>
    <m/>
    <s v="EVQLVESGGGLVQPGGSLRLSCAASGFNVSSSSIHWVRQAPGKGLEWVASISSYYGYTYYADSVKGRFTISADTSKNTAYLQMNSLRAEDTAVYYCARSRQFWYSGLDYWGQGTLVTVFN"/>
    <s v="DIQMTQSPSSLSASVGDRVTITCRASQSVSSAVAWYQQKPGKAPKLLIYSASSLYSGVPSRFSGSRSGTDFTLTISSLQPEDFATYYCQQYKYVPVTFGQGTKVEIK"/>
    <b v="1"/>
    <s v="GGGSGGGSGGGSGGGS"/>
    <x v="61"/>
    <n v="243"/>
    <b v="1"/>
    <b v="0"/>
    <b v="0"/>
    <m/>
    <m/>
    <x v="5"/>
  </r>
  <r>
    <x v="62"/>
    <x v="0"/>
    <s v="peleke-phi-4"/>
    <n v="0.5"/>
    <s v="base"/>
    <m/>
    <s v="nipah_gpG_compout"/>
    <m/>
    <s v="EVQLVESGGGLVQPGGSLRLSCAASGFNISSSSIHWVRQAPGKGLEWVASIYSYYGSTYYADSVKGRFTISADTSKNTAYLQMRAEDTAVYYCARGWRSYAMDYWGQGTLVTVSS"/>
    <s v="DIQMTQSPSSLSASVGDRVTITCRASQSVSSAVAWYQQKPGKAPKLLIYSASSLYSGVPSRFSGSRSGTDFTLTISSLQPEDFATYYCQQSSSSLITFGQGTKVEIK"/>
    <b v="1"/>
    <s v="GGGSGGGSGGGSGGGS"/>
    <x v="62"/>
    <n v="238"/>
    <b v="1"/>
    <b v="0"/>
    <b v="0"/>
    <m/>
    <m/>
    <x v="6"/>
  </r>
  <r>
    <x v="63"/>
    <x v="0"/>
    <s v="peleke-phi-4"/>
    <n v="0.5"/>
    <s v="base"/>
    <m/>
    <s v="nipah_gpG_compout"/>
    <m/>
    <s v="QVQLVQSGAEVKKPGSSVKVSCKASGGTFSSYSFIWVRQAPGQGLEWMGGIIPIFGTANYAQKFQGRVTITADESTSTAYMELSSLRSEDTAVYYCARSSYSGVYYSWYFDVWGAGTTVTVSS"/>
    <s v="DIQMTQSPSSLSASVGDRVTITCRASQGISNYLAWYQQKPGKAPKLLIYAASTLQSGVPSRFSGSGSGTDFTLTISSLQPEDFATYYCQQSYSTPRTFGQGTKVEIK"/>
    <b v="1"/>
    <s v="GGGSGGGSGGGSGGGS"/>
    <x v="63"/>
    <n v="246"/>
    <b v="1"/>
    <b v="0"/>
    <b v="0"/>
    <m/>
    <m/>
    <x v="6"/>
  </r>
  <r>
    <x v="64"/>
    <x v="0"/>
    <s v="peleke-phi-4"/>
    <n v="0.5"/>
    <s v="base"/>
    <m/>
    <s v="nipah_gpG_compout"/>
    <m/>
    <s v="EVQLQESGPGLVKPSQTLSLTCTVSGGSISSYAAWSWIRQPPGKGLEWIGYIYSSSGSTNYNPSLKSRVTISVDTSKNQFSLKLSSVTAADTAVYYCARGDYSYSYYGLDYWGQGTLVTVSS"/>
    <s v="DIQMTQSPSSLSASVGDRVTITCRASQGIRNDLGWYQQKPGKAPKLLIYAASNLQSGVPSRFSGSGSGTDFTLTISSLQPEDFATYYCQQSYSTPRYTFGQGTKVEIK"/>
    <b v="1"/>
    <s v="GGGSGGGSGGGSGGGS"/>
    <x v="64"/>
    <n v="246"/>
    <b v="1"/>
    <b v="0"/>
    <b v="0"/>
    <m/>
    <m/>
    <x v="6"/>
  </r>
  <r>
    <x v="65"/>
    <x v="0"/>
    <s v="peleke-phi-4"/>
    <n v="0.5"/>
    <s v="base"/>
    <m/>
    <s v="nipah_gpG_compout"/>
    <m/>
    <s v="EVQLQQSGPELVKPGASVKMSCKASGYTFTSYNIHWVKQTPVHGLEWIGAIVSGGDTNYNENFKDKATLTVDKSSSTAYMQLTSEDSAVYYCARGGFYGDYWGQGTSVTVSS"/>
    <s v="DIVLTQSPATLSVTPGDSVSLSCRASQSVTNNIHWYQQKSHESPRLLIKYASQSISGIPSRFSGSGSGTDFTLSINSVETEDFGMYFCQQSNSWPYTFGGGTKLEIK"/>
    <b v="1"/>
    <s v="GGGSGGGSGGGSGGGS"/>
    <x v="65"/>
    <n v="235"/>
    <b v="1"/>
    <b v="0"/>
    <b v="0"/>
    <m/>
    <m/>
    <x v="7"/>
  </r>
  <r>
    <x v="66"/>
    <x v="0"/>
    <s v="peleke-phi-4"/>
    <n v="0.5"/>
    <s v="base"/>
    <m/>
    <s v="nipah_gpG_compout"/>
    <m/>
    <s v="QVQLQESGPGLVKPSQTLSLTCTVSGGSISSGDYYWIRQHPGKGLEWIGYIYYSGSTYYNPSLKSRVTISVDTSKNQFSLKLSSVTAADTAVYYCARQLWLRGRFDYWGQGTLVTVSS"/>
    <s v="DIQMTQSPSSLSASVGDRVTITCRASQGISSWLAWYQQKPGKAPKLLIYAASTLQSGVPSRFSGSGSGTDFTLTISSLQPEDFATYYCQQSYSTPYTFGQGTKVEIK"/>
    <b v="1"/>
    <s v="GGGSGGGSGGGSGGGS"/>
    <x v="66"/>
    <n v="241"/>
    <b v="1"/>
    <b v="0"/>
    <b v="0"/>
    <m/>
    <m/>
    <x v="7"/>
  </r>
  <r>
    <x v="67"/>
    <x v="0"/>
    <s v="peleke-phi-4"/>
    <n v="0.5"/>
    <s v="base"/>
    <m/>
    <s v="nipah_gpG_compout"/>
    <m/>
    <s v="EVQLVESGGGLVQPGGSLRLSCAASGFTVSSNYMSWVRQAPGKGLEWVSVIYSGGSTYYADSVKGRFTISRDNSKNTLYLQMNSLRAEDTAVYYCAREAGVWVFDYWGQGTLVTVSS"/>
    <s v="DIQMTQSPSSLSASVGDRVTITCRASQSVSSAVAWYQQKPGKAPKLLIYSASSLYSGVPSRFSGSRSGTDFTLTISSLQPEDFATYYCQQYKYVPVTFGQGTKVEIK"/>
    <b v="1"/>
    <s v="GGGSGGGSGGGSGGGS"/>
    <x v="67"/>
    <n v="240"/>
    <b v="1"/>
    <b v="0"/>
    <b v="0"/>
    <m/>
    <m/>
    <x v="8"/>
  </r>
  <r>
    <x v="68"/>
    <x v="0"/>
    <s v="peleke-phi-4"/>
    <n v="0.5"/>
    <s v="base"/>
    <m/>
    <s v="nipah_gpG_compout"/>
    <m/>
    <s v="EVQLVESGGGLVQPGGSLRLSCAASGFNLYSSSIHWVRQAPGKGLEWVASISSYYGSTYYADSVKGRFTISADTSKNTAYLQMNSLRAEDTAVYYCARSRQFWLWFGQGTLVTVSS"/>
    <s v="DIQMTQSPSSLSASVGDRVTITCRASQSVSSAVAWYQQKPGKAPKLLIYSASSLYSGVPSRFSGSRSGTDFTLTISSLQPEDFATYYCQQYKYVPVTFGQGTKVEIK"/>
    <b v="1"/>
    <s v="GGGSGGGSGGGSGGGS"/>
    <x v="68"/>
    <n v="239"/>
    <b v="1"/>
    <b v="0"/>
    <b v="0"/>
    <m/>
    <m/>
    <x v="8"/>
  </r>
  <r>
    <x v="69"/>
    <x v="0"/>
    <s v="peleke-phi-4"/>
    <n v="0.7"/>
    <s v="base"/>
    <m/>
    <s v="nipah_gpG_compout"/>
    <m/>
    <s v="VQLVQSGAEVKKPGASVKVSCKASGYTFTTYTISWVRQAPGQGLEWMGWINNSGGTNYAQKFQGRVTMTRDTSTSTVSAYMELRSEDTAVYYCATFVYGYSAYQPLTDDYGQMDVWGQGTTVTVSS"/>
    <s v="DIQMTQSPSSLSASVGDRVTITCRASQSISSYLNWFQQKPGKAPKLLIYAASSLQSGVPSRFSGSGSGTDFTLTISSLQPEDFATYYCQQSLLYPLTFGGGTKVEIK"/>
    <b v="1"/>
    <s v="GGGSGGGSGGGSGGGS"/>
    <x v="69"/>
    <n v="249"/>
    <b v="1"/>
    <b v="0"/>
    <b v="0"/>
    <m/>
    <m/>
    <x v="5"/>
  </r>
  <r>
    <x v="70"/>
    <x v="0"/>
    <s v="peleke-phi-4"/>
    <n v="0.7"/>
    <s v="base"/>
    <m/>
    <s v="nipah_gpG_compout"/>
    <m/>
    <s v="EVQLVESGGGLVQPGGSLRLSCAASGFNISSSSIHWVRQAPGKGLEWVASIYSSSGSTYYADSVKGRFTISADTSKNTAYLQMNSLRAEDTAVYYCARHRWWAHPYWGQGTLVTVSS"/>
    <s v="DIQMTQSPSSLSASVGDRVTITCRASQSVSSAVAWYQQKPGKAPKLLIYSASSLYSGVPSRFSGSRSGTDFTLTISSLQPEDFATYYCQQSYYITPYTFGQGTKVEIK"/>
    <b v="1"/>
    <s v="GGGSGGGSGGGSGGGS"/>
    <x v="70"/>
    <n v="241"/>
    <b v="1"/>
    <b v="0"/>
    <b v="0"/>
    <m/>
    <m/>
    <x v="5"/>
  </r>
  <r>
    <x v="71"/>
    <x v="0"/>
    <s v="peleke-phi-4"/>
    <n v="0.7"/>
    <s v="base"/>
    <m/>
    <s v="nipah_gpG_compout"/>
    <m/>
    <s v="EVQLVESGGGVVQPGRSLRLSCAASGFTFSSYAMHWVRQAPGKGLEWVAVIWYDGSNKYYADSVKGRFTISRDNSKNTLFLQMNSLRPEDTAVYYCARDTPMYYDVWGQGTTVTVSS"/>
    <s v="DIQLTQSPSSLSASVGDRVTITCRTSQDIDNYLNWYQQKPGKAPKLLIYYTSSLHSGVPSRFSGSGSGTDFTFTISSLQPEDIATYYCQQYDNLPITFGQGTKLEIK"/>
    <b v="1"/>
    <s v="GGGSGGGSGGGSGGGS"/>
    <x v="71"/>
    <n v="240"/>
    <b v="1"/>
    <b v="0"/>
    <b v="0"/>
    <m/>
    <m/>
    <x v="5"/>
  </r>
  <r>
    <x v="72"/>
    <x v="0"/>
    <s v="peleke-phi-4"/>
    <n v="0.7"/>
    <s v="base"/>
    <m/>
    <s v="nipah_gpG_compout"/>
    <m/>
    <s v="EVQLVESGGGLVQPGGSLRLSCAASGFTFSNYAMSWVRQAPGKGLEWVSAISGSGGSTYYADSVKGRFTISRDNSKNTLYLQMNSLRAEDTAVYYCARLSPYNGSMDYWGQGTLVTVSS"/>
    <s v="VTQPASVSGSPGQSITISCTGTSSDIGAYNYVSWYQQHPGKAPKLMIYEVSKRPSGVSNRFSGSKSGNTASLTISGLQTEDEADYYCSSYTRSGSVVFGGGTKLTVL"/>
    <b v="1"/>
    <s v="GGGSGGGSGGGSGGGS"/>
    <x v="72"/>
    <n v="242"/>
    <b v="1"/>
    <b v="0"/>
    <b v="0"/>
    <m/>
    <m/>
    <x v="6"/>
  </r>
  <r>
    <x v="73"/>
    <x v="0"/>
    <s v="peleke-phi-4"/>
    <n v="0.7"/>
    <s v="base"/>
    <m/>
    <s v="nipah_gpG_compout"/>
    <m/>
    <s v="QVQLVQSGAEVKKPGSSVKVSCKASGGTFSSYTISWVRQAPGQGLEWMGGIIPILGIANYAQKFQGRVTITADKSTSTAYMELSSLRSEDTAVYYCARGDSSYVDSWDYWGQGTLVTVS"/>
    <s v="EIVLTQSPGTLSLSPGERATLSCRASQSVSSSYLAWYQQKPGQAPRLLIYGASSRATGIPDRFSGSGSGTDFTLTISRLEPEDFAVYYCQQYGSSPWTFGQGTKVEIK"/>
    <b v="1"/>
    <s v="GGGSGGGSGGGSGGGS"/>
    <x v="73"/>
    <n v="243"/>
    <b v="1"/>
    <b v="0"/>
    <b v="0"/>
    <m/>
    <m/>
    <x v="6"/>
  </r>
  <r>
    <x v="74"/>
    <x v="0"/>
    <s v="peleke-phi-4"/>
    <n v="0.7"/>
    <s v="base"/>
    <m/>
    <s v="nipah_gpG_compout"/>
    <m/>
    <s v="QVQLVESGGGVVQPGRSLRLSCAASGFTFSNYGMHWVRQAPGKGLEWVAVISDGSNKYYADSVKGRFTISRDNSKNTLYLQMRAEDTAVYYCARGSHSSRDYWGQGTLVTVSS"/>
    <s v="DIQMTQSPSSLSASVGDRVTITCRASQSISSYLNWYQQKPGKAPKLLIYAASSLQSGVPSRFSGSGSGTDFTLTISSLQPEDFATYYCQQSYSTPPYTFGQGTKVEIK"/>
    <b v="1"/>
    <s v="GGGSGGGSGGGSGGGS"/>
    <x v="74"/>
    <n v="237"/>
    <b v="1"/>
    <b v="0"/>
    <b v="0"/>
    <m/>
    <m/>
    <x v="6"/>
  </r>
  <r>
    <x v="75"/>
    <x v="0"/>
    <s v="peleke-phi-4"/>
    <n v="0.7"/>
    <s v="base"/>
    <m/>
    <s v="nipah_gpG_compout"/>
    <m/>
    <s v="VQLVQSGAEVKRPGSSVKVSCKTSGGTIFSTYVFWVRQAPGQGLEWMGGFPPKAGYIYAQKFQGRVTFTADESSSTTVYMEDLRSEDTAVYFCARFPYFVYDVWGQGTTVTVSS"/>
    <s v="DIQMTQSPSSLSASVGDRVTITCRASQSIGGYLAWYQQKPGKVPKLLIYAASSLQSGVPSRFSGSGSGTDFTLTISSLQPEDFATYYCQQSYSTPRTFGQGTKVEIK"/>
    <b v="1"/>
    <s v="GGGSGGGSGGGSGGGS"/>
    <x v="75"/>
    <n v="237"/>
    <b v="1"/>
    <b v="0"/>
    <b v="0"/>
    <m/>
    <m/>
    <x v="7"/>
  </r>
  <r>
    <x v="76"/>
    <x v="0"/>
    <s v="peleke-phi-4"/>
    <n v="0.7"/>
    <s v="base"/>
    <m/>
    <s v="nipah_gpG_compout"/>
    <m/>
    <s v="VQLQESGPGLVKPSQSLSLTCTVTGFSIDYNIYWGWIRQPPGKGLEWIGYIYSGSDTYNPSLKSRVTISVDTSKNQFSLKVNSVTAADTAVYYCARVVDLWYDDGKYASCVKGAIDYWGQGTLVTVSS"/>
    <s v="SVLTQPPSVSGAPGQRVTISCTGSSGAGYDVHWYQQLPGTAPKLLIYGNSNRPSGVPDRFSGSKSGTSASLAITGLQAEDEADYYCQSYDSSLSGWVFGGGTKLTVL"/>
    <b v="1"/>
    <s v="GGGSGGGSGGGS"/>
    <x v="76"/>
    <n v="247"/>
    <b v="1"/>
    <b v="0"/>
    <b v="0"/>
    <m/>
    <m/>
    <x v="7"/>
  </r>
  <r>
    <x v="77"/>
    <x v="0"/>
    <s v="peleke-phi-4"/>
    <n v="0.7"/>
    <s v="base"/>
    <m/>
    <s v="nipah_gpG_compout"/>
    <m/>
    <s v="EVQLVESGGGLVQPGGSLRLSCAASGFNVVDFSLHWVRQAPGKGLEWVASIYPYDGSAYYADSVKGRFTISADTSKNTAYLQMNSLRAEDTAVYYCARWGYWPGEGWLGKYWGQGTLVTVS"/>
    <s v="DIQMTQSPSSLSASVGDRVTITCRASQSVSSAVAWYQQKPGKAPKLLIYSASSLYSGVPSRFSGSRSGTDFTLTISSLQPEDFATYYCQQYKYVPVTFGQGTKVEI"/>
    <b v="1"/>
    <s v="GGGSGGGSGGGSGGGS"/>
    <x v="77"/>
    <n v="243"/>
    <b v="1"/>
    <b v="0"/>
    <b v="0"/>
    <m/>
    <m/>
    <x v="8"/>
  </r>
  <r>
    <x v="78"/>
    <x v="0"/>
    <s v="peleke-phi-4"/>
    <n v="0.7"/>
    <s v="base"/>
    <m/>
    <s v="nipah_gpG_compout"/>
    <m/>
    <s v="EVQLVESGGGLVQPGGSLRLSCAASGFNISSSSIHWVRQAPGKGLEWVASISSSYGSTYYADSVKGRFTISADTSKNTAYLQMNSLRAEDTAVYYCARWEGYRGDLWGQGTLVTVSS"/>
    <s v="DIQMTQSPSSLSASVGDRVTITCRASQSVSSAVAWYQQKPGKAPKLLIYSASSLYSGVPSRFSGSRSGTDFTLTISSLQPEDFATYYCQQYYEWLRTFGQGTKVEIK"/>
    <b v="1"/>
    <s v="GGGSGGGSGGGSGGGS"/>
    <x v="78"/>
    <n v="240"/>
    <b v="1"/>
    <b v="0"/>
    <b v="0"/>
    <m/>
    <m/>
    <x v="8"/>
  </r>
  <r>
    <x v="79"/>
    <x v="0"/>
    <s v="peleke-phi-4"/>
    <n v="0.2"/>
    <s v="derivative"/>
    <s v="sbio-nipahgpg-052"/>
    <s v="nipah_gpG_compout"/>
    <n v="3"/>
    <s v="QVQLQESGPGLVKPSQTLSLTCTVSGGSVSSGSYYWSWIRQPPGKGLEWIGYIYYSGSTNYNPSLKSRVTISVDTSKNQFSLKLSSVTAADTAVYYCARVDSFYYGMDVWGQGTTVTVSS"/>
    <s v="DIQMTQSPSSLSASVGDRVTITCRASSGSSYDNGWYQQKPGKAPKLLIYAASSLQSGVPSRFSGSGSGTDFTLTISSLQPEDFATYYLQDSNYTPRTFGQGTKVEIK"/>
    <b v="1"/>
    <s v="GGGSGGGSGGGSGGGS"/>
    <x v="79"/>
    <n v="243"/>
    <b v="1"/>
    <b v="0"/>
    <b v="0"/>
    <m/>
    <m/>
    <x v="5"/>
  </r>
  <r>
    <x v="80"/>
    <x v="0"/>
    <s v="peleke-phi-4"/>
    <n v="0.5"/>
    <s v="derivative"/>
    <s v="sbio-nipahgpg-063"/>
    <s v="nipah_gpG_compout"/>
    <n v="3"/>
    <s v="QVQLVQSGAEVKKPGSSVKVSCKASGGTFSSYTISWVRQAPGQGLEWMGRIIPIFGTANYAQKFQGRVTITADKSTSTAYMELSSLRSEDTAVYYCARYYDSYFDYWGQGTLVTVSS"/>
    <s v="DIQMTQSPSSLSASVGDRVTITCRASQGISSWLAWYQQKPGKAPKLLIYAASSLQSGVPSRFSGSGSGTDFTLTISSLQPEDFATYYCQCGNSFPWTFGGGTKLEIK"/>
    <b v="1"/>
    <s v="GGGSGGGSGGGSGGGS"/>
    <x v="80"/>
    <n v="240"/>
    <b v="1"/>
    <b v="0"/>
    <b v="0"/>
    <m/>
    <m/>
    <x v="6"/>
  </r>
  <r>
    <x v="81"/>
    <x v="1"/>
    <s v="GPT-4o"/>
    <n v="0.7"/>
    <s v="base"/>
    <m/>
    <s v="nipah_gpG_compout"/>
    <m/>
    <s v="DVQLQESGPGLVKPSQTLSLTCTVSGYSITSDYYWNWIRQFPGNKLEWMGYISYDGSSNYNPSLKNRISITRDNSKNQFFLQLNSVTTEDTATYYCARSCSRRGYAMDYWGQGTSVTVSS"/>
    <s v="QIVLTQSPAIMSASLGEKVTLTCSASSSVSYMHWYQQKPGTSPKLLIYSCNLLSGVPDRFSGSGSGTDFTLSISNVETEDAATYYCYQYRIRFGGGTKLTVLQ"/>
    <b v="1"/>
    <s v="GGGSGGGSGGGSGGGS"/>
    <x v="81"/>
    <n v="239"/>
    <b v="1"/>
    <b v="0"/>
    <b v="0"/>
    <m/>
    <m/>
    <x v="7"/>
  </r>
  <r>
    <x v="82"/>
    <x v="1"/>
    <s v="GPT-4o"/>
    <n v="0.1"/>
    <s v="base"/>
    <m/>
    <s v="nipah_gpG_compout"/>
    <m/>
    <s v="EVQLVESGGGLVQPGGSLRLSCAASGFTFSSYAMSWVRQAPGKGLEWVSSISRSGGSTYYADSVKGRFTISRDNAKNSLYLQMNSLRAEDTAVYYCARSCSSRGYFDYWGQGTLVTVSS"/>
    <s v="DIVMTQSPDSLAVSLGERATINCRASQSVSSYLAWYQQKPGQSPKLLIYSCNLQSGVPDRFSGSGSGTDFTLTISSLQPEDFATYYCQPYIRFGGGGTKLEIK"/>
    <b v="1"/>
    <s v="GGGSGGGSGGGSGGGS"/>
    <x v="82"/>
    <n v="238"/>
    <b v="1"/>
    <b v="0"/>
    <b v="0"/>
    <m/>
    <m/>
    <x v="7"/>
  </r>
  <r>
    <x v="83"/>
    <x v="1"/>
    <s v="GPT-4o"/>
    <n v="0.9"/>
    <s v="base"/>
    <m/>
    <s v="nipah_gpG_compout"/>
    <m/>
    <s v="QVQLQESGPGLVKPSQTLSLTCTVSGFSFSSYAMSWVRQAPGKGLEWVSSISRSGGSTYYADSVKGRFTISRDNAKNSLYLQMNSLRAEDTAVYYCARSCSSRGYLFDYWGQGTLVTVSS"/>
    <s v="DIVMTQSPDSLAVSLGERATINCRASQSVSSYLAWYQQKPGQSPKLLIYSCNLQSGVPDRFSGSGSGTDFTLTISSLQPEDFATYYCQPYIRFGGGGTKLEIK"/>
    <b v="1"/>
    <s v="GGGSGGGSGGGSGGGS"/>
    <x v="83"/>
    <n v="239"/>
    <b v="1"/>
    <b v="0"/>
    <b v="0"/>
    <m/>
    <m/>
    <x v="7"/>
  </r>
  <r>
    <x v="84"/>
    <x v="4"/>
    <s v="GPT-4o /  v_48_030"/>
    <n v="0.2"/>
    <s v="derivative"/>
    <s v="sbio-nipahgpg-084"/>
    <s v="nipah_gpG_compout"/>
    <m/>
    <s v="SIKLTESGPTSVAPGSTLNLTCTVTGDNITSSGWYWWVKQAPDNKLTWIGGIDKNGNTWLNVAYIDRATLTRDPAANTVYLSIRNVTSSDTATYYCAKSSDDNGSYLDVWGQGLKVTVSG"/>
    <s v="QVKLTQSPKEVTAKIGDTVTLTCTASQPVSTVSWYMQKPGQPPQLLISNNKLVEGVPERFSASGSGTEFTLTIKDVQKEDEAIYYCEVNGQVFGQGTKLTVLE"/>
    <b v="1"/>
    <s v="GGGSGGGSGGGSGGGS"/>
    <x v="84"/>
    <n v="239"/>
    <b v="1"/>
    <b v="0"/>
    <b v="0"/>
    <m/>
    <m/>
    <x v="7"/>
  </r>
  <r>
    <x v="85"/>
    <x v="5"/>
    <m/>
    <m/>
    <m/>
    <m/>
    <m/>
    <m/>
    <m/>
    <m/>
    <m/>
    <m/>
    <x v="85"/>
    <m/>
    <m/>
    <m/>
    <m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5D55CA-26D1-4FA2-9199-54D547F2C103}" name="PivotTable1" cacheId="14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showHeaders="0" compact="0" compactData="0" multipleFieldFilters="0">
  <location ref="A4:C13" firstHeaderRow="0" firstDataRow="0" firstDataCol="3" rowPageCount="1" colPageCount="1"/>
  <pivotFields count="20">
    <pivotField axis="axisRow" compact="0" outline="0" showAll="0" defaultSubtotal="0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</items>
    </pivotField>
    <pivotField axis="axisRow" compact="0" outline="0" showAll="0" defaultSubtotal="0">
      <items count="6">
        <item x="1"/>
        <item x="0"/>
        <item x="2"/>
        <item x="3"/>
        <item x="5"/>
        <item x="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86">
        <item x="19"/>
        <item x="15"/>
        <item x="23"/>
        <item x="7"/>
        <item x="28"/>
        <item x="6"/>
        <item x="11"/>
        <item x="17"/>
        <item x="4"/>
        <item x="3"/>
        <item x="10"/>
        <item x="12"/>
        <item x="22"/>
        <item x="9"/>
        <item x="18"/>
        <item x="13"/>
        <item x="2"/>
        <item x="1"/>
        <item x="5"/>
        <item x="0"/>
        <item x="14"/>
        <item x="20"/>
        <item x="16"/>
        <item x="8"/>
        <item x="27"/>
        <item x="24"/>
        <item x="26"/>
        <item x="21"/>
        <item x="25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85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11">
        <item x="8"/>
        <item x="0"/>
        <item x="1"/>
        <item x="2"/>
        <item x="3"/>
        <item x="4"/>
        <item x="5"/>
        <item m="1" x="10"/>
        <item x="6"/>
        <item m="1" x="9"/>
        <item x="7"/>
      </items>
    </pivotField>
  </pivotFields>
  <rowFields count="3">
    <field x="0"/>
    <field x="1"/>
    <field x="12"/>
  </rowFields>
  <rowItems count="10">
    <i>
      <x v="56"/>
      <x v="1"/>
      <x v="56"/>
    </i>
    <i>
      <x v="57"/>
      <x v="1"/>
      <x v="57"/>
    </i>
    <i>
      <x v="66"/>
      <x v="1"/>
      <x v="66"/>
    </i>
    <i>
      <x v="67"/>
      <x v="1"/>
      <x v="67"/>
    </i>
    <i>
      <x v="76"/>
      <x v="1"/>
      <x v="76"/>
    </i>
    <i>
      <x v="77"/>
      <x v="1"/>
      <x v="77"/>
    </i>
    <i>
      <x v="82"/>
      <x/>
      <x v="82"/>
    </i>
    <i>
      <x v="83"/>
      <x/>
      <x v="83"/>
    </i>
    <i>
      <x v="84"/>
      <x/>
      <x v="84"/>
    </i>
    <i>
      <x v="85"/>
      <x v="5"/>
      <x v="85"/>
    </i>
  </rowItems>
  <colItems count="1">
    <i/>
  </colItems>
  <pageFields count="1">
    <pageField fld="19" item="1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16"/>
  <sheetViews>
    <sheetView tabSelected="1" zoomScaleNormal="100" workbookViewId="0">
      <pane xSplit="1" ySplit="1" topLeftCell="B108" activePane="bottomRight" state="frozen"/>
      <selection pane="topRight" activeCell="B1" sqref="B1"/>
      <selection pane="bottomLeft" activeCell="A2" sqref="A2"/>
      <selection pane="bottomRight" activeCell="F116" sqref="F116"/>
    </sheetView>
  </sheetViews>
  <sheetFormatPr defaultColWidth="9.140625" defaultRowHeight="15" x14ac:dyDescent="0.25"/>
  <cols>
    <col min="1" max="1" width="17.85546875" style="1" customWidth="1"/>
    <col min="2" max="2" width="22.42578125" style="1" bestFit="1" customWidth="1"/>
    <col min="3" max="3" width="14.7109375" style="2" customWidth="1"/>
    <col min="4" max="4" width="11.7109375" style="4" customWidth="1"/>
    <col min="5" max="5" width="11.7109375" style="1" customWidth="1"/>
    <col min="6" max="6" width="18.42578125" style="1" bestFit="1" customWidth="1"/>
    <col min="7" max="7" width="19.42578125" style="1" bestFit="1" customWidth="1"/>
    <col min="8" max="8" width="8.7109375" style="1" bestFit="1" customWidth="1"/>
    <col min="9" max="9" width="54" style="2" customWidth="1"/>
    <col min="10" max="10" width="46.42578125" style="2" customWidth="1"/>
    <col min="11" max="11" width="16" style="1" customWidth="1"/>
    <col min="12" max="12" width="12" style="2" customWidth="1"/>
    <col min="13" max="13" width="71.28515625" style="2" customWidth="1"/>
    <col min="14" max="14" width="17.42578125" style="4" bestFit="1" customWidth="1"/>
    <col min="15" max="15" width="17.42578125" style="1" customWidth="1"/>
    <col min="16" max="16" width="19.85546875" style="1" bestFit="1" customWidth="1"/>
    <col min="17" max="17" width="27.85546875" style="1" bestFit="1" customWidth="1"/>
    <col min="18" max="19" width="12" style="4" bestFit="1" customWidth="1"/>
    <col min="20" max="20" width="23.7109375" style="4" bestFit="1" customWidth="1"/>
    <col min="21" max="21" width="22.42578125" style="2" bestFit="1" customWidth="1"/>
    <col min="22" max="22" width="22.42578125" style="4" bestFit="1" customWidth="1"/>
    <col min="23" max="16384" width="9.140625" style="1"/>
  </cols>
  <sheetData>
    <row r="1" spans="1:22" s="3" customFormat="1" x14ac:dyDescent="0.25">
      <c r="A1" s="3" t="s">
        <v>9</v>
      </c>
      <c r="B1" s="3" t="s">
        <v>10</v>
      </c>
      <c r="C1" s="5" t="s">
        <v>11</v>
      </c>
      <c r="D1" s="3" t="s">
        <v>12</v>
      </c>
      <c r="E1" s="3" t="s">
        <v>41</v>
      </c>
      <c r="F1" s="3" t="s">
        <v>50</v>
      </c>
      <c r="G1" s="3" t="s">
        <v>0</v>
      </c>
      <c r="H1" s="3" t="s">
        <v>97</v>
      </c>
      <c r="I1" s="5" t="s">
        <v>13</v>
      </c>
      <c r="J1" s="5" t="s">
        <v>14</v>
      </c>
      <c r="K1" s="3" t="s">
        <v>40</v>
      </c>
      <c r="L1" s="5" t="s">
        <v>124</v>
      </c>
      <c r="M1" s="5" t="s">
        <v>15</v>
      </c>
      <c r="N1" s="3" t="s">
        <v>16</v>
      </c>
      <c r="O1" s="3" t="s">
        <v>99</v>
      </c>
      <c r="P1" s="3" t="s">
        <v>96</v>
      </c>
      <c r="Q1" s="3" t="s">
        <v>131</v>
      </c>
      <c r="R1" s="3" t="s">
        <v>133</v>
      </c>
      <c r="S1" s="3" t="s">
        <v>132</v>
      </c>
      <c r="T1" s="3" t="s">
        <v>98</v>
      </c>
      <c r="U1" s="3" t="s">
        <v>194</v>
      </c>
      <c r="V1" s="7" t="s">
        <v>195</v>
      </c>
    </row>
    <row r="2" spans="1:22" ht="75" x14ac:dyDescent="0.25">
      <c r="A2" s="1" t="s">
        <v>17</v>
      </c>
      <c r="B2" s="1" t="s">
        <v>18</v>
      </c>
      <c r="C2" s="2" t="s">
        <v>19</v>
      </c>
      <c r="D2" s="4">
        <v>0.7</v>
      </c>
      <c r="E2" s="1" t="s">
        <v>42</v>
      </c>
      <c r="G2" s="1" t="s">
        <v>4</v>
      </c>
      <c r="I2" s="2" t="s">
        <v>20</v>
      </c>
      <c r="J2" s="2" t="s">
        <v>21</v>
      </c>
      <c r="K2" s="1" t="b">
        <f>TRUE()</f>
        <v>1</v>
      </c>
      <c r="L2" s="2" t="s">
        <v>125</v>
      </c>
      <c r="M2" s="2" t="str">
        <f>_xlfn.CONCAT(I2,L2,J2)</f>
        <v>QVQLVESGGGVVQPGRSLRLSCAASGFTFSSYGMHWVRQAPGKGLEWVAVISYDGSKKYYADSVKGRFTISRDNSKNTLYLQMNSLRAEDTAVYYCARSPFYDSSGYYAMDYWGQGTLVTVSSGGGSGGGSGGGSGGGSDIQLTQSPSSLSASVGDRVTITCRASQGISSYLAWYQQKPGKAPKLLIYAASTLQSGVPSRFSGSGSGTDFTLTISSLQPEDFATYYCQQANSFPPTFGQGTKVEIK</v>
      </c>
      <c r="N2" s="4">
        <f>LEN(M2)</f>
        <v>246</v>
      </c>
      <c r="O2" s="1" t="b">
        <f>IF(N2&lt;=250,TRUE,FALSE)</f>
        <v>1</v>
      </c>
      <c r="P2" s="1" t="b">
        <f>TRUE()</f>
        <v>1</v>
      </c>
      <c r="Q2" s="1" t="b">
        <f>TRUE()</f>
        <v>1</v>
      </c>
      <c r="R2" s="4">
        <v>0.25843100000000002</v>
      </c>
      <c r="S2" s="4">
        <v>0.33503300000000003</v>
      </c>
      <c r="T2" s="10">
        <v>45968</v>
      </c>
      <c r="U2" s="2" t="s">
        <v>215</v>
      </c>
      <c r="V2" s="4">
        <v>0.01</v>
      </c>
    </row>
    <row r="3" spans="1:22" ht="60" x14ac:dyDescent="0.25">
      <c r="A3" s="1" t="s">
        <v>22</v>
      </c>
      <c r="B3" s="1" t="s">
        <v>18</v>
      </c>
      <c r="C3" s="2" t="s">
        <v>19</v>
      </c>
      <c r="D3" s="4">
        <v>0.7</v>
      </c>
      <c r="E3" s="1" t="s">
        <v>42</v>
      </c>
      <c r="G3" s="1" t="s">
        <v>4</v>
      </c>
      <c r="I3" s="2" t="s">
        <v>23</v>
      </c>
      <c r="J3" s="2" t="s">
        <v>24</v>
      </c>
      <c r="K3" s="1" t="b">
        <f>TRUE()</f>
        <v>1</v>
      </c>
      <c r="L3" s="2" t="s">
        <v>125</v>
      </c>
      <c r="M3" s="2" t="str">
        <f t="shared" ref="M3:M66" si="0">_xlfn.CONCAT(I3,L3,J3)</f>
        <v>QVQLVESGGGVVQPGKSLRLSCAASGFTFSSYAMSWVRQAPGKGPEWVAFISYDGSNNYYADSVKGRFTISRDNPKNTLYLQMKSLRAEDTAVYYCARWRQRFDMYWGRGTLVTVSSGGGSGGGSGGGSGGGSDIQMTQSPSSLSASVGDRVTITCRASQSISSYLNWYQQKPGKAPKLLIYAASSLQSGVPSRFSGSGSGTDFTLTISSLQPEDFATYYCQQSYSTPYTFGQGTKVEIK</v>
      </c>
      <c r="N3" s="4">
        <f>LEN(M3)</f>
        <v>240</v>
      </c>
      <c r="O3" s="1" t="b">
        <f t="shared" ref="O3:O66" si="1">IF(N3&lt;=250,TRUE,FALSE)</f>
        <v>1</v>
      </c>
      <c r="P3" s="1" t="b">
        <f>TRUE()</f>
        <v>1</v>
      </c>
      <c r="Q3" s="1" t="b">
        <f>TRUE()</f>
        <v>1</v>
      </c>
      <c r="R3" s="4">
        <v>0</v>
      </c>
      <c r="S3" s="4">
        <v>5.4939999999999998E-3</v>
      </c>
      <c r="T3" s="10">
        <v>45969</v>
      </c>
      <c r="U3" s="2" t="s">
        <v>205</v>
      </c>
      <c r="V3" s="4">
        <v>0.01</v>
      </c>
    </row>
    <row r="4" spans="1:22" ht="60" x14ac:dyDescent="0.25">
      <c r="A4" s="1" t="s">
        <v>25</v>
      </c>
      <c r="B4" s="1" t="s">
        <v>18</v>
      </c>
      <c r="C4" s="2" t="s">
        <v>19</v>
      </c>
      <c r="D4" s="4">
        <v>0.9</v>
      </c>
      <c r="E4" s="1" t="s">
        <v>42</v>
      </c>
      <c r="G4" s="1" t="s">
        <v>4</v>
      </c>
      <c r="I4" s="2" t="s">
        <v>26</v>
      </c>
      <c r="J4" s="2" t="s">
        <v>27</v>
      </c>
      <c r="K4" s="1" t="b">
        <f>TRUE()</f>
        <v>1</v>
      </c>
      <c r="L4" s="2" t="s">
        <v>125</v>
      </c>
      <c r="M4" s="2" t="str">
        <f t="shared" si="0"/>
        <v>QVQLQESGPGLVKPSETLSLTCTVSGASIRGYYWSWIRQFPGKELEWIGYVYSGSTENYNPSLKSRVTVTLTDTKNSFSLKLNSVTSEDTAVYYCARGGALIYYDVWGTGTTVTVSSGGGSGGGSGGGSGGGSDIQVTQSPVSLSASVGDRVTITCRASQGIDSLNWFQQRPGKAPKLLIYAASQLTGIAPRFRSGSGSGTDFTLTISSLQPEDFATYYCQQYNIYPATFGQGTKVEIK</v>
      </c>
      <c r="N4" s="4">
        <f>LEN(M4)</f>
        <v>239</v>
      </c>
      <c r="O4" s="1" t="b">
        <f t="shared" si="1"/>
        <v>1</v>
      </c>
      <c r="P4" s="1" t="b">
        <f>TRUE()</f>
        <v>1</v>
      </c>
      <c r="Q4" s="1" t="b">
        <f>TRUE()</f>
        <v>1</v>
      </c>
      <c r="R4" s="4">
        <v>0</v>
      </c>
      <c r="S4" s="4">
        <v>0</v>
      </c>
      <c r="T4" s="10">
        <v>45969</v>
      </c>
      <c r="U4" s="2" t="s">
        <v>208</v>
      </c>
      <c r="V4" s="4">
        <v>0.01</v>
      </c>
    </row>
    <row r="5" spans="1:22" ht="60" x14ac:dyDescent="0.25">
      <c r="A5" s="1" t="s">
        <v>28</v>
      </c>
      <c r="B5" s="1" t="s">
        <v>18</v>
      </c>
      <c r="C5" s="2" t="s">
        <v>19</v>
      </c>
      <c r="D5" s="4">
        <v>0.9</v>
      </c>
      <c r="E5" s="1" t="s">
        <v>42</v>
      </c>
      <c r="G5" s="1" t="s">
        <v>4</v>
      </c>
      <c r="I5" s="2" t="s">
        <v>29</v>
      </c>
      <c r="J5" s="2" t="s">
        <v>30</v>
      </c>
      <c r="K5" s="1" t="b">
        <f>TRUE()</f>
        <v>1</v>
      </c>
      <c r="L5" s="2" t="s">
        <v>125</v>
      </c>
      <c r="M5" s="2" t="str">
        <f t="shared" si="0"/>
        <v>EVQLVQSGAEVKKPGESLKISCKGSGYTFSYYWIGWVRQMPGKGLEWMGIIYPGDSDTRYSPSFQGQVTISADKSISTAYLQWSSLKASDTAMYYCARGEGVFDYWGQGTLVTVSSGGGSGGGSGGGSGGGSYTLTQAPSVSASGQSVTISCTGTSRDVGTYWYQQIPGRAPKLLIHDKSENQGKTPGIPDRFSGSKSGNTASLVIIRGLQADDEADYYCNSYHGSGSNIFGGGTKLTVD</v>
      </c>
      <c r="N5" s="4">
        <f>LEN(M5)</f>
        <v>240</v>
      </c>
      <c r="O5" s="1" t="b">
        <f t="shared" si="1"/>
        <v>1</v>
      </c>
      <c r="P5" s="1" t="b">
        <f>TRUE()</f>
        <v>1</v>
      </c>
      <c r="Q5" s="1" t="b">
        <f>TRUE()</f>
        <v>1</v>
      </c>
      <c r="R5" s="4">
        <v>5.2389999999999997E-3</v>
      </c>
      <c r="S5" s="4">
        <v>8.0114000000000005E-2</v>
      </c>
      <c r="T5" s="10">
        <v>45969</v>
      </c>
      <c r="U5" s="2" t="s">
        <v>206</v>
      </c>
      <c r="V5" s="4">
        <v>0.01</v>
      </c>
    </row>
    <row r="6" spans="1:22" ht="60" x14ac:dyDescent="0.25">
      <c r="A6" s="1" t="s">
        <v>31</v>
      </c>
      <c r="B6" s="1" t="s">
        <v>18</v>
      </c>
      <c r="C6" s="2" t="s">
        <v>19</v>
      </c>
      <c r="D6" s="4">
        <v>0.5</v>
      </c>
      <c r="E6" s="1" t="s">
        <v>42</v>
      </c>
      <c r="G6" s="1" t="s">
        <v>4</v>
      </c>
      <c r="I6" s="2" t="s">
        <v>32</v>
      </c>
      <c r="J6" s="2" t="s">
        <v>33</v>
      </c>
      <c r="K6" s="1" t="b">
        <f>TRUE()</f>
        <v>1</v>
      </c>
      <c r="L6" s="2" t="s">
        <v>125</v>
      </c>
      <c r="M6" s="2" t="str">
        <f t="shared" si="0"/>
        <v>EVQLVESGGGLVQPGGSLRLSCAASGFTFSSYWMNWVRQAPGKGLEWVANINQDGGEKYYVDSVKGRFTISRDNAKNSLYLQMNSLRAEDTAIYYCARDVGGGMDVWGQGTTVTVSSGGGSGGGSGGGSGGGSQMTQSPSSLSASVGDRVTITCRASQSVSSAVAWYQQKPGKAPKLLIYSASSLYSGVPSRFSGSRSGTDFTLTISSLQPEDFATYYCQQSSSSLITFGQGTKVEIK</v>
      </c>
      <c r="N6" s="4">
        <f>LEN(M6)</f>
        <v>238</v>
      </c>
      <c r="O6" s="1" t="b">
        <f t="shared" si="1"/>
        <v>1</v>
      </c>
      <c r="P6" s="1" t="b">
        <f>TRUE()</f>
        <v>1</v>
      </c>
      <c r="Q6" s="1" t="b">
        <f>TRUE()</f>
        <v>1</v>
      </c>
      <c r="R6" s="4">
        <v>0</v>
      </c>
      <c r="S6" s="4">
        <v>5.3489999999999996E-3</v>
      </c>
      <c r="T6" s="10">
        <v>45969</v>
      </c>
      <c r="U6" s="2" t="s">
        <v>207</v>
      </c>
      <c r="V6" s="4">
        <v>0.23</v>
      </c>
    </row>
    <row r="7" spans="1:22" ht="75" x14ac:dyDescent="0.25">
      <c r="A7" s="1" t="s">
        <v>37</v>
      </c>
      <c r="B7" s="1" t="s">
        <v>35</v>
      </c>
      <c r="C7" s="2" t="s">
        <v>36</v>
      </c>
      <c r="E7" s="1" t="s">
        <v>42</v>
      </c>
      <c r="G7" s="1" t="s">
        <v>4</v>
      </c>
      <c r="I7" s="2" t="s">
        <v>38</v>
      </c>
      <c r="J7" s="2" t="s">
        <v>39</v>
      </c>
      <c r="K7" s="1" t="b">
        <v>1</v>
      </c>
      <c r="L7" s="2" t="s">
        <v>125</v>
      </c>
      <c r="M7" s="2" t="str">
        <f t="shared" si="0"/>
        <v>QVQLVESGGGVVQPGRSLRLSCAASGFTFSSYAMSWVRQAPGKGLEWVSAIWSNGGSTYYADSVKGRFTISRDNAKNSLYLQMNSLRAEDTAVYYCARDYGSYGYFDYWGQGTLVTVSSGGGSGGGSGGGSGGGSDIVMTQSPLSLPVTPGEPASISCRSSQSLLYSNGNTYLEWYLQKPGQSPQLLIYLVSKLDSGVPDRFSGSGSGTDFTLKISRVEAEDLGIYYCQQSKEVPYTFGAGTKLEIK</v>
      </c>
      <c r="N7" s="4">
        <f t="shared" ref="N7:N70" si="2">LEN(M7)</f>
        <v>247</v>
      </c>
      <c r="O7" s="1" t="b">
        <f t="shared" si="1"/>
        <v>1</v>
      </c>
      <c r="P7" s="1" t="b">
        <f>TRUE()</f>
        <v>1</v>
      </c>
      <c r="Q7" s="1" t="b">
        <f>TRUE()</f>
        <v>1</v>
      </c>
      <c r="R7" s="4">
        <v>0</v>
      </c>
      <c r="S7" s="4">
        <v>1.302E-2</v>
      </c>
      <c r="T7" s="10">
        <v>45969</v>
      </c>
      <c r="U7" s="2" t="s">
        <v>211</v>
      </c>
      <c r="V7" s="4">
        <v>0.39</v>
      </c>
    </row>
    <row r="8" spans="1:22" ht="75" x14ac:dyDescent="0.25">
      <c r="A8" s="1" t="s">
        <v>43</v>
      </c>
      <c r="B8" s="1" t="s">
        <v>51</v>
      </c>
      <c r="C8" s="2" t="s">
        <v>52</v>
      </c>
      <c r="D8" s="4">
        <v>0.1</v>
      </c>
      <c r="E8" s="1" t="s">
        <v>49</v>
      </c>
      <c r="F8" s="1" t="s">
        <v>17</v>
      </c>
      <c r="G8" s="1" t="s">
        <v>4</v>
      </c>
      <c r="H8" s="1">
        <v>1</v>
      </c>
      <c r="I8" s="2" t="s">
        <v>54</v>
      </c>
      <c r="J8" s="2" t="s">
        <v>55</v>
      </c>
      <c r="K8" s="1" t="b">
        <v>1</v>
      </c>
      <c r="L8" s="2" t="s">
        <v>125</v>
      </c>
      <c r="M8" s="2" t="str">
        <f t="shared" si="0"/>
        <v>AVSLVESGGGTVKPGESVTLSCQASGFNFSKYQWVWVRQAPGKGLEWVGQISPDGSKTRYHPSVAGRFTISRDNSNSTLYLHMSNLRPEDTAVYYCGIIPQDNVHGDYSISHWGQGTLLTVSAGGGSGGGSGGGSGGGSAIKLTQSPKSLSASVGDTVTINCTASRPIGDLLSWYKQKPGKPPQLLIYRSSTLASGVSSRYSGSGSDTNFTLTISSLQSSDFATYYCRQTSRFPITFGEGTTINKK</v>
      </c>
      <c r="N8" s="4">
        <f t="shared" si="2"/>
        <v>246</v>
      </c>
      <c r="O8" s="1" t="b">
        <f t="shared" si="1"/>
        <v>1</v>
      </c>
      <c r="P8" s="1" t="b">
        <f>TRUE()</f>
        <v>1</v>
      </c>
      <c r="Q8" s="1" t="b">
        <f>TRUE()</f>
        <v>1</v>
      </c>
      <c r="R8" s="4">
        <v>5.2820000000000002E-3</v>
      </c>
      <c r="S8" s="4">
        <v>8.6638999999999994E-2</v>
      </c>
      <c r="T8" s="10">
        <v>45968</v>
      </c>
      <c r="U8" s="2" t="s">
        <v>216</v>
      </c>
      <c r="V8" s="4">
        <v>0.09</v>
      </c>
    </row>
    <row r="9" spans="1:22" ht="75" x14ac:dyDescent="0.25">
      <c r="A9" s="1" t="s">
        <v>44</v>
      </c>
      <c r="B9" s="1" t="s">
        <v>51</v>
      </c>
      <c r="C9" s="2" t="s">
        <v>52</v>
      </c>
      <c r="D9" s="4">
        <v>0.1</v>
      </c>
      <c r="E9" s="1" t="s">
        <v>49</v>
      </c>
      <c r="F9" s="1" t="s">
        <v>17</v>
      </c>
      <c r="G9" s="1" t="s">
        <v>4</v>
      </c>
      <c r="H9" s="1">
        <v>1</v>
      </c>
      <c r="I9" s="2" t="s">
        <v>56</v>
      </c>
      <c r="J9" s="2" t="s">
        <v>57</v>
      </c>
      <c r="K9" s="1" t="b">
        <v>1</v>
      </c>
      <c r="L9" s="2" t="s">
        <v>125</v>
      </c>
      <c r="M9" s="2" t="str">
        <f t="shared" si="0"/>
        <v>AVSITESGGGTKAPGSSVTLSCKVSGFVFSKYSIAWVRQAPGQGLEWVSQISPDGSTTRYNPAVAGRFTISRDNSNSTAYLQMSNLTPSDTATYYCAIIPQDNEHGDYSLSHWGQGTQLTVSAGGGSGGGSGGGSGGGSAIKLTQSPKSLSAKVGDTVTINCTASAPIGDFLSWYKQKPGQPPQLLIYKSSTLAPGVSSRYSGSGSDTNFTLTISSLQEEDFATYYCQQTATLPITFGEGTTINKK</v>
      </c>
      <c r="N9" s="4">
        <f t="shared" si="2"/>
        <v>246</v>
      </c>
      <c r="O9" s="1" t="b">
        <f t="shared" si="1"/>
        <v>1</v>
      </c>
      <c r="P9" s="1" t="b">
        <f>TRUE()</f>
        <v>1</v>
      </c>
      <c r="Q9" s="1" t="b">
        <f>TRUE()</f>
        <v>1</v>
      </c>
      <c r="R9" s="4">
        <v>0</v>
      </c>
      <c r="S9" s="4">
        <v>0</v>
      </c>
      <c r="T9" s="10">
        <v>45969</v>
      </c>
      <c r="U9" s="2" t="s">
        <v>209</v>
      </c>
      <c r="V9" s="4">
        <v>0.11</v>
      </c>
    </row>
    <row r="10" spans="1:22" ht="75" x14ac:dyDescent="0.25">
      <c r="A10" s="1" t="s">
        <v>45</v>
      </c>
      <c r="B10" s="1" t="s">
        <v>51</v>
      </c>
      <c r="C10" s="2" t="s">
        <v>52</v>
      </c>
      <c r="D10" s="4">
        <v>0.1</v>
      </c>
      <c r="E10" s="1" t="s">
        <v>49</v>
      </c>
      <c r="F10" s="1" t="s">
        <v>17</v>
      </c>
      <c r="G10" s="1" t="s">
        <v>4</v>
      </c>
      <c r="H10" s="1">
        <v>1</v>
      </c>
      <c r="I10" s="2" t="s">
        <v>58</v>
      </c>
      <c r="J10" s="2" t="s">
        <v>59</v>
      </c>
      <c r="K10" s="1" t="b">
        <v>1</v>
      </c>
      <c r="L10" s="2" t="s">
        <v>125</v>
      </c>
      <c r="M10" s="2" t="str">
        <f t="shared" si="0"/>
        <v>SISLVESGGGTVAPGSSVTLSCQASGFNFSKYSKAWVRQPPGQPLEWVSRISPDGSTKYYHPDVAGRFTISKDNSKSTVYLAMSNLTAADTATYYCGIIPGDNTHGDYAMSHWGQGTLLTVSAGGGSGGGSGGGSGGGSAITLTQSPSSLSASVGDTVTISCTASRPIGDKLSWYKQKPGQPPQLLIYNASTLAPGVSSRYSGSGSDTSFTLTISSLQEDDFATYYCQQTYTLPITFGQGTTISKK</v>
      </c>
      <c r="N10" s="4">
        <f t="shared" si="2"/>
        <v>246</v>
      </c>
      <c r="O10" s="1" t="b">
        <f t="shared" si="1"/>
        <v>1</v>
      </c>
      <c r="P10" s="1" t="b">
        <f>TRUE()</f>
        <v>1</v>
      </c>
      <c r="Q10" s="1" t="b">
        <f>TRUE()</f>
        <v>1</v>
      </c>
      <c r="R10" s="4">
        <v>0.116301</v>
      </c>
      <c r="S10" s="4">
        <v>0.18454400000000001</v>
      </c>
      <c r="T10" s="10">
        <v>45968</v>
      </c>
      <c r="U10" s="2" t="s">
        <v>218</v>
      </c>
      <c r="V10" s="4">
        <v>0</v>
      </c>
    </row>
    <row r="11" spans="1:22" ht="75" x14ac:dyDescent="0.25">
      <c r="A11" s="1" t="s">
        <v>46</v>
      </c>
      <c r="B11" s="1" t="s">
        <v>51</v>
      </c>
      <c r="C11" s="2" t="s">
        <v>52</v>
      </c>
      <c r="D11" s="4">
        <v>0.1</v>
      </c>
      <c r="E11" s="1" t="s">
        <v>49</v>
      </c>
      <c r="F11" s="1" t="s">
        <v>17</v>
      </c>
      <c r="G11" s="1" t="s">
        <v>4</v>
      </c>
      <c r="H11" s="1">
        <v>1</v>
      </c>
      <c r="I11" s="2" t="s">
        <v>62</v>
      </c>
      <c r="J11" s="2" t="s">
        <v>63</v>
      </c>
      <c r="K11" s="1" t="b">
        <v>1</v>
      </c>
      <c r="L11" s="2" t="s">
        <v>125</v>
      </c>
      <c r="M11" s="2" t="str">
        <f t="shared" si="0"/>
        <v>GVSLTESGGGTVAPGSSVTLSCKASGFNFSKYSHAWVRQAPGQGLTWVGEISPDGSKTRYASSVAGRFTISRDNSNSTVYLQMSSLTPSDTATYYCGIIPGDSVHGERSMSHWGQGTLLTVSAGGGSGGGSGGGSGGGSAITLTQSPSSLSASVGDTVTLNCTASRPIGDRLSWYKQKPGQAPQLLIYRASTLAPGVSSRYSGSGSDTQFTLTISSLQSDDFATYYCQQTSSYPVTFGQGTTITKK</v>
      </c>
      <c r="N11" s="4">
        <f t="shared" si="2"/>
        <v>246</v>
      </c>
      <c r="O11" s="1" t="b">
        <f t="shared" si="1"/>
        <v>1</v>
      </c>
      <c r="P11" s="1" t="b">
        <f>TRUE()</f>
        <v>1</v>
      </c>
      <c r="Q11" s="1" t="b">
        <f>TRUE()</f>
        <v>1</v>
      </c>
      <c r="R11" s="4">
        <v>0</v>
      </c>
      <c r="S11" s="4">
        <v>4.8060000000000004E-3</v>
      </c>
      <c r="T11" s="10">
        <v>45968</v>
      </c>
      <c r="U11" s="2" t="s">
        <v>217</v>
      </c>
      <c r="V11" s="4">
        <v>0.26</v>
      </c>
    </row>
    <row r="12" spans="1:22" ht="75" x14ac:dyDescent="0.25">
      <c r="A12" s="1" t="s">
        <v>47</v>
      </c>
      <c r="B12" s="1" t="s">
        <v>51</v>
      </c>
      <c r="C12" s="2" t="s">
        <v>52</v>
      </c>
      <c r="D12" s="4">
        <v>0.1</v>
      </c>
      <c r="E12" s="1" t="s">
        <v>49</v>
      </c>
      <c r="F12" s="1" t="s">
        <v>17</v>
      </c>
      <c r="G12" s="1" t="s">
        <v>4</v>
      </c>
      <c r="H12" s="1">
        <v>1</v>
      </c>
      <c r="I12" s="2" t="s">
        <v>64</v>
      </c>
      <c r="J12" s="2" t="s">
        <v>65</v>
      </c>
      <c r="K12" s="1" t="b">
        <v>1</v>
      </c>
      <c r="L12" s="2" t="s">
        <v>125</v>
      </c>
      <c r="M12" s="2" t="str">
        <f t="shared" si="0"/>
        <v xml:space="preserve">EVSLVESGGGTVKPGESVTLSCQASGFNFSKYRLAWVRQPPGQGLVWVSEISPDGTEVKYHPDVKGRFTASRDNSNSTAYLKMNNLQPSDTATYYCGIIPQDSSHGDYSISHWGQGTQLTVSAGGGSGGGSGGGSGGGSTITLTQSPSSLSASVGDTVTINCTASRPIGDFLSWYKQKPGQPPQLLIYRSSTLASGVSSRYSGSGSDTNFTLTISSLQSDDFATYYCQQTYTLPITFGQGTTLTKK </v>
      </c>
      <c r="N12" s="4">
        <f t="shared" si="2"/>
        <v>247</v>
      </c>
      <c r="O12" s="1" t="b">
        <f t="shared" si="1"/>
        <v>1</v>
      </c>
      <c r="P12" s="1" t="b">
        <f>TRUE()</f>
        <v>1</v>
      </c>
      <c r="Q12" s="1" t="b">
        <f>TRUE()</f>
        <v>1</v>
      </c>
      <c r="T12" s="10">
        <v>45969</v>
      </c>
      <c r="U12" s="2" t="s">
        <v>210</v>
      </c>
      <c r="V12" s="4">
        <v>0</v>
      </c>
    </row>
    <row r="13" spans="1:22" ht="75" x14ac:dyDescent="0.25">
      <c r="A13" s="1" t="s">
        <v>48</v>
      </c>
      <c r="B13" s="1" t="s">
        <v>51</v>
      </c>
      <c r="C13" s="2" t="s">
        <v>52</v>
      </c>
      <c r="D13" s="4">
        <v>0.1</v>
      </c>
      <c r="E13" s="1" t="s">
        <v>49</v>
      </c>
      <c r="F13" s="1" t="s">
        <v>17</v>
      </c>
      <c r="G13" s="1" t="s">
        <v>4</v>
      </c>
      <c r="H13" s="1">
        <v>1</v>
      </c>
      <c r="I13" s="2" t="s">
        <v>66</v>
      </c>
      <c r="J13" s="2" t="s">
        <v>67</v>
      </c>
      <c r="K13" s="1" t="b">
        <v>1</v>
      </c>
      <c r="L13" s="2" t="s">
        <v>125</v>
      </c>
      <c r="M13" s="2" t="str">
        <f t="shared" si="0"/>
        <v>AVSLVESGGGTYAPGSSVTLSCQGSGFNFSKVRKVWVRQPPGGPLEYVAEISPDGSTTTYASSVAGRFTISKDNSNSTLYLSMSNLTPADTATYYCGLIPGDSEHGDRSISHWGQGTLVTVSAGGGSGGGSGGGSGGGSAITLTQSPSSLSASVGDTVTINCTASQPIGNFLSWYKQKPGQPPQLLIYNASTLAPGVSSRYSGSGSDTNFTLTISSLQSEDFATYYCQQTSRLPVTFGQGTTINKK</v>
      </c>
      <c r="N13" s="4">
        <f t="shared" si="2"/>
        <v>246</v>
      </c>
      <c r="O13" s="1" t="b">
        <f t="shared" si="1"/>
        <v>1</v>
      </c>
      <c r="P13" s="1" t="b">
        <f>TRUE()</f>
        <v>1</v>
      </c>
      <c r="Q13" s="1" t="b">
        <f>TRUE()</f>
        <v>1</v>
      </c>
      <c r="R13" s="4">
        <v>0</v>
      </c>
      <c r="S13" s="4">
        <v>0</v>
      </c>
      <c r="T13" s="10">
        <v>45969</v>
      </c>
      <c r="U13" s="2" t="s">
        <v>212</v>
      </c>
      <c r="V13" s="4">
        <v>0</v>
      </c>
    </row>
    <row r="14" spans="1:22" ht="75" x14ac:dyDescent="0.25">
      <c r="A14" s="1" t="s">
        <v>53</v>
      </c>
      <c r="B14" s="1" t="s">
        <v>51</v>
      </c>
      <c r="C14" s="2" t="s">
        <v>52</v>
      </c>
      <c r="D14" s="4">
        <v>0.1</v>
      </c>
      <c r="E14" s="1" t="s">
        <v>49</v>
      </c>
      <c r="F14" s="1" t="s">
        <v>17</v>
      </c>
      <c r="G14" s="1" t="s">
        <v>4</v>
      </c>
      <c r="H14" s="1">
        <v>1</v>
      </c>
      <c r="I14" s="2" t="s">
        <v>60</v>
      </c>
      <c r="J14" s="2" t="s">
        <v>61</v>
      </c>
      <c r="K14" s="1" t="b">
        <v>1</v>
      </c>
      <c r="L14" s="2" t="s">
        <v>125</v>
      </c>
      <c r="M14" s="2" t="str">
        <f t="shared" si="0"/>
        <v>GISLVESGGGTVKPGESVTLSCKASGFVFSKYSHAWVRQPPGGPLEWVSQISSDGSVTRYASSVSGRFTISRDNSNSTVYLQMNNLRPSDTATYYCGIIPQDNVHGDYAISHWGQGTLLTVTAGGGSGGGSGGGSGGGSAITLTQSPASLSAKVGDTVTLSCTASRPIGDLLSWYKQKPGQPPQLLIYRASTLAPGVDSRYSGSGSDTSFTLTISSLQPEDFATYYCQQTSRFPITFGQGTTIKQA</v>
      </c>
      <c r="N14" s="4">
        <f t="shared" si="2"/>
        <v>246</v>
      </c>
      <c r="O14" s="1" t="b">
        <f t="shared" si="1"/>
        <v>1</v>
      </c>
      <c r="P14" s="1" t="b">
        <f>TRUE()</f>
        <v>1</v>
      </c>
      <c r="Q14" s="1" t="b">
        <f>TRUE()</f>
        <v>1</v>
      </c>
      <c r="R14" s="4">
        <v>5.7704999999999999E-2</v>
      </c>
      <c r="S14" s="4">
        <v>0.165157</v>
      </c>
      <c r="T14" s="10">
        <v>45968</v>
      </c>
      <c r="U14" s="2" t="s">
        <v>219</v>
      </c>
      <c r="V14" s="4">
        <v>0.08</v>
      </c>
    </row>
    <row r="15" spans="1:22" ht="75" x14ac:dyDescent="0.25">
      <c r="A15" s="1" t="s">
        <v>69</v>
      </c>
      <c r="B15" s="1" t="s">
        <v>51</v>
      </c>
      <c r="C15" s="2" t="s">
        <v>68</v>
      </c>
      <c r="D15" s="4">
        <v>0.15</v>
      </c>
      <c r="E15" s="1" t="s">
        <v>49</v>
      </c>
      <c r="F15" s="1" t="s">
        <v>17</v>
      </c>
      <c r="G15" s="1" t="s">
        <v>4</v>
      </c>
      <c r="H15" s="1">
        <v>1</v>
      </c>
      <c r="I15" s="2" t="s">
        <v>77</v>
      </c>
      <c r="J15" s="2" t="s">
        <v>78</v>
      </c>
      <c r="K15" s="1" t="b">
        <v>1</v>
      </c>
      <c r="L15" s="2" t="s">
        <v>125</v>
      </c>
      <c r="M15" s="2" t="str">
        <f t="shared" si="0"/>
        <v xml:space="preserve">PVSLVESGGGTVAPGSSVTLTCQASGFNFSKYIVAWVRQPPGQPLRFVAMITPDGSKVWLHPEVEGRFTPSKDNSKNTSYLQLKDLQPEDTATYYCGIIPQGSTHGDYSITHWGQGVVLTVTAGGGSGGGSGGGSGGGSMVTLTQSPSSLSASVGDTVTITCTASSPVDNLMSWYQQPPGQPLRLLIYNASTRAPGVSSRFSGSGSDTNFTLTISSLQASDFATYYCQQTYRLPVTFGQGTTLSAA </v>
      </c>
      <c r="N15" s="4">
        <f t="shared" si="2"/>
        <v>247</v>
      </c>
      <c r="O15" s="1" t="b">
        <f t="shared" si="1"/>
        <v>1</v>
      </c>
      <c r="P15" s="1" t="b">
        <f>TRUE()</f>
        <v>1</v>
      </c>
      <c r="Q15" s="1" t="b">
        <f>TRUE()</f>
        <v>1</v>
      </c>
      <c r="T15" s="10">
        <v>45969</v>
      </c>
      <c r="U15" s="2" t="s">
        <v>213</v>
      </c>
      <c r="V15" s="4">
        <v>0.01</v>
      </c>
    </row>
    <row r="16" spans="1:22" ht="75" x14ac:dyDescent="0.25">
      <c r="A16" s="1" t="s">
        <v>70</v>
      </c>
      <c r="B16" s="1" t="s">
        <v>51</v>
      </c>
      <c r="C16" s="2" t="s">
        <v>68</v>
      </c>
      <c r="D16" s="4">
        <v>0.15</v>
      </c>
      <c r="E16" s="1" t="s">
        <v>49</v>
      </c>
      <c r="F16" s="1" t="s">
        <v>17</v>
      </c>
      <c r="G16" s="1" t="s">
        <v>4</v>
      </c>
      <c r="H16" s="1">
        <v>1</v>
      </c>
      <c r="I16" s="2" t="s">
        <v>79</v>
      </c>
      <c r="J16" s="2" t="s">
        <v>80</v>
      </c>
      <c r="K16" s="1" t="b">
        <v>1</v>
      </c>
      <c r="L16" s="2" t="s">
        <v>125</v>
      </c>
      <c r="M16" s="2" t="str">
        <f t="shared" si="0"/>
        <v>SIKLTESGGGTVKPGSSVTLSCQASGFNFSKYEVVWVMQKPGQPLQWVGSISPDGSKVRLHPKVKGRFTLSKDNSKNTAYLTMKNLQPEDTATYYCGIIPGGSVHGDRSITHWGQGVELKVVAGGGSGGGSGGGSGGGSMIKLTQSPKSVKAKVGDTVTITCTASEPVDDLVSWYQQKPGQPLRLLIYRSSTLAPGVSSRFSGSGSDTNFTLTISSLQEEDFATYYCMQTSKYPYTFGQGTTLSRA</v>
      </c>
      <c r="N16" s="4">
        <f t="shared" si="2"/>
        <v>246</v>
      </c>
      <c r="O16" s="1" t="b">
        <f t="shared" si="1"/>
        <v>1</v>
      </c>
      <c r="P16" s="1" t="b">
        <f>TRUE()</f>
        <v>1</v>
      </c>
      <c r="Q16" s="1" t="b">
        <f>TRUE()</f>
        <v>1</v>
      </c>
      <c r="R16" s="4">
        <v>0.15156800000000001</v>
      </c>
      <c r="S16" s="4">
        <v>0.23256399999999999</v>
      </c>
      <c r="T16" s="10">
        <v>45968</v>
      </c>
      <c r="U16" s="2" t="s">
        <v>222</v>
      </c>
      <c r="V16" s="4">
        <v>0.13</v>
      </c>
    </row>
    <row r="17" spans="1:22" ht="75" x14ac:dyDescent="0.25">
      <c r="A17" s="1" t="s">
        <v>71</v>
      </c>
      <c r="B17" s="1" t="s">
        <v>51</v>
      </c>
      <c r="C17" s="2" t="s">
        <v>68</v>
      </c>
      <c r="D17" s="4">
        <v>0.15</v>
      </c>
      <c r="E17" s="1" t="s">
        <v>49</v>
      </c>
      <c r="F17" s="1" t="s">
        <v>17</v>
      </c>
      <c r="G17" s="1" t="s">
        <v>4</v>
      </c>
      <c r="H17" s="1">
        <v>1</v>
      </c>
      <c r="I17" s="2" t="s">
        <v>81</v>
      </c>
      <c r="J17" s="2" t="s">
        <v>82</v>
      </c>
      <c r="K17" s="1" t="b">
        <v>1</v>
      </c>
      <c r="L17" s="2" t="s">
        <v>125</v>
      </c>
      <c r="M17" s="2" t="str">
        <f t="shared" si="0"/>
        <v>AITLTESGGGVVAPGSSVTLTCTASGFNFSKYSMVWVRQPPGGPLQWVAQISPDNSTVRYHPAVEGRFTASKDNSKNTAYLAMSDLEPSDTATYYCGIIPQGSTHNDYSIVHWGQGTELRVVAGGGSGGGSGGGSGGGSMIKLTQSPSSLSAKVGDKVTITCTASSPVDNLVSWYKQPPGGPLQLLIYNSSTRAPGVSSRFKGSGSDTNFTLTIESLQEEDFATYYCQQTYKFPITFGQGTKLTRA</v>
      </c>
      <c r="N17" s="4">
        <f t="shared" si="2"/>
        <v>246</v>
      </c>
      <c r="O17" s="1" t="b">
        <f t="shared" si="1"/>
        <v>1</v>
      </c>
      <c r="P17" s="1" t="b">
        <f>TRUE()</f>
        <v>1</v>
      </c>
      <c r="Q17" s="1" t="b">
        <f>TRUE()</f>
        <v>1</v>
      </c>
      <c r="R17" s="4">
        <v>0</v>
      </c>
      <c r="S17" s="4">
        <v>0</v>
      </c>
      <c r="T17" s="10">
        <v>45969</v>
      </c>
      <c r="U17" s="2" t="s">
        <v>214</v>
      </c>
      <c r="V17" s="4">
        <v>0</v>
      </c>
    </row>
    <row r="18" spans="1:22" ht="75" x14ac:dyDescent="0.25">
      <c r="A18" s="1" t="s">
        <v>72</v>
      </c>
      <c r="B18" s="1" t="s">
        <v>51</v>
      </c>
      <c r="C18" s="2" t="s">
        <v>68</v>
      </c>
      <c r="D18" s="4">
        <v>0.15</v>
      </c>
      <c r="E18" s="1" t="s">
        <v>49</v>
      </c>
      <c r="F18" s="1" t="s">
        <v>17</v>
      </c>
      <c r="G18" s="1" t="s">
        <v>4</v>
      </c>
      <c r="H18" s="1">
        <v>1</v>
      </c>
      <c r="I18" s="2" t="s">
        <v>83</v>
      </c>
      <c r="J18" s="2" t="s">
        <v>84</v>
      </c>
      <c r="K18" s="1" t="b">
        <v>1</v>
      </c>
      <c r="L18" s="2" t="s">
        <v>125</v>
      </c>
      <c r="M18" s="2" t="str">
        <f t="shared" si="0"/>
        <v>SISLTESGGGTVAPGSSVTLTCTASGFNFSKYSVAWVRQPPGQPLQWVALISPDGSKKWYHPDVKGRATISKDNSKNTSYLTLSNLQPSDTATYYCGIIPGGNIHGDYSMTHWGQGTQLTVVAGGGSGGGSGGGSGGGSMITLTQSPLSLSAKVGDTVTITCTASSPVDDLVSWYQQKPGQPLRLLIRNASERAPGVSSRFSGSGSDTTFTLTISSVQEEDFATYYCQQTSKLPYTFGQGTTLSRA</v>
      </c>
      <c r="N18" s="4">
        <f t="shared" si="2"/>
        <v>246</v>
      </c>
      <c r="O18" s="1" t="b">
        <f t="shared" si="1"/>
        <v>1</v>
      </c>
      <c r="P18" s="1" t="b">
        <f>TRUE()</f>
        <v>1</v>
      </c>
      <c r="Q18" s="1" t="b">
        <f>TRUE()</f>
        <v>1</v>
      </c>
      <c r="R18" s="4">
        <v>0</v>
      </c>
      <c r="S18" s="4">
        <v>0</v>
      </c>
      <c r="T18" s="10">
        <v>45970</v>
      </c>
      <c r="U18" s="2" t="s">
        <v>196</v>
      </c>
      <c r="V18" s="4">
        <v>0</v>
      </c>
    </row>
    <row r="19" spans="1:22" ht="75" x14ac:dyDescent="0.25">
      <c r="A19" s="1" t="s">
        <v>73</v>
      </c>
      <c r="B19" s="1" t="s">
        <v>51</v>
      </c>
      <c r="C19" s="2" t="s">
        <v>68</v>
      </c>
      <c r="D19" s="4">
        <v>0.15</v>
      </c>
      <c r="E19" s="1" t="s">
        <v>49</v>
      </c>
      <c r="F19" s="1" t="s">
        <v>17</v>
      </c>
      <c r="G19" s="1" t="s">
        <v>4</v>
      </c>
      <c r="H19" s="1">
        <v>1</v>
      </c>
      <c r="I19" s="2" t="s">
        <v>85</v>
      </c>
      <c r="J19" s="2" t="s">
        <v>86</v>
      </c>
      <c r="K19" s="1" t="b">
        <v>1</v>
      </c>
      <c r="L19" s="2" t="s">
        <v>125</v>
      </c>
      <c r="M19" s="2" t="str">
        <f t="shared" si="0"/>
        <v>AVTLTESGGGTVAPGSSVTLTCTASGFNFSKYILAWVRQAPGQPLEWVASISPDGSKTRYHPAVKGRATASKDNSKNTAYLELKDLRPEDTATYYCGIIPQGSVHGDYSMTHWGQGTELRVEAGGGSGGGSGGGSGGGSPVVLTQSPLSLSAKVGDTVTITCTASSPVDNLVSWYKQAPGQPLQLLIYNATTRAPGVPSRFTGSGSDTTFTLTISSLQPEDFAVYYCQQTYKFPITFGQGTRLTPA</v>
      </c>
      <c r="N19" s="4">
        <f t="shared" si="2"/>
        <v>246</v>
      </c>
      <c r="O19" s="1" t="b">
        <f t="shared" si="1"/>
        <v>1</v>
      </c>
      <c r="P19" s="1" t="b">
        <f>TRUE()</f>
        <v>1</v>
      </c>
      <c r="Q19" s="1" t="b">
        <f>TRUE()</f>
        <v>1</v>
      </c>
      <c r="R19" s="4">
        <v>0</v>
      </c>
      <c r="S19" s="4">
        <v>6.1079999999999997E-3</v>
      </c>
      <c r="T19" s="10">
        <v>45970</v>
      </c>
      <c r="U19" s="2" t="s">
        <v>197</v>
      </c>
      <c r="V19" s="4">
        <v>0</v>
      </c>
    </row>
    <row r="20" spans="1:22" ht="75" x14ac:dyDescent="0.25">
      <c r="A20" s="1" t="s">
        <v>74</v>
      </c>
      <c r="B20" s="1" t="s">
        <v>51</v>
      </c>
      <c r="C20" s="2" t="s">
        <v>68</v>
      </c>
      <c r="D20" s="4">
        <v>0.15</v>
      </c>
      <c r="E20" s="1" t="s">
        <v>49</v>
      </c>
      <c r="F20" s="1" t="s">
        <v>17</v>
      </c>
      <c r="G20" s="1" t="s">
        <v>4</v>
      </c>
      <c r="H20" s="1">
        <v>1</v>
      </c>
      <c r="I20" s="2" t="s">
        <v>87</v>
      </c>
      <c r="J20" s="2" t="s">
        <v>88</v>
      </c>
      <c r="K20" s="1" t="b">
        <v>1</v>
      </c>
      <c r="L20" s="2" t="s">
        <v>125</v>
      </c>
      <c r="M20" s="2" t="str">
        <f t="shared" si="0"/>
        <v>PVKLVESGGGTVAPGSSVTLTCKASGFNFSKYMVQWVRQAPGGAFQWVGLISPDGSTKWYHPDVEGRFTISKDNSKNTAYLEMRNLTPADTAVYYCGIVPQGSVHGDYSITHWGQGVTLTVTAGGGSGGGSGGGSGGGSVVQLTQSPPELSAKVGEKVTITCTASSPVDNLVSWYQQKPGGAPKLLIYNATTLAPGVPSRFSGSGSDTVFTLTIDSLQAEDFATYYCQQTSRLPFTFGQGTVLRPA</v>
      </c>
      <c r="N20" s="4">
        <f t="shared" si="2"/>
        <v>246</v>
      </c>
      <c r="O20" s="1" t="b">
        <f t="shared" si="1"/>
        <v>1</v>
      </c>
      <c r="P20" s="1" t="b">
        <f>TRUE()</f>
        <v>1</v>
      </c>
      <c r="Q20" s="1" t="b">
        <f>TRUE()</f>
        <v>1</v>
      </c>
      <c r="R20" s="4">
        <v>0</v>
      </c>
      <c r="S20" s="4">
        <v>0</v>
      </c>
      <c r="T20" s="10">
        <v>45970</v>
      </c>
      <c r="U20" s="2" t="s">
        <v>198</v>
      </c>
      <c r="V20" s="4">
        <v>0.01</v>
      </c>
    </row>
    <row r="21" spans="1:22" ht="75" x14ac:dyDescent="0.25">
      <c r="A21" s="1" t="s">
        <v>75</v>
      </c>
      <c r="B21" s="1" t="s">
        <v>51</v>
      </c>
      <c r="C21" s="2" t="s">
        <v>68</v>
      </c>
      <c r="D21" s="4">
        <v>0.15</v>
      </c>
      <c r="E21" s="1" t="s">
        <v>49</v>
      </c>
      <c r="F21" s="1" t="s">
        <v>17</v>
      </c>
      <c r="G21" s="1" t="s">
        <v>4</v>
      </c>
      <c r="H21" s="1">
        <v>1</v>
      </c>
      <c r="I21" s="2" t="s">
        <v>89</v>
      </c>
      <c r="J21" s="2" t="s">
        <v>90</v>
      </c>
      <c r="K21" s="1" t="b">
        <v>1</v>
      </c>
      <c r="L21" s="2" t="s">
        <v>125</v>
      </c>
      <c r="M21" s="2" t="str">
        <f t="shared" si="0"/>
        <v>AIKLTESGGGTVKPGSSVTLTCQASGFNFSKYIMAWVRQAPGQPLQWVAQISPDNSVKRYHPEVEGRFTASKDNSKNTAYLEMKNLTPADTATYYCAIIPQGSTQGDYSMVHWGQGVELKVVAGGGSGGGSGGGSGGGSPVVLTQSPASLKAAVGDTVTITCTASAPVDNLVSWYKQAPGQPPQLLIYNASTLAPGVPSRFTGSGSDTSFTLTISSLQEEDFATYYCQETSKFPITFGQGTKLEKK</v>
      </c>
      <c r="N21" s="4">
        <f t="shared" si="2"/>
        <v>246</v>
      </c>
      <c r="O21" s="1" t="b">
        <f t="shared" si="1"/>
        <v>1</v>
      </c>
      <c r="P21" s="1" t="b">
        <f>TRUE()</f>
        <v>1</v>
      </c>
      <c r="Q21" s="1" t="b">
        <f>TRUE()</f>
        <v>1</v>
      </c>
      <c r="R21" s="4">
        <v>0</v>
      </c>
      <c r="S21" s="4">
        <v>0</v>
      </c>
      <c r="T21" s="10">
        <v>45970</v>
      </c>
      <c r="U21" s="2" t="s">
        <v>200</v>
      </c>
      <c r="V21" s="4">
        <v>0.02</v>
      </c>
    </row>
    <row r="22" spans="1:22" ht="75" x14ac:dyDescent="0.25">
      <c r="A22" s="1" t="s">
        <v>76</v>
      </c>
      <c r="B22" s="1" t="s">
        <v>51</v>
      </c>
      <c r="C22" s="2" t="s">
        <v>68</v>
      </c>
      <c r="D22" s="4">
        <v>0.15</v>
      </c>
      <c r="E22" s="1" t="s">
        <v>49</v>
      </c>
      <c r="F22" s="1" t="s">
        <v>17</v>
      </c>
      <c r="G22" s="1" t="s">
        <v>4</v>
      </c>
      <c r="H22" s="1">
        <v>1</v>
      </c>
      <c r="I22" s="2" t="s">
        <v>91</v>
      </c>
      <c r="J22" s="2" t="s">
        <v>92</v>
      </c>
      <c r="K22" s="1" t="b">
        <v>1</v>
      </c>
      <c r="L22" s="2" t="s">
        <v>125</v>
      </c>
      <c r="M22" s="2" t="str">
        <f t="shared" si="0"/>
        <v>SIKLTESGGGVVAPGESVTLTCTASGFNFSKYEMAWVRQAPGGPLEFVAVISPDGSTTRYHPRVEGRATISRDNSKNTAYLTLRDLTPADTAVYYCGIIPGGSVHGDRALSHWGQGVRLEVRAGGGSGGGSGGGSGGGSMVTLTQSPSSLSAKVGDKVTISCTASEPVDDLVSWYKQAPGGPPQLLISRASTRAPGVPSRFSGSGSDTNFTLTIESLQSSDFATYYCQQTYKFPDTFGQGTTLSEA</v>
      </c>
      <c r="N22" s="4">
        <f t="shared" si="2"/>
        <v>246</v>
      </c>
      <c r="O22" s="1" t="b">
        <f t="shared" si="1"/>
        <v>1</v>
      </c>
      <c r="P22" s="1" t="b">
        <f>TRUE()</f>
        <v>1</v>
      </c>
      <c r="Q22" s="1" t="b">
        <f>TRUE()</f>
        <v>1</v>
      </c>
      <c r="R22" s="4">
        <v>0</v>
      </c>
      <c r="S22" s="4">
        <v>5.0870000000000004E-3</v>
      </c>
      <c r="T22" s="10">
        <v>45970</v>
      </c>
      <c r="U22" s="2" t="s">
        <v>199</v>
      </c>
      <c r="V22" s="4">
        <v>0.01</v>
      </c>
    </row>
    <row r="23" spans="1:22" ht="75" x14ac:dyDescent="0.25">
      <c r="A23" s="1" t="s">
        <v>101</v>
      </c>
      <c r="B23" s="1" t="s">
        <v>109</v>
      </c>
      <c r="C23" s="2" t="s">
        <v>110</v>
      </c>
      <c r="D23" s="4">
        <v>0.1</v>
      </c>
      <c r="E23" s="1" t="s">
        <v>49</v>
      </c>
      <c r="F23" s="1" t="s">
        <v>100</v>
      </c>
      <c r="G23" s="1" t="s">
        <v>4</v>
      </c>
      <c r="H23" s="1">
        <v>2</v>
      </c>
      <c r="I23" s="2" t="s">
        <v>113</v>
      </c>
      <c r="J23" s="2" t="s">
        <v>115</v>
      </c>
      <c r="K23" s="1" t="b">
        <v>1</v>
      </c>
      <c r="L23" s="2" t="s">
        <v>126</v>
      </c>
      <c r="M23" s="2" t="str">
        <f t="shared" si="0"/>
        <v xml:space="preserve">SVTLVESGDQTVAPGGSVTLSCTSSGGSFGNSGVSWVKQQPGGPLQWIGGIIPSLGISKVSPEYAGRVTISSDSSNNTAYLTISNLTAADTATYYCALGEGEDVFASSPFASNVNLGALSVWGQGTKVTVSGGGSGGGSGGGSITVTQSPSSPSLKVGETATLTCTLSAPVPRSNVAWYKQQPGQPPTLLIYGGSTRAPGVPSRYSGSGSGTTFTLTITALKPEDFATYYCQVYGENPSFGQGTTLKLK </v>
      </c>
      <c r="N23" s="4">
        <f t="shared" si="2"/>
        <v>250</v>
      </c>
      <c r="O23" s="1" t="b">
        <f t="shared" si="1"/>
        <v>1</v>
      </c>
      <c r="P23" s="1" t="b">
        <f>TRUE()</f>
        <v>1</v>
      </c>
      <c r="Q23" s="1" t="b">
        <f>TRUE()</f>
        <v>1</v>
      </c>
      <c r="T23" s="10">
        <v>45970</v>
      </c>
      <c r="U23" s="2" t="s">
        <v>204</v>
      </c>
      <c r="V23" s="4">
        <v>0.01</v>
      </c>
    </row>
    <row r="24" spans="1:22" ht="75" x14ac:dyDescent="0.25">
      <c r="A24" s="1" t="s">
        <v>102</v>
      </c>
      <c r="B24" s="1" t="s">
        <v>109</v>
      </c>
      <c r="C24" s="2" t="s">
        <v>110</v>
      </c>
      <c r="D24" s="4">
        <v>0.1</v>
      </c>
      <c r="E24" s="1" t="s">
        <v>49</v>
      </c>
      <c r="F24" s="1" t="s">
        <v>100</v>
      </c>
      <c r="G24" s="1" t="s">
        <v>4</v>
      </c>
      <c r="H24" s="1">
        <v>2</v>
      </c>
      <c r="I24" s="2" t="s">
        <v>116</v>
      </c>
      <c r="J24" s="2" t="s">
        <v>114</v>
      </c>
      <c r="K24" s="1" t="b">
        <v>1</v>
      </c>
      <c r="L24" s="2" t="s">
        <v>126</v>
      </c>
      <c r="M24" s="2" t="str">
        <f t="shared" si="0"/>
        <v>GVKLVQSGDLTVKPGGSVTLSCKSEGGSFGNSSVAWVRQRPGGPYEYIGSIIPAYGVSRVSPEYEGRVTISADVANNTAYLTISNLTPEDTATYYCALGPGEVVYAASPFDEKLLTGALSVWGEGTLVTVTGGGSGGGSGGGSITVTQSPSSPSLSVGDTATLTCTLSSSVATSNVAWYKQLPGQPPELLISGGSTRAPGVPSRYSGSGSGTTFTLTISSLQASDFATYYCQVYGENPSFGQGTTLTLK</v>
      </c>
      <c r="N24" s="4">
        <f t="shared" si="2"/>
        <v>249</v>
      </c>
      <c r="O24" s="1" t="b">
        <f t="shared" si="1"/>
        <v>1</v>
      </c>
      <c r="P24" s="1" t="b">
        <f>TRUE()</f>
        <v>1</v>
      </c>
      <c r="Q24" s="1" t="b">
        <f>TRUE()</f>
        <v>1</v>
      </c>
      <c r="R24" s="4">
        <v>0.31751499999999999</v>
      </c>
      <c r="S24" s="4">
        <v>0.405559</v>
      </c>
      <c r="T24" s="10">
        <v>45968</v>
      </c>
      <c r="U24" s="2" t="s">
        <v>220</v>
      </c>
      <c r="V24" s="4">
        <v>0</v>
      </c>
    </row>
    <row r="25" spans="1:22" ht="75" x14ac:dyDescent="0.25">
      <c r="A25" s="1" t="s">
        <v>103</v>
      </c>
      <c r="B25" s="1" t="s">
        <v>109</v>
      </c>
      <c r="C25" s="2" t="s">
        <v>110</v>
      </c>
      <c r="D25" s="4">
        <v>0.1</v>
      </c>
      <c r="E25" s="1" t="s">
        <v>49</v>
      </c>
      <c r="F25" s="1" t="s">
        <v>100</v>
      </c>
      <c r="G25" s="1" t="s">
        <v>4</v>
      </c>
      <c r="H25" s="1">
        <v>2</v>
      </c>
      <c r="I25" s="2" t="s">
        <v>117</v>
      </c>
      <c r="J25" s="2" t="s">
        <v>118</v>
      </c>
      <c r="K25" s="1" t="b">
        <v>1</v>
      </c>
      <c r="L25" s="2" t="s">
        <v>126</v>
      </c>
      <c r="M25" s="2" t="str">
        <f>_xlfn.CONCAT(I25,L25,J25)</f>
        <v>AVKLVQSGDQTVAPGGSVTLSCTSSGGSFGNSSVAWVRQRPGGPFEFIGSIIPSLGISRYNSKYKGRVTISSDAANNTAYLTISNLTAADTATYYCALGPGESVFASHPFKEKLLTGALSVWGEGTLVTVSGGGSGGGSGGGSITVTQSPSSPSKSVGDTVTLTCTLSSSVPVSQVAWYKQHPGQPPELLIYGGSTRASGVPSRYSGSGSGTTFTLTISSLQPEDFATYYCQVYGEEPSFGQGTTVTLA</v>
      </c>
      <c r="N25" s="4">
        <f t="shared" si="2"/>
        <v>249</v>
      </c>
      <c r="O25" s="1" t="b">
        <f t="shared" si="1"/>
        <v>1</v>
      </c>
      <c r="P25" s="1" t="b">
        <f>TRUE()</f>
        <v>1</v>
      </c>
      <c r="Q25" s="1" t="b">
        <f>TRUE()</f>
        <v>1</v>
      </c>
      <c r="R25" s="4">
        <v>0.64176299999999997</v>
      </c>
      <c r="S25" s="4">
        <v>0.69121100000000002</v>
      </c>
      <c r="T25" s="10">
        <v>45968</v>
      </c>
      <c r="U25" s="2" t="s">
        <v>221</v>
      </c>
      <c r="V25" s="4">
        <v>0.01</v>
      </c>
    </row>
    <row r="26" spans="1:22" ht="75" x14ac:dyDescent="0.25">
      <c r="A26" s="1" t="s">
        <v>104</v>
      </c>
      <c r="B26" s="1" t="s">
        <v>109</v>
      </c>
      <c r="C26" s="2" t="s">
        <v>110</v>
      </c>
      <c r="D26" s="4">
        <v>0.1</v>
      </c>
      <c r="E26" s="1" t="s">
        <v>49</v>
      </c>
      <c r="F26" s="1" t="s">
        <v>100</v>
      </c>
      <c r="G26" s="1" t="s">
        <v>4</v>
      </c>
      <c r="H26" s="1">
        <v>2</v>
      </c>
      <c r="I26" s="2" t="s">
        <v>112</v>
      </c>
      <c r="J26" s="2" t="s">
        <v>119</v>
      </c>
      <c r="K26" s="1" t="b">
        <v>1</v>
      </c>
      <c r="L26" s="2" t="s">
        <v>126</v>
      </c>
      <c r="M26" s="2" t="str">
        <f t="shared" si="0"/>
        <v>SITLVQSGDVTVAPGGSVTLTCTSSGGSFGNKAVAWVRQRPGGPYEWLGFIIPAYGVSRYNPAYEGRVTISVDSASNTASLTISNLTAADTATYYCALGEGEIVYAASPFDENYKLGALYIWGQGTKVTVSGGGSGGGSGGGSITLTQSPSSPSLSVGETATLTCTASAPVPKSNVAWYKQLPGQPPELLIYGGSTRASGVPSRYSGSGSGTTFTLTISSLTADDFATYYCQVYGENPSFGEGTTLTLK</v>
      </c>
      <c r="N26" s="4">
        <f t="shared" si="2"/>
        <v>249</v>
      </c>
      <c r="O26" s="1" t="b">
        <f t="shared" si="1"/>
        <v>1</v>
      </c>
      <c r="P26" s="1" t="b">
        <f>TRUE()</f>
        <v>1</v>
      </c>
      <c r="Q26" s="1" t="b">
        <f>TRUE()</f>
        <v>1</v>
      </c>
      <c r="R26" s="4">
        <v>5.2189999999999997E-3</v>
      </c>
      <c r="S26" s="4">
        <v>5.4400000000000004E-3</v>
      </c>
      <c r="T26" s="10">
        <v>45970</v>
      </c>
      <c r="U26" s="2" t="s">
        <v>202</v>
      </c>
      <c r="V26" s="4">
        <v>0.01</v>
      </c>
    </row>
    <row r="27" spans="1:22" ht="75" x14ac:dyDescent="0.25">
      <c r="A27" s="1" t="s">
        <v>105</v>
      </c>
      <c r="B27" s="1" t="s">
        <v>109</v>
      </c>
      <c r="C27" s="2" t="s">
        <v>110</v>
      </c>
      <c r="D27" s="4">
        <v>0.1</v>
      </c>
      <c r="E27" s="1" t="s">
        <v>49</v>
      </c>
      <c r="F27" s="1" t="s">
        <v>100</v>
      </c>
      <c r="G27" s="1" t="s">
        <v>4</v>
      </c>
      <c r="H27" s="1">
        <v>2</v>
      </c>
      <c r="I27" s="2" t="s">
        <v>120</v>
      </c>
      <c r="J27" s="2" t="s">
        <v>121</v>
      </c>
      <c r="K27" s="1" t="b">
        <v>1</v>
      </c>
      <c r="L27" s="2" t="s">
        <v>126</v>
      </c>
      <c r="M27" s="2" t="str">
        <f t="shared" si="0"/>
        <v>SVTLVQSGDQTVPIGGSVTLSCTANGGSFGNKGVAWVRQRPGGPYEFLGFIKPAIGESRYHPKYKGRVTISSDVSSNTAYLTISNLTPEDTAVYYCALGEAEDVFAAHPFKTDLLLGALSIWGQGTRVTVTGGGSGGGSGGGSITVTQSPSSPSLSVGETAVLTCTLSQPVPQSQVAWYKQLPGQPPTLLISGGSTRASGVPSRYSGSGSGTTFTLTISSLLPEDFATYYCQVVGKEPSFGQGTTLTLK</v>
      </c>
      <c r="N27" s="4">
        <f t="shared" si="2"/>
        <v>249</v>
      </c>
      <c r="O27" s="1" t="b">
        <f t="shared" si="1"/>
        <v>1</v>
      </c>
      <c r="P27" s="1" t="b">
        <f>TRUE()</f>
        <v>1</v>
      </c>
      <c r="Q27" s="1" t="b">
        <f>TRUE()</f>
        <v>1</v>
      </c>
      <c r="R27" s="4">
        <v>0</v>
      </c>
      <c r="S27" s="4">
        <v>0</v>
      </c>
      <c r="T27" s="10">
        <v>45970</v>
      </c>
      <c r="U27" s="2" t="s">
        <v>201</v>
      </c>
      <c r="V27" s="4">
        <v>0.01</v>
      </c>
    </row>
    <row r="28" spans="1:22" ht="75" x14ac:dyDescent="0.25">
      <c r="A28" s="1" t="s">
        <v>106</v>
      </c>
      <c r="B28" s="1" t="s">
        <v>109</v>
      </c>
      <c r="C28" s="2" t="s">
        <v>110</v>
      </c>
      <c r="D28" s="4">
        <v>0.1</v>
      </c>
      <c r="E28" s="1" t="s">
        <v>49</v>
      </c>
      <c r="F28" s="1" t="s">
        <v>100</v>
      </c>
      <c r="G28" s="1" t="s">
        <v>4</v>
      </c>
      <c r="H28" s="1">
        <v>2</v>
      </c>
      <c r="I28" s="2" t="s">
        <v>123</v>
      </c>
      <c r="J28" s="2" t="s">
        <v>122</v>
      </c>
      <c r="K28" s="1" t="b">
        <v>1</v>
      </c>
      <c r="L28" s="2" t="s">
        <v>126</v>
      </c>
      <c r="M28" s="2" t="str">
        <f t="shared" si="0"/>
        <v>SVKLVQSGDQTVPVGGSVTLSCTASGGSFGNYGVAWVRQRPGGPLEYIGSIIPAYGISTVNPKYEGRVTISADPTNNTAYLTISNLTPEDTATYYCALGPGEVVFASSPFDIDVLTGALWVWGEGTKVTVTGGGSGGGSGGGSITVTQSPSSPSLKVGETATLTCTLSAPVAKSNVAWYKQLPGQPPELLIYGGSTRASGVPSRYSGSGSGTTFTLTISSLQPEDFATYYCQVVGKNPSFGQGTLLKLK</v>
      </c>
      <c r="N28" s="4">
        <f t="shared" si="2"/>
        <v>249</v>
      </c>
      <c r="O28" s="1" t="b">
        <f t="shared" si="1"/>
        <v>1</v>
      </c>
      <c r="P28" s="1" t="b">
        <f>TRUE()</f>
        <v>1</v>
      </c>
      <c r="Q28" s="1" t="b">
        <f>TRUE()</f>
        <v>1</v>
      </c>
      <c r="R28" s="4">
        <v>5.1520000000000003E-3</v>
      </c>
      <c r="S28" s="4">
        <v>5.3605E-2</v>
      </c>
      <c r="T28" s="10">
        <v>45970</v>
      </c>
      <c r="U28" s="2" t="s">
        <v>203</v>
      </c>
      <c r="V28" s="4">
        <v>0</v>
      </c>
    </row>
    <row r="29" spans="1:22" ht="75" x14ac:dyDescent="0.25">
      <c r="A29" s="1" t="s">
        <v>107</v>
      </c>
      <c r="B29" s="1" t="s">
        <v>109</v>
      </c>
      <c r="C29" s="2" t="s">
        <v>110</v>
      </c>
      <c r="D29" s="4">
        <v>0.1</v>
      </c>
      <c r="E29" s="1" t="s">
        <v>49</v>
      </c>
      <c r="F29" s="1" t="s">
        <v>100</v>
      </c>
      <c r="G29" s="1" t="s">
        <v>4</v>
      </c>
      <c r="H29" s="1">
        <v>2</v>
      </c>
      <c r="I29" s="2" t="s">
        <v>128</v>
      </c>
      <c r="J29" s="2" t="s">
        <v>127</v>
      </c>
      <c r="K29" s="1" t="b">
        <v>1</v>
      </c>
      <c r="L29" s="2" t="s">
        <v>126</v>
      </c>
      <c r="M29" s="2" t="str">
        <f t="shared" si="0"/>
        <v>SISLVQSSDQTVAPGGSVTLSCTSSGGSFGNSGVAWVRQAPGGPPVYIGGIIPATGVSTYNAAFKGRVTISSDSSNNTAYLTISGLTAADTATYYCALGPAENVFASHPFAEDVNLGALSVWGQGTLVTVTGGGSGGGSGGGSITVTESPSSPELSVGETAVLSCTLSSSVPQSNVAWYKQKPGQPPELLIYGGSTRASGVPSRYSGSGSGTTFYLTISSLEPEDFATYYCQVYGTSPSFGQGTTLKLK</v>
      </c>
      <c r="N29" s="4">
        <f t="shared" si="2"/>
        <v>249</v>
      </c>
      <c r="O29" s="1" t="b">
        <f t="shared" si="1"/>
        <v>1</v>
      </c>
      <c r="P29" s="1" t="b">
        <f>TRUE()</f>
        <v>1</v>
      </c>
      <c r="Q29" s="1" t="b">
        <f>TRUE()</f>
        <v>1</v>
      </c>
      <c r="R29" s="4">
        <v>0.32629000000000002</v>
      </c>
      <c r="S29" s="4">
        <v>0.41575699999999999</v>
      </c>
      <c r="T29" s="10">
        <v>45968</v>
      </c>
      <c r="U29" s="2" t="s">
        <v>223</v>
      </c>
      <c r="V29" s="4">
        <v>0.05</v>
      </c>
    </row>
    <row r="30" spans="1:22" ht="75" x14ac:dyDescent="0.25">
      <c r="A30" s="1" t="s">
        <v>108</v>
      </c>
      <c r="B30" s="1" t="s">
        <v>109</v>
      </c>
      <c r="C30" s="2" t="s">
        <v>110</v>
      </c>
      <c r="D30" s="4">
        <v>0.1</v>
      </c>
      <c r="E30" s="1" t="s">
        <v>49</v>
      </c>
      <c r="F30" s="1" t="s">
        <v>100</v>
      </c>
      <c r="G30" s="1" t="s">
        <v>4</v>
      </c>
      <c r="H30" s="1">
        <v>2</v>
      </c>
      <c r="I30" s="2" t="s">
        <v>129</v>
      </c>
      <c r="J30" s="2" t="s">
        <v>130</v>
      </c>
      <c r="K30" s="1" t="b">
        <v>1</v>
      </c>
      <c r="L30" s="2" t="s">
        <v>126</v>
      </c>
      <c r="M30" s="2" t="str">
        <f t="shared" si="0"/>
        <v>AVSLVESGDQTVAPGGSVTLSCTSSGGSFGNSGVAWVRQAPGGPLEFLGFIIPALGVSKVNSKYEGRVTISSDPANNTAYLTISNLTAADTATYYCGLGTGESVFASSPFDEKLLLGALSVWGQGTKVTVTGGGSGGGSGGGSITVTQSPASPEKKVGETATLTCTLSSAVPKSNVAWYKQKPGQPPELLIYGGSTRASGVPSRYSGSGSGTTFYLTISSLQPEDFATYYCRVYGEEPSFGQGTTLKLK</v>
      </c>
      <c r="N30" s="4">
        <f t="shared" si="2"/>
        <v>249</v>
      </c>
      <c r="O30" s="1" t="b">
        <f t="shared" si="1"/>
        <v>1</v>
      </c>
      <c r="P30" s="1" t="b">
        <f>TRUE()</f>
        <v>1</v>
      </c>
      <c r="Q30" s="1" t="b">
        <f>TRUE()</f>
        <v>1</v>
      </c>
      <c r="R30" s="4">
        <v>0.50901600000000002</v>
      </c>
      <c r="S30" s="4">
        <v>0.56638100000000002</v>
      </c>
      <c r="T30" s="10">
        <v>45968</v>
      </c>
      <c r="U30" s="2" t="s">
        <v>224</v>
      </c>
      <c r="V30" s="4">
        <v>0</v>
      </c>
    </row>
    <row r="31" spans="1:22" ht="60" x14ac:dyDescent="0.25">
      <c r="A31" s="1" t="s">
        <v>174</v>
      </c>
      <c r="B31" s="1" t="s">
        <v>18</v>
      </c>
      <c r="C31" s="2" t="s">
        <v>34</v>
      </c>
      <c r="D31" s="4">
        <v>0.7</v>
      </c>
      <c r="E31" s="1" t="s">
        <v>42</v>
      </c>
      <c r="G31" s="1" t="s">
        <v>4</v>
      </c>
      <c r="I31" s="2" t="s">
        <v>134</v>
      </c>
      <c r="J31" s="2" t="s">
        <v>135</v>
      </c>
      <c r="K31" s="1" t="b">
        <v>1</v>
      </c>
      <c r="L31" s="2" t="s">
        <v>125</v>
      </c>
      <c r="M31" s="2" t="str">
        <f t="shared" si="0"/>
        <v>VQLQESGPGLVKPSQSLSLTCTVTGYSITTGYAWNWIRQFPGNKLEWMGYISYSGSTYYPSLKSRISITRDTSKNQFFLQLSIVTTEDTATYYCARGTTLPDYVDFWGQGTSVTVSSGGGSGGGSGGGSGGGSDIQLTQSPSSLSASVGDRVTITCRASQTISTYLNWYQQKPGKAPKLLIYAASTLQSGVPSRFSGSGSGTDFTLTISSLQPEDFATYFCLQHFWTPPITFGQGTRLEIK</v>
      </c>
      <c r="N31" s="4">
        <f t="shared" si="2"/>
        <v>241</v>
      </c>
      <c r="O31" s="1" t="b">
        <f t="shared" si="1"/>
        <v>1</v>
      </c>
      <c r="P31" s="1" t="b">
        <v>0</v>
      </c>
      <c r="Q31" s="1" t="b">
        <v>0</v>
      </c>
      <c r="T31" s="10">
        <v>45971</v>
      </c>
      <c r="U31" s="2" t="s">
        <v>245</v>
      </c>
    </row>
    <row r="32" spans="1:22" ht="75" x14ac:dyDescent="0.25">
      <c r="A32" s="1" t="s">
        <v>175</v>
      </c>
      <c r="B32" s="1" t="s">
        <v>18</v>
      </c>
      <c r="C32" s="2" t="s">
        <v>34</v>
      </c>
      <c r="D32" s="4">
        <v>0.7</v>
      </c>
      <c r="E32" s="1" t="s">
        <v>42</v>
      </c>
      <c r="G32" s="1" t="s">
        <v>4</v>
      </c>
      <c r="I32" s="2" t="s">
        <v>136</v>
      </c>
      <c r="J32" s="2" t="s">
        <v>137</v>
      </c>
      <c r="K32" s="1" t="b">
        <v>1</v>
      </c>
      <c r="L32" s="2" t="s">
        <v>126</v>
      </c>
      <c r="M32" s="2" t="str">
        <f t="shared" si="0"/>
        <v>QVQLQESGPGLVKPSETLSVTCTVSGGSIGSNNYWSWIRQPAGKGLEWIGYIYYSGSTNYNPSLKSRVTMSVDTSKNQFSLKLSSVTAADTAVYYCVRNYYDSSDSSGYYFMDVWGQGTTVTVSSGGGSGGGSGGGSDIVMTQSPLSLSVTPGEPASISCRSSQSLLHSNGYNYLDWYLQKPGQSPQLLIYLGSNRASGVPDRFSGSGSGTDFTLKISRVEAEDVGVYYCMQALQTPTFGQGTRLEIK</v>
      </c>
      <c r="N32" s="4">
        <f t="shared" si="2"/>
        <v>248</v>
      </c>
      <c r="O32" s="1" t="b">
        <f t="shared" si="1"/>
        <v>1</v>
      </c>
      <c r="P32" s="1" t="b">
        <v>0</v>
      </c>
      <c r="Q32" s="1" t="b">
        <v>0</v>
      </c>
      <c r="T32" s="10">
        <v>45971</v>
      </c>
      <c r="U32" s="2" t="s">
        <v>243</v>
      </c>
      <c r="V32" s="4">
        <v>0.01</v>
      </c>
    </row>
    <row r="33" spans="1:22" ht="75" x14ac:dyDescent="0.25">
      <c r="A33" s="1" t="s">
        <v>176</v>
      </c>
      <c r="B33" s="1" t="s">
        <v>18</v>
      </c>
      <c r="C33" s="2" t="s">
        <v>34</v>
      </c>
      <c r="D33" s="4">
        <v>0.7</v>
      </c>
      <c r="E33" s="1" t="s">
        <v>42</v>
      </c>
      <c r="G33" s="1" t="s">
        <v>4</v>
      </c>
      <c r="I33" s="2" t="s">
        <v>138</v>
      </c>
      <c r="J33" s="2" t="s">
        <v>139</v>
      </c>
      <c r="K33" s="1" t="b">
        <v>1</v>
      </c>
      <c r="L33" s="2" t="s">
        <v>125</v>
      </c>
      <c r="M33" s="2" t="str">
        <f t="shared" si="0"/>
        <v>QVQLVQSGAEVKKPGESLKISCKGSGYRFSSYWIGWVRQMPGKGLEWMGIIYPGDSDTRYSPSFQGQVTISADKSISTAYLQWSSLKASDTAMYYCARQGPDYYYGMDVWGQGTTVTVSSGGGSGGGSGGGSGGGSDIQMTQSPSTLSASVGDRVTITCRASQSISSWLAWYQQKPGKAPKLLIYKASELQSGVPSRFSGSGSGTEFTLTISSLQPDDFATYYCQQYINSYTFGQGTKVEIK</v>
      </c>
      <c r="N33" s="4">
        <f t="shared" si="2"/>
        <v>242</v>
      </c>
      <c r="O33" s="1" t="b">
        <f t="shared" si="1"/>
        <v>1</v>
      </c>
      <c r="P33" s="1" t="b">
        <v>0</v>
      </c>
      <c r="Q33" s="1" t="b">
        <v>0</v>
      </c>
      <c r="T33" s="10">
        <v>45971</v>
      </c>
      <c r="U33" s="2" t="s">
        <v>244</v>
      </c>
      <c r="V33" s="4">
        <v>0</v>
      </c>
    </row>
    <row r="34" spans="1:22" ht="60" x14ac:dyDescent="0.25">
      <c r="A34" s="1" t="s">
        <v>177</v>
      </c>
      <c r="B34" s="1" t="s">
        <v>18</v>
      </c>
      <c r="C34" s="2" t="s">
        <v>34</v>
      </c>
      <c r="D34" s="4">
        <v>0.7</v>
      </c>
      <c r="E34" s="1" t="s">
        <v>42</v>
      </c>
      <c r="G34" s="1" t="s">
        <v>4</v>
      </c>
      <c r="I34" s="2" t="s">
        <v>140</v>
      </c>
      <c r="J34" s="2" t="s">
        <v>141</v>
      </c>
      <c r="K34" s="1" t="b">
        <v>1</v>
      </c>
      <c r="L34" s="2" t="s">
        <v>125</v>
      </c>
      <c r="M34" s="2" t="str">
        <f t="shared" si="0"/>
        <v>QVQLQQSGPELVKPGASVKLSCKASGYTFTDYYMHWVKQRPGQGLEWIGEINPNSGGTNTYDQKFKGRATLTVDKSSSTAYLQLSSLTSEDSAVYYCARSPPWYFDYWGQGTTLTVSGGGSGGGSGGGSGGGSDIVMTQSPSSMFASVGETVTITCRASENIYSNLAWYQQKPGQSPKLLIYWASTRHTGVPDRFTGSGSGTDFTLTISSVQAEDLALYYCQHYGSYSFTFGSGTKLEIK</v>
      </c>
      <c r="N34" s="4">
        <f t="shared" si="2"/>
        <v>240</v>
      </c>
      <c r="O34" s="1" t="b">
        <f t="shared" si="1"/>
        <v>1</v>
      </c>
      <c r="P34" s="1" t="b">
        <v>0</v>
      </c>
      <c r="Q34" s="1" t="b">
        <v>0</v>
      </c>
      <c r="T34" s="10">
        <v>45971</v>
      </c>
      <c r="U34" s="2" t="s">
        <v>236</v>
      </c>
      <c r="V34" s="4">
        <v>0.14000000000000001</v>
      </c>
    </row>
    <row r="35" spans="1:22" ht="75" x14ac:dyDescent="0.25">
      <c r="A35" s="1" t="s">
        <v>178</v>
      </c>
      <c r="B35" s="1" t="s">
        <v>18</v>
      </c>
      <c r="C35" s="2" t="s">
        <v>34</v>
      </c>
      <c r="D35" s="4">
        <v>0.7</v>
      </c>
      <c r="E35" s="1" t="s">
        <v>42</v>
      </c>
      <c r="G35" s="1" t="s">
        <v>4</v>
      </c>
      <c r="I35" s="2" t="s">
        <v>142</v>
      </c>
      <c r="J35" s="2" t="s">
        <v>143</v>
      </c>
      <c r="K35" s="1" t="b">
        <v>1</v>
      </c>
      <c r="L35" s="2" t="s">
        <v>125</v>
      </c>
      <c r="M35" s="2" t="str">
        <f t="shared" si="0"/>
        <v>EVQLVESGGGLVQPGGSLRLSCAASGFNVSYSSIHWVRQAPGKGLEWVASISSYYGYTYYADSVKGRFTISADTSKNTAYLQMNSLRAEDTAVYYCARSRNYVYSSGYLDFWGQGTLVTVSSGGGSGGGSGGGSGGGSDIQMTQSPSSLSASVGDRVTITCRASQSVSSAVAWYQQKPGKAPKLLIYSASSLYSGVPSRFSGSRSGTDFTLTISSLQPEDFATYYCQQSSYSSPPTFGQGTKVEIK</v>
      </c>
      <c r="N35" s="4">
        <f t="shared" si="2"/>
        <v>246</v>
      </c>
      <c r="O35" s="1" t="b">
        <f t="shared" si="1"/>
        <v>1</v>
      </c>
      <c r="P35" s="1" t="b">
        <v>0</v>
      </c>
      <c r="Q35" s="1" t="b">
        <v>0</v>
      </c>
      <c r="T35" s="10">
        <v>45971</v>
      </c>
      <c r="U35" s="2" t="s">
        <v>237</v>
      </c>
      <c r="V35" s="4">
        <v>0.01</v>
      </c>
    </row>
    <row r="36" spans="1:22" ht="75" x14ac:dyDescent="0.25">
      <c r="A36" s="1" t="s">
        <v>179</v>
      </c>
      <c r="B36" s="1" t="s">
        <v>18</v>
      </c>
      <c r="C36" s="2" t="s">
        <v>34</v>
      </c>
      <c r="D36" s="4">
        <v>0.7</v>
      </c>
      <c r="E36" s="1" t="s">
        <v>42</v>
      </c>
      <c r="G36" s="1" t="s">
        <v>4</v>
      </c>
      <c r="I36" s="2" t="s">
        <v>144</v>
      </c>
      <c r="J36" s="2" t="s">
        <v>145</v>
      </c>
      <c r="K36" s="1" t="b">
        <v>1</v>
      </c>
      <c r="L36" s="2" t="s">
        <v>125</v>
      </c>
      <c r="M36" s="2" t="str">
        <f t="shared" si="0"/>
        <v>EVQLVESGGGLVQPGGSLRLSCAASGFNIYYSSIHWVRQAPGKGLEWVASISPYYGSTSYADSVKGRFTISADTSKNTAYLQMNSLRAEDTAVYYCARDYGHYYYAMDYWGQGTLVTVSSGGGSGGGSGGGSGGGSEIVMTQSPATLSVSPGERATLSCRASQSVSSYLAWYQQKPGQAPRLLIYGASTRATGIPARFSGSGSGTEFTLTISSLQSEDSAVYYCQQYNNWPPITFGQGTRLEIK</v>
      </c>
      <c r="N36" s="4">
        <f t="shared" si="2"/>
        <v>244</v>
      </c>
      <c r="O36" s="1" t="b">
        <f t="shared" si="1"/>
        <v>1</v>
      </c>
      <c r="P36" s="1" t="b">
        <v>0</v>
      </c>
      <c r="Q36" s="1" t="b">
        <v>0</v>
      </c>
      <c r="T36" s="10">
        <v>45971</v>
      </c>
      <c r="U36" s="2" t="s">
        <v>238</v>
      </c>
      <c r="V36" s="4">
        <v>0</v>
      </c>
    </row>
    <row r="37" spans="1:22" ht="75" x14ac:dyDescent="0.25">
      <c r="A37" s="1" t="s">
        <v>180</v>
      </c>
      <c r="B37" s="1" t="s">
        <v>18</v>
      </c>
      <c r="C37" s="2" t="s">
        <v>34</v>
      </c>
      <c r="D37" s="4">
        <v>0.7</v>
      </c>
      <c r="E37" s="1" t="s">
        <v>42</v>
      </c>
      <c r="G37" s="1" t="s">
        <v>4</v>
      </c>
      <c r="I37" s="2" t="s">
        <v>146</v>
      </c>
      <c r="J37" s="2" t="s">
        <v>147</v>
      </c>
      <c r="K37" s="1" t="b">
        <v>1</v>
      </c>
      <c r="L37" s="2" t="s">
        <v>126</v>
      </c>
      <c r="M37" s="2" t="str">
        <f t="shared" si="0"/>
        <v>QVQLQESGPGLVKPSETLSLSCVVSGDSSSTNYYWGWIRQPPGKGLEWIGYIYGSGDTAYNPSLKSRVTISVDTSKNQFSLKLSSVTAADTAVYYCARRSWGYGYNGYSTYYYYYYFDQGYFDVWGPGTLVTGGGSGGGSGGGSDIQMTQSPSSLSASVGDRVTITCRASQSIGSYLNWYQQKPGKAPKLLIYAASTLQSGVPSRFSGSGSGTEFTLTISSLQPEDFATYYCQQSYSWGQGTKVEIK</v>
      </c>
      <c r="N37" s="4">
        <f t="shared" si="2"/>
        <v>247</v>
      </c>
      <c r="O37" s="1" t="b">
        <f t="shared" si="1"/>
        <v>1</v>
      </c>
      <c r="P37" s="1" t="b">
        <v>0</v>
      </c>
      <c r="Q37" s="1" t="b">
        <v>0</v>
      </c>
      <c r="T37" s="10">
        <v>45971</v>
      </c>
      <c r="U37" s="2" t="s">
        <v>239</v>
      </c>
      <c r="V37" s="4">
        <v>0.12</v>
      </c>
    </row>
    <row r="38" spans="1:22" ht="60" x14ac:dyDescent="0.25">
      <c r="A38" s="1" t="s">
        <v>181</v>
      </c>
      <c r="B38" s="1" t="s">
        <v>18</v>
      </c>
      <c r="C38" s="2" t="s">
        <v>34</v>
      </c>
      <c r="D38" s="4">
        <v>0.7</v>
      </c>
      <c r="E38" s="1" t="s">
        <v>42</v>
      </c>
      <c r="G38" s="1" t="s">
        <v>4</v>
      </c>
      <c r="I38" s="2" t="s">
        <v>148</v>
      </c>
      <c r="J38" s="2" t="s">
        <v>149</v>
      </c>
      <c r="K38" s="1" t="b">
        <v>1</v>
      </c>
      <c r="L38" s="2" t="s">
        <v>125</v>
      </c>
      <c r="M38" s="2" t="str">
        <f t="shared" si="0"/>
        <v>QVQLVQSGAEVKKPGASVKVSCKASGYTFTSYGISWVRQAPGQGLEWMGWISAHNGDTNYAQKFQGRVTMTRDTSITTAYMELRSDDTAVYYCARDGSVGGFYWGQGTLVTVSSGGGSGGGSGGGSGGGSEIVLTQSPGTLSLSPGERATLSCRASQSVSSYLAWYQQKPGQAPRLLIYGASSRATGIPDRFSGSGSGTDFTLTISRLEPEDFAVYYCQQYGSSPITFGQGTRLEIK</v>
      </c>
      <c r="N38" s="4">
        <f t="shared" si="2"/>
        <v>237</v>
      </c>
      <c r="O38" s="1" t="b">
        <f t="shared" si="1"/>
        <v>1</v>
      </c>
      <c r="P38" s="1" t="b">
        <v>0</v>
      </c>
      <c r="Q38" s="1" t="b">
        <v>0</v>
      </c>
      <c r="T38" s="10">
        <v>45971</v>
      </c>
      <c r="U38" s="2" t="s">
        <v>241</v>
      </c>
      <c r="V38" s="4">
        <v>0.11</v>
      </c>
    </row>
    <row r="39" spans="1:22" ht="60" x14ac:dyDescent="0.25">
      <c r="A39" s="1" t="s">
        <v>182</v>
      </c>
      <c r="B39" s="1" t="s">
        <v>18</v>
      </c>
      <c r="C39" s="2" t="s">
        <v>34</v>
      </c>
      <c r="D39" s="4">
        <v>0.7</v>
      </c>
      <c r="E39" s="1" t="s">
        <v>42</v>
      </c>
      <c r="G39" s="1" t="s">
        <v>4</v>
      </c>
      <c r="I39" s="2" t="s">
        <v>150</v>
      </c>
      <c r="J39" s="2" t="s">
        <v>151</v>
      </c>
      <c r="K39" s="1" t="b">
        <v>1</v>
      </c>
      <c r="L39" s="2" t="s">
        <v>125</v>
      </c>
      <c r="M39" s="2" t="str">
        <f t="shared" si="0"/>
        <v>EVQLLESGGGLVQPGGSLRLSCAASGFNVSYSSIHWVRQAPGKGLEWVASISPYYGSTSYADSVKGRFTISADTSKNTAYLQMNSLRAEDTAVYYCARSYYWYWSGWGTLVTVSSGGGSGGGSGGGSGGGSDIQMTQSPSSLSASVGDRVTITCRASQSVSSAVAWYQQKPGKAPKLLIYSASSLYSGVPSRFSGSRSGTDFTLTISSLQPEDFATYYCQQSYGSPPTFGQGTKVEIK</v>
      </c>
      <c r="N39" s="4">
        <f t="shared" si="2"/>
        <v>238</v>
      </c>
      <c r="O39" s="1" t="b">
        <f t="shared" si="1"/>
        <v>1</v>
      </c>
      <c r="P39" s="1" t="b">
        <v>0</v>
      </c>
      <c r="Q39" s="1" t="b">
        <v>0</v>
      </c>
      <c r="T39" s="10">
        <v>45971</v>
      </c>
      <c r="U39" s="2" t="s">
        <v>240</v>
      </c>
      <c r="V39" s="4">
        <v>0.05</v>
      </c>
    </row>
    <row r="40" spans="1:22" ht="75" x14ac:dyDescent="0.25">
      <c r="A40" s="1" t="s">
        <v>183</v>
      </c>
      <c r="B40" s="1" t="s">
        <v>18</v>
      </c>
      <c r="C40" s="2" t="s">
        <v>34</v>
      </c>
      <c r="D40" s="4">
        <v>0.7</v>
      </c>
      <c r="E40" s="1" t="s">
        <v>42</v>
      </c>
      <c r="G40" s="1" t="s">
        <v>4</v>
      </c>
      <c r="I40" s="2" t="s">
        <v>152</v>
      </c>
      <c r="J40" s="2" t="s">
        <v>153</v>
      </c>
      <c r="K40" s="1" t="b">
        <v>1</v>
      </c>
      <c r="L40" s="2" t="s">
        <v>125</v>
      </c>
      <c r="M40" s="2" t="str">
        <f t="shared" si="0"/>
        <v>QVQLQESGPGLVKPSQTLSLTCTVSGGSISSGHYAWWIRQPPGKGLEWIACIYSSSGSTYYNPSLKSRITISVDTSKNQFSLKLSSVTAADTAVYYCARRQRGYDYDYYYGMDVWGQGTTVTVSSGGGSGGGSGGGSGGGSDIQLTQSPSSLSASVGDRVTITCRASQGISRNLAWYQQKPGKAPKLLIYAASSLQSGVPSRFSGSGSGTDFTLTISSLQPEDFATYYCQQSNNWPITFGQGTKVEIK</v>
      </c>
      <c r="N40" s="4">
        <f t="shared" si="2"/>
        <v>248</v>
      </c>
      <c r="O40" s="1" t="b">
        <f t="shared" si="1"/>
        <v>1</v>
      </c>
      <c r="P40" s="1" t="b">
        <v>0</v>
      </c>
      <c r="Q40" s="1" t="b">
        <v>0</v>
      </c>
      <c r="T40" s="10">
        <v>45971</v>
      </c>
      <c r="U40" s="2" t="s">
        <v>242</v>
      </c>
      <c r="V40" s="4">
        <v>0.01</v>
      </c>
    </row>
    <row r="41" spans="1:22" ht="75" x14ac:dyDescent="0.25">
      <c r="A41" s="1" t="s">
        <v>184</v>
      </c>
      <c r="B41" s="1" t="s">
        <v>18</v>
      </c>
      <c r="C41" s="2" t="s">
        <v>34</v>
      </c>
      <c r="D41" s="4">
        <v>0.7</v>
      </c>
      <c r="E41" s="1" t="s">
        <v>42</v>
      </c>
      <c r="G41" s="1" t="s">
        <v>4</v>
      </c>
      <c r="I41" s="2" t="s">
        <v>154</v>
      </c>
      <c r="J41" s="2" t="s">
        <v>155</v>
      </c>
      <c r="K41" s="1" t="b">
        <v>1</v>
      </c>
      <c r="L41" s="2" t="s">
        <v>125</v>
      </c>
      <c r="M41" s="2" t="str">
        <f t="shared" si="0"/>
        <v>EVQLVESGGGLVQPGGSLRLSCAASGFNIYYSSIHWVRQAPGKGLEWVASIYSYYSSTSYADSVKGRFTISADTSKNTAYLQMNSLRAEDTAVYYCARVYGYLSYSYFYWGLDVWGQGTLVTVSGGGSGGGSGGGSGGGSDIQMTQSPSSLSASVGDRVTITCRASQSVSSAVAWYQQKPGKAPKLLIYSASSLYSGVPSRFSGSRSGTDFTLTISSLQPEDFATYYCQQYKYVPVTFGQGTKVEI</v>
      </c>
      <c r="N41" s="4">
        <f t="shared" si="2"/>
        <v>246</v>
      </c>
      <c r="O41" s="1" t="b">
        <f t="shared" si="1"/>
        <v>1</v>
      </c>
      <c r="P41" s="1" t="b">
        <v>0</v>
      </c>
      <c r="Q41" s="1" t="b">
        <v>0</v>
      </c>
      <c r="T41" s="10">
        <v>45972</v>
      </c>
      <c r="U41" s="2" t="s">
        <v>246</v>
      </c>
      <c r="V41" s="4">
        <v>0.02</v>
      </c>
    </row>
    <row r="42" spans="1:22" ht="60" x14ac:dyDescent="0.25">
      <c r="A42" s="1" t="s">
        <v>185</v>
      </c>
      <c r="B42" s="1" t="s">
        <v>18</v>
      </c>
      <c r="C42" s="2" t="s">
        <v>34</v>
      </c>
      <c r="D42" s="4">
        <v>0.7</v>
      </c>
      <c r="E42" s="1" t="s">
        <v>42</v>
      </c>
      <c r="G42" s="1" t="s">
        <v>4</v>
      </c>
      <c r="I42" s="2" t="s">
        <v>156</v>
      </c>
      <c r="J42" s="2" t="s">
        <v>157</v>
      </c>
      <c r="K42" s="1" t="b">
        <v>1</v>
      </c>
      <c r="L42" s="2" t="s">
        <v>125</v>
      </c>
      <c r="M42" s="2" t="str">
        <f t="shared" si="0"/>
        <v>EVQLQQSGAELVKPGASVKLSCTASGFNIKDTYVHWVKQRPEQGLEWIGRIDPANGYTKYDPKFQGKATITADTSSNTAYLQLSSLTSEDTAVYYCVRPLYDYYAMDYWGQGTTLTVSSGGGSGGGSGGGSGGGSDIVMTQSPSSLAMSAGRVSITCRTSQSISSYLNWVQQKPGKSPKLLIYWASTRESGVPDRFTGSGSGTDFTLTISRVEAEDLGVYYCMQGTHVPYTFGGGTKLEIK</v>
      </c>
      <c r="N42" s="4">
        <f t="shared" si="2"/>
        <v>241</v>
      </c>
      <c r="O42" s="1" t="b">
        <f t="shared" si="1"/>
        <v>1</v>
      </c>
      <c r="P42" s="1" t="b">
        <v>0</v>
      </c>
      <c r="Q42" s="1" t="b">
        <v>0</v>
      </c>
      <c r="T42" s="10">
        <v>45972</v>
      </c>
      <c r="U42" s="2" t="s">
        <v>248</v>
      </c>
      <c r="V42" s="4">
        <v>0</v>
      </c>
    </row>
    <row r="43" spans="1:22" ht="60" x14ac:dyDescent="0.25">
      <c r="A43" s="1" t="s">
        <v>186</v>
      </c>
      <c r="B43" s="1" t="s">
        <v>18</v>
      </c>
      <c r="C43" s="2" t="s">
        <v>34</v>
      </c>
      <c r="D43" s="4">
        <v>0.7</v>
      </c>
      <c r="E43" s="1" t="s">
        <v>42</v>
      </c>
      <c r="G43" s="1" t="s">
        <v>4</v>
      </c>
      <c r="I43" s="2" t="s">
        <v>158</v>
      </c>
      <c r="J43" s="2" t="s">
        <v>159</v>
      </c>
      <c r="K43" s="1" t="b">
        <v>1</v>
      </c>
      <c r="L43" s="2" t="s">
        <v>125</v>
      </c>
      <c r="M43" s="2" t="str">
        <f t="shared" si="0"/>
        <v>EVQLVESGGGLVKPGGSLRLSCAASGFTFSSYAMHWVRQAPGKGLEWVSAISGGGGSTYYADSVKGRFTISRDNSKNTLYLQMRAEDTAVYYCAKDDADWGQGTLVTVSSGGGSGGGSGGGSGGGSDIQMTQSPSSLSASVGDRVTITCRASQSVSSAVAWYQQKPGKAPKLLIYSASSLYSGVPSRFSGSRSGTDFTLTISSLQPEDFATYYCQQYKYVPFTFGQGTKVEIK</v>
      </c>
      <c r="N43" s="4">
        <f t="shared" si="2"/>
        <v>233</v>
      </c>
      <c r="O43" s="1" t="b">
        <f t="shared" si="1"/>
        <v>1</v>
      </c>
      <c r="P43" s="1" t="b">
        <v>0</v>
      </c>
      <c r="Q43" s="1" t="b">
        <v>0</v>
      </c>
      <c r="T43" s="10">
        <v>45972</v>
      </c>
      <c r="U43" s="2" t="s">
        <v>247</v>
      </c>
      <c r="V43" s="4">
        <v>0.01</v>
      </c>
    </row>
    <row r="44" spans="1:22" ht="60" x14ac:dyDescent="0.25">
      <c r="A44" s="1" t="s">
        <v>187</v>
      </c>
      <c r="B44" s="1" t="s">
        <v>18</v>
      </c>
      <c r="C44" s="2" t="s">
        <v>34</v>
      </c>
      <c r="D44" s="4">
        <v>0.7</v>
      </c>
      <c r="E44" s="1" t="s">
        <v>42</v>
      </c>
      <c r="G44" s="1" t="s">
        <v>4</v>
      </c>
      <c r="I44" s="2" t="s">
        <v>160</v>
      </c>
      <c r="J44" s="2" t="s">
        <v>161</v>
      </c>
      <c r="K44" s="1" t="b">
        <v>1</v>
      </c>
      <c r="L44" s="2" t="s">
        <v>125</v>
      </c>
      <c r="M44" s="2" t="str">
        <f t="shared" si="0"/>
        <v>QVQLQESGPGLVKPSQTLSLTCTVSGGSISSGSYYWIRQSPGKGLEWIGYIYYSGSTNYNPSLKSRVTISVDTSKNQFSLKLSSVTAADTAVYYCARHRYYDRGQGTLVTVSSGGGSGGGSGGGSGGGSDIQMTQSPASLSASVGETVTITCRASENIYSNLAWYQQKQGKSPQLLVYAATDLADGVPSRFSGSGSGTQFSLKINSLQPEDFGSYYCQHFWDTPWTFGQGTRVE</v>
      </c>
      <c r="N44" s="4">
        <f t="shared" si="2"/>
        <v>234</v>
      </c>
      <c r="O44" s="1" t="b">
        <f t="shared" si="1"/>
        <v>1</v>
      </c>
      <c r="P44" s="1" t="b">
        <v>0</v>
      </c>
      <c r="Q44" s="1" t="b">
        <v>0</v>
      </c>
      <c r="T44" s="10">
        <v>45972</v>
      </c>
      <c r="U44" s="2" t="s">
        <v>250</v>
      </c>
      <c r="V44" s="4">
        <v>0.01</v>
      </c>
    </row>
    <row r="45" spans="1:22" ht="60" x14ac:dyDescent="0.25">
      <c r="A45" s="1" t="s">
        <v>188</v>
      </c>
      <c r="B45" s="1" t="s">
        <v>18</v>
      </c>
      <c r="C45" s="2" t="s">
        <v>34</v>
      </c>
      <c r="D45" s="4">
        <v>0.7</v>
      </c>
      <c r="E45" s="1" t="s">
        <v>42</v>
      </c>
      <c r="G45" s="1" t="s">
        <v>4</v>
      </c>
      <c r="I45" s="2" t="s">
        <v>162</v>
      </c>
      <c r="J45" s="2" t="s">
        <v>163</v>
      </c>
      <c r="K45" s="1" t="b">
        <v>1</v>
      </c>
      <c r="L45" s="2" t="s">
        <v>125</v>
      </c>
      <c r="M45" s="2" t="str">
        <f t="shared" si="0"/>
        <v>EVQLVESGGGLVQPGGSLRLSCAASGFNLYSSSIHWVRQAPGKGLEWVAYISSSGTHYADSVKGRFTISADTSKNTAYLQMRAEDTAVYYCARVGHYYSSGGYYYAMDYWGQGTLVTVSSGGGSGGGSGGGSGGGSDIQMTQSPSSLSASVGDRVTITCRASQSVSSAVAWYQQKPGKAPKLLIYSASSLYSGVPSRFSGSRSGTDFTLTISSLQPEDFATYYCQQYSSYWTFGQGTKVEIK</v>
      </c>
      <c r="N45" s="4">
        <f t="shared" si="2"/>
        <v>242</v>
      </c>
      <c r="O45" s="1" t="b">
        <f t="shared" si="1"/>
        <v>1</v>
      </c>
      <c r="P45" s="1" t="b">
        <v>0</v>
      </c>
      <c r="Q45" s="1" t="b">
        <v>0</v>
      </c>
      <c r="T45" s="10">
        <v>45972</v>
      </c>
      <c r="U45" s="2" t="s">
        <v>249</v>
      </c>
      <c r="V45" s="4">
        <v>0</v>
      </c>
    </row>
    <row r="46" spans="1:22" ht="75" x14ac:dyDescent="0.25">
      <c r="A46" s="1" t="s">
        <v>189</v>
      </c>
      <c r="B46" s="1" t="s">
        <v>18</v>
      </c>
      <c r="C46" s="2" t="s">
        <v>34</v>
      </c>
      <c r="D46" s="4">
        <v>0.7</v>
      </c>
      <c r="E46" s="1" t="s">
        <v>42</v>
      </c>
      <c r="G46" s="1" t="s">
        <v>4</v>
      </c>
      <c r="I46" s="2" t="s">
        <v>164</v>
      </c>
      <c r="J46" s="2" t="s">
        <v>165</v>
      </c>
      <c r="K46" s="1" t="b">
        <v>1</v>
      </c>
      <c r="L46" s="2" t="s">
        <v>126</v>
      </c>
      <c r="M46" s="2" t="str">
        <f t="shared" si="0"/>
        <v>EVQLVESGGGLVQPGGSLRLSCAASGFNVVDSGISWVRQAPGKGLEWVSYISSSSGSTYYADSVKGRFTISADTSKNTAYLQMNSLRAEDTAVYYCARAHYYGSYFGSVVYYYGLDVWGQGTLVTVSSGGGSGGGSGGGSDIQMTQSPSSLSASVGDRVTITCRASQSVSSAVAWYQQKPGKAPKLLIYSASSLYSGVPSRFSGSRSGTDFTLTISSLQPEDFATYYCQQYDTYPITFGQGTKVEIK</v>
      </c>
      <c r="N46" s="4">
        <f t="shared" si="2"/>
        <v>247</v>
      </c>
      <c r="O46" s="1" t="b">
        <f t="shared" si="1"/>
        <v>1</v>
      </c>
      <c r="P46" s="1" t="b">
        <v>0</v>
      </c>
      <c r="Q46" s="1" t="b">
        <v>0</v>
      </c>
      <c r="T46" s="10">
        <v>45972</v>
      </c>
      <c r="U46" s="2" t="s">
        <v>189</v>
      </c>
      <c r="V46" s="4">
        <v>0.12</v>
      </c>
    </row>
    <row r="47" spans="1:22" ht="75" x14ac:dyDescent="0.25">
      <c r="A47" s="1" t="s">
        <v>190</v>
      </c>
      <c r="B47" s="1" t="s">
        <v>18</v>
      </c>
      <c r="C47" s="2" t="s">
        <v>34</v>
      </c>
      <c r="D47" s="4">
        <v>0.7</v>
      </c>
      <c r="E47" s="1" t="s">
        <v>42</v>
      </c>
      <c r="G47" s="1" t="s">
        <v>4</v>
      </c>
      <c r="I47" s="2" t="s">
        <v>166</v>
      </c>
      <c r="J47" s="2" t="s">
        <v>167</v>
      </c>
      <c r="K47" s="1" t="b">
        <v>1</v>
      </c>
      <c r="L47" s="2" t="s">
        <v>125</v>
      </c>
      <c r="M47" s="2" t="str">
        <f t="shared" si="0"/>
        <v>EVQLVESGGGLVQPGGSLRLSCAASGFNVYSSSIHWVRQAPGKGLEWVASISSYYGYTYYADSVKGRFTISADTSKNTAYLQMNSLRAEDTAVYYCARSYSTYYYGYWYFDVWGQGTLVTVSSGGGSGGGSGGGSGGGSDIQMTQSPSSLSAAVGDRVTITCRASQSVSSAVAWYQQKPGKAPKLLIYSASSLYSGVPSRFSGSRSGTDFTLTISSLQPEDFATYYCQQYNYYWLITFGQGTKVEIK</v>
      </c>
      <c r="N47" s="4">
        <f t="shared" si="2"/>
        <v>247</v>
      </c>
      <c r="O47" s="1" t="b">
        <f t="shared" si="1"/>
        <v>1</v>
      </c>
      <c r="P47" s="1" t="b">
        <v>0</v>
      </c>
      <c r="Q47" s="1" t="b">
        <v>0</v>
      </c>
      <c r="T47" s="10">
        <v>45972</v>
      </c>
      <c r="U47" s="2" t="s">
        <v>253</v>
      </c>
      <c r="V47" s="4">
        <v>0.16</v>
      </c>
    </row>
    <row r="48" spans="1:22" ht="60" x14ac:dyDescent="0.25">
      <c r="A48" s="1" t="s">
        <v>191</v>
      </c>
      <c r="B48" s="1" t="s">
        <v>18</v>
      </c>
      <c r="C48" s="2" t="s">
        <v>34</v>
      </c>
      <c r="D48" s="4">
        <v>0.7</v>
      </c>
      <c r="E48" s="1" t="s">
        <v>42</v>
      </c>
      <c r="G48" s="1" t="s">
        <v>4</v>
      </c>
      <c r="I48" s="2" t="s">
        <v>168</v>
      </c>
      <c r="J48" s="2" t="s">
        <v>169</v>
      </c>
      <c r="K48" s="1" t="b">
        <v>1</v>
      </c>
      <c r="L48" s="2" t="s">
        <v>125</v>
      </c>
      <c r="M48" s="2" t="str">
        <f t="shared" si="0"/>
        <v>QVQLQQPGAELVKPGASVKLSCKASGYTFTSDWIHWVKQRPGHGLEWIGEIIPSYGRANYNEKIQKKATLTADKSSSTAFMHLSSLTSEDSAVYYCARERGDGYFAVWGAGTTVTVSSGGGSGGGSGGGSGGGSDILLTQSPAILSVSPGERVSFSCRASQSIGTDIHWYQQRTNGSPRLLIKYASESISGIPSRFSGSGSGTDFTLSINSVESEDIANYYCQQSNRWPFTFGSGTKLEIK</v>
      </c>
      <c r="N48" s="4">
        <f t="shared" si="2"/>
        <v>241</v>
      </c>
      <c r="O48" s="1" t="b">
        <f t="shared" si="1"/>
        <v>1</v>
      </c>
      <c r="P48" s="1" t="b">
        <v>0</v>
      </c>
      <c r="Q48" s="1" t="b">
        <v>0</v>
      </c>
      <c r="T48" s="10">
        <v>45972</v>
      </c>
      <c r="U48" s="2" t="s">
        <v>254</v>
      </c>
      <c r="V48" s="4">
        <v>0</v>
      </c>
    </row>
    <row r="49" spans="1:22" ht="60" x14ac:dyDescent="0.25">
      <c r="A49" s="1" t="s">
        <v>192</v>
      </c>
      <c r="B49" s="1" t="s">
        <v>18</v>
      </c>
      <c r="C49" s="2" t="s">
        <v>34</v>
      </c>
      <c r="D49" s="4">
        <v>0.7</v>
      </c>
      <c r="E49" s="1" t="s">
        <v>42</v>
      </c>
      <c r="G49" s="1" t="s">
        <v>4</v>
      </c>
      <c r="I49" s="2" t="s">
        <v>170</v>
      </c>
      <c r="J49" s="2" t="s">
        <v>171</v>
      </c>
      <c r="K49" s="1" t="b">
        <v>1</v>
      </c>
      <c r="L49" s="2" t="s">
        <v>125</v>
      </c>
      <c r="M49" s="2" t="str">
        <f t="shared" si="0"/>
        <v>VRLLESGGGLVQPGGSLKLSCAASGFDYSRYWMSWVRQAPGKGLKWIGEINPVSSTINYTPSLKDKFIISRDNAKDTLYLQISKVRSEDTALYYCARLYYGYGYWYFDVWGAGTTVTVSSGGGSGGGSGGGSGGGSDIVLTQSPAIMSAAPGDKVTMTCSASSSVSYIHWYQQKSGTSPKRWIYDTSKLTSGVPVRFSGSGSGTSYSLTINTMEAEDAATYYCQQWSSHPQTFGGGTKLEIl</v>
      </c>
      <c r="N49" s="4">
        <f t="shared" si="2"/>
        <v>242</v>
      </c>
      <c r="O49" s="1" t="b">
        <f t="shared" si="1"/>
        <v>1</v>
      </c>
      <c r="P49" s="1" t="b">
        <v>0</v>
      </c>
      <c r="Q49" s="1" t="b">
        <v>0</v>
      </c>
      <c r="T49" s="10">
        <v>45972</v>
      </c>
      <c r="U49" s="2" t="s">
        <v>251</v>
      </c>
      <c r="V49" s="4">
        <v>0.09</v>
      </c>
    </row>
    <row r="50" spans="1:22" ht="75" x14ac:dyDescent="0.25">
      <c r="A50" s="1" t="s">
        <v>193</v>
      </c>
      <c r="B50" s="1" t="s">
        <v>18</v>
      </c>
      <c r="C50" s="2" t="s">
        <v>34</v>
      </c>
      <c r="D50" s="4">
        <v>0.7</v>
      </c>
      <c r="E50" s="1" t="s">
        <v>42</v>
      </c>
      <c r="G50" s="1" t="s">
        <v>4</v>
      </c>
      <c r="I50" s="2" t="s">
        <v>172</v>
      </c>
      <c r="J50" s="2" t="s">
        <v>173</v>
      </c>
      <c r="K50" s="1" t="b">
        <v>1</v>
      </c>
      <c r="L50" s="2" t="s">
        <v>125</v>
      </c>
      <c r="M50" s="2" t="str">
        <f t="shared" si="0"/>
        <v>QVQLQESGPGLVQPSQSLSLTCTVSGFSLTSYGVHWVRQSPGKGLEWLGVIWAGGSTDYNSALKSRLSISRDTSKNQVFLKMNSLQTDDTAMYYCAKHGSSNGDYWGQGTSVTVSSGGGSGGGSGGGSGGGSDIVMTQSPDSLAVSLGERATINCKSSQSVLYSSNNKNYLAWYQQKPEGQPPNLLIYWASTRESGVPDRFSGSGSGTDFTLTISSLQAEDVAVYYCQQYYSAPTFGQGTKLEIK</v>
      </c>
      <c r="N50" s="4">
        <f t="shared" si="2"/>
        <v>245</v>
      </c>
      <c r="O50" s="1" t="b">
        <f t="shared" si="1"/>
        <v>1</v>
      </c>
      <c r="P50" s="1" t="b">
        <v>0</v>
      </c>
      <c r="Q50" s="1" t="b">
        <v>0</v>
      </c>
      <c r="T50" s="10">
        <v>45972</v>
      </c>
      <c r="U50" s="2" t="s">
        <v>252</v>
      </c>
      <c r="V50" s="4">
        <v>0</v>
      </c>
    </row>
    <row r="51" spans="1:22" ht="75" x14ac:dyDescent="0.25">
      <c r="A51" s="1" t="s">
        <v>263</v>
      </c>
      <c r="B51" s="1" t="s">
        <v>18</v>
      </c>
      <c r="C51" s="2" t="s">
        <v>19</v>
      </c>
      <c r="D51" s="4">
        <v>0.2</v>
      </c>
      <c r="E51" s="1" t="s">
        <v>42</v>
      </c>
      <c r="G51" s="1" t="s">
        <v>258</v>
      </c>
      <c r="I51" s="2" t="s">
        <v>293</v>
      </c>
      <c r="J51" s="2" t="s">
        <v>294</v>
      </c>
      <c r="K51" s="1" t="b">
        <v>1</v>
      </c>
      <c r="L51" s="2" t="s">
        <v>125</v>
      </c>
      <c r="M51" s="2" t="str">
        <f t="shared" si="0"/>
        <v>QVQLQESGPGLVKPSETLSLTCTVSGGSVSSGGYFWSWIRQPPGKGLEWIGCIYYSGSTNYNPSLKSRVTISVDTSKNQFSLKLSSVTAADTAVYYCARVDSFYYGMDVWGQGTTVTVSSGGGSGGGSGGGSGGGSDIQMTQSPSSLSASVGDRVTITCRASQGIRNDLGWYQQKPGKAPKLLIYAASSLQSGVPSRFSGSGSGTDFTLTISSLQPEDFATYYCQQSYSTPRTFGQGTKVEIK</v>
      </c>
      <c r="N51" s="4">
        <f t="shared" si="2"/>
        <v>243</v>
      </c>
      <c r="O51" s="1" t="b">
        <f t="shared" si="1"/>
        <v>1</v>
      </c>
      <c r="P51" s="1" t="b">
        <v>0</v>
      </c>
      <c r="Q51" s="1" t="b">
        <v>0</v>
      </c>
      <c r="T51" s="10">
        <v>45973</v>
      </c>
      <c r="U51" s="2" t="s">
        <v>345</v>
      </c>
      <c r="V51" s="4">
        <v>0.16</v>
      </c>
    </row>
    <row r="52" spans="1:22" ht="60" x14ac:dyDescent="0.25">
      <c r="A52" s="1" t="s">
        <v>264</v>
      </c>
      <c r="B52" s="1" t="s">
        <v>18</v>
      </c>
      <c r="C52" s="2" t="s">
        <v>19</v>
      </c>
      <c r="D52" s="4">
        <v>0.2</v>
      </c>
      <c r="E52" s="1" t="s">
        <v>42</v>
      </c>
      <c r="G52" s="1" t="s">
        <v>258</v>
      </c>
      <c r="I52" s="2" t="s">
        <v>295</v>
      </c>
      <c r="J52" s="2" t="s">
        <v>296</v>
      </c>
      <c r="K52" s="1" t="b">
        <v>1</v>
      </c>
      <c r="L52" s="2" t="s">
        <v>125</v>
      </c>
      <c r="M52" s="2" t="str">
        <f t="shared" si="0"/>
        <v>EVQLVESGGGLVQPGGSLRLSCAASGFTFSSYAMSWVRQAPGKGLEWVSAISGSGGSTYYADSVKGRFTISRDNSKNTLYLQMNSLRAEDTAVYYCARQVWFGGFDYWGQGTLVTVSSGGGSGGGSGGGSGGGSDIQMTQSPSSLSASVGDRVTITCRASQSVSSAVAWYQQKPGKAPKLLIYSASSLYSGVPSRFSGSRSGTDFTLTISSLQPEDFATYYCQQYKYVPVTFGQGTKVEIK</v>
      </c>
      <c r="N52" s="4">
        <f t="shared" si="2"/>
        <v>241</v>
      </c>
      <c r="O52" s="1" t="b">
        <f t="shared" si="1"/>
        <v>1</v>
      </c>
      <c r="P52" s="1" t="b">
        <v>0</v>
      </c>
      <c r="Q52" s="1" t="b">
        <v>0</v>
      </c>
      <c r="T52" s="10">
        <v>45973</v>
      </c>
      <c r="U52" s="2" t="s">
        <v>346</v>
      </c>
      <c r="V52" s="4">
        <v>0.01</v>
      </c>
    </row>
    <row r="53" spans="1:22" ht="60" x14ac:dyDescent="0.25">
      <c r="A53" s="1" t="s">
        <v>265</v>
      </c>
      <c r="B53" s="1" t="s">
        <v>18</v>
      </c>
      <c r="C53" s="2" t="s">
        <v>19</v>
      </c>
      <c r="D53" s="4">
        <v>0.2</v>
      </c>
      <c r="E53" s="1" t="s">
        <v>42</v>
      </c>
      <c r="G53" s="1" t="s">
        <v>258</v>
      </c>
      <c r="I53" s="2" t="s">
        <v>297</v>
      </c>
      <c r="J53" s="2" t="s">
        <v>296</v>
      </c>
      <c r="K53" s="1" t="b">
        <v>1</v>
      </c>
      <c r="L53" s="2" t="s">
        <v>125</v>
      </c>
      <c r="M53" s="2" t="str">
        <f t="shared" si="0"/>
        <v>EVQLVESGGGLVQPGGSLRLSCAASGFNVSSSYIHWVRQAPGKGLEWVASISSYYGYTYYADSVKGRFTISADTSKNTAYLQMNSLRAEDTAVYYCARSRQFWYSGLDYWGQGTLVTVSSGGGSGGGSGGGSGGGSDIQMTQSPSSLSASVGDRVTITCRASQSVSSAVAWYQQKPGKAPKLLIYSASSLYSGVPSRFSGSRSGTDFTLTISSLQPEDFATYYCQQYKYVPVTFGQGTKVEIK</v>
      </c>
      <c r="N53" s="4">
        <f t="shared" si="2"/>
        <v>243</v>
      </c>
      <c r="O53" s="1" t="b">
        <f t="shared" si="1"/>
        <v>1</v>
      </c>
      <c r="P53" s="1" t="b">
        <v>0</v>
      </c>
      <c r="Q53" s="1" t="b">
        <v>0</v>
      </c>
      <c r="T53" s="10">
        <v>45973</v>
      </c>
      <c r="U53" s="2" t="s">
        <v>347</v>
      </c>
      <c r="V53" s="4">
        <v>0.04</v>
      </c>
    </row>
    <row r="54" spans="1:22" ht="75" x14ac:dyDescent="0.25">
      <c r="A54" s="1" t="s">
        <v>266</v>
      </c>
      <c r="B54" s="1" t="s">
        <v>18</v>
      </c>
      <c r="C54" s="2" t="s">
        <v>19</v>
      </c>
      <c r="D54" s="4">
        <v>0.2</v>
      </c>
      <c r="E54" s="1" t="s">
        <v>42</v>
      </c>
      <c r="G54" s="1" t="s">
        <v>258</v>
      </c>
      <c r="I54" s="2" t="s">
        <v>298</v>
      </c>
      <c r="J54" s="2" t="s">
        <v>296</v>
      </c>
      <c r="K54" s="1" t="b">
        <v>1</v>
      </c>
      <c r="L54" s="2" t="s">
        <v>125</v>
      </c>
      <c r="M54" s="2" t="str">
        <f t="shared" si="0"/>
        <v>EVQLVESGGGLVQPGGSLRLSCAASGFNISSSSIHWVRQAPGKGLEWVASIYSYSGYTSYADSVKGRFTISADTSKNTAYLQMNSLRAEDTAVYYCARGGSSYFGYYAMDYWGQGTLVTVSSGGGSGGGSGGGSGGGSDIQMTQSPSSLSASVGDRVTITCRASQSVSSAVAWYQQKPGKAPKLLIYSASSLYSGVPSRFSGSRSGTDFTLTISSLQPEDFATYYCQQYKYVPVTFGQGTKVEIK</v>
      </c>
      <c r="N54" s="4">
        <f t="shared" si="2"/>
        <v>245</v>
      </c>
      <c r="O54" s="1" t="b">
        <f t="shared" si="1"/>
        <v>1</v>
      </c>
      <c r="P54" s="1" t="b">
        <v>0</v>
      </c>
      <c r="Q54" s="1" t="b">
        <v>0</v>
      </c>
      <c r="T54" s="10">
        <v>45974</v>
      </c>
      <c r="U54" s="2" t="s">
        <v>372</v>
      </c>
      <c r="V54" s="4">
        <v>0.01</v>
      </c>
    </row>
    <row r="55" spans="1:22" ht="60" x14ac:dyDescent="0.25">
      <c r="A55" s="1" t="s">
        <v>267</v>
      </c>
      <c r="B55" s="1" t="s">
        <v>18</v>
      </c>
      <c r="C55" s="2" t="s">
        <v>19</v>
      </c>
      <c r="D55" s="4">
        <v>0.2</v>
      </c>
      <c r="E55" s="1" t="s">
        <v>42</v>
      </c>
      <c r="G55" s="1" t="s">
        <v>258</v>
      </c>
      <c r="I55" s="2" t="s">
        <v>299</v>
      </c>
      <c r="J55" s="2" t="s">
        <v>300</v>
      </c>
      <c r="K55" s="1" t="b">
        <v>1</v>
      </c>
      <c r="L55" s="2" t="s">
        <v>125</v>
      </c>
      <c r="M55" s="2" t="str">
        <f t="shared" si="0"/>
        <v>QVQLVQSGAEVKKPGSSVKVSCKASGGTFSSYSISWVRQAPGQGLEWMGGIIIFGTANYAQKFQGRVTITADESTSTAYMELSSLRSEDTAVYYCARGQGTLVDFYWGQGTLVTVSSGGGSGGGSGGGSGGGSDIQMTQSPSSLSASVGDRVTITCRASQSISSYLNWYQQKPGKAPKLLIYAASSLQSGVPSRFSGSGSGTDFTLTISSLQPEDFATYYCQQSYSTPRTFGQGTKVEIK</v>
      </c>
      <c r="N55" s="4">
        <f t="shared" si="2"/>
        <v>240</v>
      </c>
      <c r="O55" s="1" t="b">
        <f t="shared" si="1"/>
        <v>1</v>
      </c>
      <c r="P55" s="1" t="b">
        <v>0</v>
      </c>
      <c r="Q55" s="1" t="b">
        <v>0</v>
      </c>
      <c r="T55" s="10">
        <v>45974</v>
      </c>
      <c r="U55" s="11" t="s">
        <v>381</v>
      </c>
    </row>
    <row r="56" spans="1:22" ht="75" x14ac:dyDescent="0.25">
      <c r="A56" s="1" t="s">
        <v>268</v>
      </c>
      <c r="B56" s="1" t="s">
        <v>18</v>
      </c>
      <c r="C56" s="2" t="s">
        <v>19</v>
      </c>
      <c r="D56" s="4">
        <v>0.2</v>
      </c>
      <c r="E56" s="1" t="s">
        <v>42</v>
      </c>
      <c r="G56" s="1" t="s">
        <v>258</v>
      </c>
      <c r="I56" s="2" t="s">
        <v>301</v>
      </c>
      <c r="J56" s="2" t="s">
        <v>296</v>
      </c>
      <c r="K56" s="1" t="b">
        <v>1</v>
      </c>
      <c r="L56" s="2" t="s">
        <v>125</v>
      </c>
      <c r="M56" s="2" t="str">
        <f t="shared" si="0"/>
        <v>EVQLVESGGGLVQPGGSLRLSCAASGFNVSYYSIHWVRQAPGKGLEWVASIYPYSGYTNYADSVKGRFTISADTSKNTAYLQMNSLRAEDTAVYYCARYYGYGYWGYAMDYWGQGTLVTVSSGGGSGGGSGGGSGGGSDIQMTQSPSSLSASVGDRVTITCRASQSVSSAVAWYQQKPGKAPKLLIYSASSLYSGVPSRFSGSRSGTDFTLTISSLQPEDFATYYCQQYKYVPVTFGQGTKVEIK</v>
      </c>
      <c r="N56" s="4">
        <f t="shared" si="2"/>
        <v>245</v>
      </c>
      <c r="O56" s="1" t="b">
        <f t="shared" si="1"/>
        <v>1</v>
      </c>
      <c r="P56" s="1" t="b">
        <v>0</v>
      </c>
      <c r="Q56" s="1" t="b">
        <v>0</v>
      </c>
      <c r="T56" s="10">
        <v>45974</v>
      </c>
      <c r="U56" s="2" t="s">
        <v>373</v>
      </c>
      <c r="V56" s="4">
        <v>0</v>
      </c>
    </row>
    <row r="57" spans="1:22" ht="60" x14ac:dyDescent="0.25">
      <c r="A57" s="1" t="s">
        <v>269</v>
      </c>
      <c r="B57" s="1" t="s">
        <v>18</v>
      </c>
      <c r="C57" s="2" t="s">
        <v>19</v>
      </c>
      <c r="D57" s="4">
        <v>0.2</v>
      </c>
      <c r="E57" s="1" t="s">
        <v>42</v>
      </c>
      <c r="G57" s="1" t="s">
        <v>258</v>
      </c>
      <c r="I57" s="2" t="s">
        <v>302</v>
      </c>
      <c r="J57" s="2" t="s">
        <v>296</v>
      </c>
      <c r="K57" s="1" t="b">
        <v>1</v>
      </c>
      <c r="L57" s="2" t="s">
        <v>125</v>
      </c>
      <c r="M57" s="2" t="str">
        <f t="shared" si="0"/>
        <v>EVQLVESGGGLVQPGGSLRLSCAASGFTFSSYAMSWVRQAPGKGLEWVSAISGSGGSTYYADSVKGRFTISRDNSKNTLYLQMNSLRAEDTAVYYCARGYQVYFDYWGQGTLVTVSSGGGSGGGSGGGSGGGSDIQMTQSPSSLSASVGDRVTITCRASQSVSSAVAWYQQKPGKAPKLLIYSASSLYSGVPSRFSGSRSGTDFTLTISSLQPEDFATYYCQQYKYVPVTFGQGTKVEIK</v>
      </c>
      <c r="N57" s="4">
        <f t="shared" si="2"/>
        <v>240</v>
      </c>
      <c r="O57" s="1" t="b">
        <f t="shared" si="1"/>
        <v>1</v>
      </c>
      <c r="P57" s="1" t="b">
        <v>0</v>
      </c>
      <c r="Q57" s="1" t="b">
        <v>0</v>
      </c>
      <c r="T57" s="10">
        <v>45976</v>
      </c>
      <c r="U57" s="11" t="s">
        <v>381</v>
      </c>
    </row>
    <row r="58" spans="1:22" ht="75" x14ac:dyDescent="0.25">
      <c r="A58" s="1" t="s">
        <v>270</v>
      </c>
      <c r="B58" s="1" t="s">
        <v>18</v>
      </c>
      <c r="C58" s="2" t="s">
        <v>19</v>
      </c>
      <c r="D58" s="4">
        <v>0.2</v>
      </c>
      <c r="E58" s="1" t="s">
        <v>42</v>
      </c>
      <c r="G58" s="1" t="s">
        <v>258</v>
      </c>
      <c r="I58" s="2" t="s">
        <v>303</v>
      </c>
      <c r="J58" s="2" t="s">
        <v>304</v>
      </c>
      <c r="K58" s="1" t="b">
        <v>1</v>
      </c>
      <c r="L58" s="2" t="s">
        <v>125</v>
      </c>
      <c r="M58" s="2" t="str">
        <f t="shared" si="0"/>
        <v>EVQLVESGGGLVQPGGSLRLSCAASGFNVSSSYIHWVRQAPGKGLEWVASISSYYGSTYYADSVKGRFTISADTSKNTAYLQMNSLRAEDTAVYYCARGWSYSWSYSWSYSGLDVWGQGTTVTVSSGGGSGGGSGGGSGGGSDIQMTQSPSSLSASVGDRVTITCRASQSVSSAVAWYQQKPGKAPKLLIYSASSLYSGVPSRFSGSRSGTDFTLTISSLQPEDFATYYCQQSSSSLITFGQGTKVEIK</v>
      </c>
      <c r="N58" s="4">
        <f t="shared" si="2"/>
        <v>249</v>
      </c>
      <c r="O58" s="1" t="b">
        <f t="shared" si="1"/>
        <v>1</v>
      </c>
      <c r="P58" s="1" t="b">
        <v>0</v>
      </c>
      <c r="Q58" s="1" t="b">
        <v>0</v>
      </c>
      <c r="T58" s="10">
        <v>45976</v>
      </c>
    </row>
    <row r="59" spans="1:22" ht="60" x14ac:dyDescent="0.25">
      <c r="A59" s="1" t="s">
        <v>271</v>
      </c>
      <c r="B59" s="1" t="s">
        <v>18</v>
      </c>
      <c r="C59" s="2" t="s">
        <v>19</v>
      </c>
      <c r="D59" s="4">
        <v>0.2</v>
      </c>
      <c r="E59" s="1" t="s">
        <v>42</v>
      </c>
      <c r="G59" s="1" t="s">
        <v>258</v>
      </c>
      <c r="I59" s="2" t="s">
        <v>305</v>
      </c>
      <c r="J59" s="2" t="s">
        <v>296</v>
      </c>
      <c r="K59" s="1" t="b">
        <v>1</v>
      </c>
      <c r="L59" s="2" t="s">
        <v>125</v>
      </c>
      <c r="M59" s="2" t="str">
        <f t="shared" si="0"/>
        <v>EVQLVESGGGLVQPGGSLRLSCAASGFNISSSSIHWVRQAPGKGLEWVASIYSYSGYTSYADSVKGRFTISADTSKNTAYLQMNSLRAEDTAVYYCARGWYYGSSYWGQGTLVTVSSGGGSGGGSGGGSGGGSDIQMTQSPSSLSASVGDRVTITCRASQSVSSAVAWYQQKPGKAPKLLIYSASSLYSGVPSRFSGSRSGTDFTLTISSLQPEDFATYYCQQYKYVPVTFGQGTKVEIK</v>
      </c>
      <c r="N59" s="4">
        <f t="shared" si="2"/>
        <v>240</v>
      </c>
      <c r="O59" s="1" t="b">
        <f t="shared" si="1"/>
        <v>1</v>
      </c>
      <c r="P59" s="1" t="b">
        <v>0</v>
      </c>
      <c r="Q59" s="1" t="b">
        <v>0</v>
      </c>
      <c r="T59" s="10"/>
    </row>
    <row r="60" spans="1:22" ht="60" x14ac:dyDescent="0.25">
      <c r="A60" s="1" t="s">
        <v>272</v>
      </c>
      <c r="B60" s="1" t="s">
        <v>18</v>
      </c>
      <c r="C60" s="2" t="s">
        <v>19</v>
      </c>
      <c r="D60" s="4">
        <v>0.2</v>
      </c>
      <c r="E60" s="1" t="s">
        <v>42</v>
      </c>
      <c r="G60" s="1" t="s">
        <v>258</v>
      </c>
      <c r="I60" s="2" t="s">
        <v>306</v>
      </c>
      <c r="J60" s="2" t="s">
        <v>296</v>
      </c>
      <c r="K60" s="1" t="b">
        <v>1</v>
      </c>
      <c r="L60" s="2" t="s">
        <v>125</v>
      </c>
      <c r="M60" s="2" t="str">
        <f t="shared" si="0"/>
        <v>EVQLVESGGGLVQPGGSLRLSCAASGFNVSSSYIHWVRQAPGKGLEWVASISSYYGYTYYADSVKGRFTISADTSKNTAYLQMNSLRAEDTAVYYCARYYGTYYGSSYWGQGTLVTVSSGGGSGGGSGGGSGGGSDIQMTQSPSSLSASVGDRVTITCRASQSVSSAVAWYQQKPGKAPKLLIYSASSLYSGVPSRFSGSRSGTDFTLTISSLQPEDFATYYCQQYKYVPVTFGQGTKVEIK</v>
      </c>
      <c r="N60" s="4">
        <f t="shared" si="2"/>
        <v>242</v>
      </c>
      <c r="O60" s="1" t="b">
        <f t="shared" si="1"/>
        <v>1</v>
      </c>
      <c r="P60" s="1" t="b">
        <v>0</v>
      </c>
      <c r="Q60" s="1" t="b">
        <v>0</v>
      </c>
      <c r="T60" s="10"/>
    </row>
    <row r="61" spans="1:22" ht="60" x14ac:dyDescent="0.25">
      <c r="A61" s="1" t="s">
        <v>273</v>
      </c>
      <c r="B61" s="1" t="s">
        <v>18</v>
      </c>
      <c r="C61" s="2" t="s">
        <v>19</v>
      </c>
      <c r="D61" s="4">
        <v>0.5</v>
      </c>
      <c r="E61" s="1" t="s">
        <v>42</v>
      </c>
      <c r="G61" s="1" t="s">
        <v>258</v>
      </c>
      <c r="I61" s="2" t="s">
        <v>307</v>
      </c>
      <c r="J61" s="2" t="s">
        <v>308</v>
      </c>
      <c r="K61" s="1" t="b">
        <v>1</v>
      </c>
      <c r="L61" s="2" t="s">
        <v>125</v>
      </c>
      <c r="M61" s="2" t="str">
        <f t="shared" si="0"/>
        <v>QMQLVQSGAEVKKPGESLKISCKGSGYSFTSYWIGWVRQMPGKGLEWMGIIYPGDSDTRYSPSFQGQVTISADKSISTAYLQWSSLKASDTAIYYCARHYYGGQYFDYWGQGTLVTVSSGGGSGGGSGGGSGGGSDIQMTQSPSSLSASVGDRVTITCRASQGIRNDLGWYQQKPGKAPKLLIYAASSLQSGVPSRFSGSGSGTDFTLTISSLQPEDFATYYCQQSYSTPYTFGQGTKLEIK</v>
      </c>
      <c r="N61" s="4">
        <f t="shared" si="2"/>
        <v>242</v>
      </c>
      <c r="O61" s="1" t="b">
        <f t="shared" si="1"/>
        <v>1</v>
      </c>
      <c r="P61" s="1" t="b">
        <v>0</v>
      </c>
      <c r="Q61" s="1" t="b">
        <v>0</v>
      </c>
      <c r="T61" s="10">
        <v>45973</v>
      </c>
      <c r="U61" s="2" t="s">
        <v>349</v>
      </c>
      <c r="V61" s="4">
        <v>0.01</v>
      </c>
    </row>
    <row r="62" spans="1:22" ht="60" x14ac:dyDescent="0.25">
      <c r="A62" s="1" t="s">
        <v>274</v>
      </c>
      <c r="B62" s="1" t="s">
        <v>18</v>
      </c>
      <c r="C62" s="2" t="s">
        <v>19</v>
      </c>
      <c r="D62" s="4">
        <v>0.5</v>
      </c>
      <c r="E62" s="1" t="s">
        <v>42</v>
      </c>
      <c r="G62" s="1" t="s">
        <v>258</v>
      </c>
      <c r="I62" s="2" t="s">
        <v>309</v>
      </c>
      <c r="J62" s="2" t="s">
        <v>24</v>
      </c>
      <c r="K62" s="1" t="b">
        <v>1</v>
      </c>
      <c r="L62" s="2" t="s">
        <v>125</v>
      </c>
      <c r="M62" s="2" t="str">
        <f t="shared" si="0"/>
        <v>QVQLVQSGAEVKKPGSSVKVSCKASGGTFSSYAISWVRQAPGQGLEWMGGIIPIFGTANYAQKFQGRVTITADESTSTAYMELSSLRSEDTAVYYCARWYDGYFVYWGQGTLVTVSSGGGSGGGSGGGSGGGSDIQMTQSPSSLSASVGDRVTITCRASQSISSYLNWYQQKPGKAPKLLIYAASSLQSGVPSRFSGSGSGTDFTLTISSLQPEDFATYYCQQSYSTPYTFGQGTKVEIK</v>
      </c>
      <c r="N62" s="4">
        <f t="shared" si="2"/>
        <v>240</v>
      </c>
      <c r="O62" s="1" t="b">
        <f t="shared" si="1"/>
        <v>1</v>
      </c>
      <c r="P62" s="1" t="b">
        <v>0</v>
      </c>
      <c r="Q62" s="1" t="b">
        <v>0</v>
      </c>
      <c r="T62" s="10">
        <v>45973</v>
      </c>
      <c r="U62" s="2" t="s">
        <v>348</v>
      </c>
      <c r="V62" s="4">
        <v>0.33</v>
      </c>
    </row>
    <row r="63" spans="1:22" ht="75" x14ac:dyDescent="0.25">
      <c r="A63" s="1" t="s">
        <v>275</v>
      </c>
      <c r="B63" s="1" t="s">
        <v>18</v>
      </c>
      <c r="C63" s="2" t="s">
        <v>19</v>
      </c>
      <c r="D63" s="4">
        <v>0.5</v>
      </c>
      <c r="E63" s="1" t="s">
        <v>42</v>
      </c>
      <c r="G63" s="1" t="s">
        <v>258</v>
      </c>
      <c r="I63" s="2" t="s">
        <v>310</v>
      </c>
      <c r="J63" s="2" t="s">
        <v>296</v>
      </c>
      <c r="K63" s="1" t="b">
        <v>1</v>
      </c>
      <c r="L63" s="2" t="s">
        <v>125</v>
      </c>
      <c r="M63" s="2" t="str">
        <f t="shared" si="0"/>
        <v>EVQLVESGGGLVQPGGSLRLSCAASGFNVSSSSIHWVRQAPGKGLEWVASISSYYGYTYYADSVKGRFTISADTSKNTAYLQMNSLRAEDTAVYYCARSRQFWYSGLDYWGQGTLVTVFNGGGSGGGSGGGSGGGSDIQMTQSPSSLSASVGDRVTITCRASQSVSSAVAWYQQKPGKAPKLLIYSASSLYSGVPSRFSGSRSGTDFTLTISSLQPEDFATYYCQQYKYVPVTFGQGTKVEIK</v>
      </c>
      <c r="N63" s="4">
        <f t="shared" si="2"/>
        <v>243</v>
      </c>
      <c r="O63" s="1" t="b">
        <f t="shared" si="1"/>
        <v>1</v>
      </c>
      <c r="P63" s="1" t="b">
        <v>0</v>
      </c>
      <c r="Q63" s="1" t="b">
        <v>0</v>
      </c>
      <c r="T63" s="10">
        <v>45973</v>
      </c>
      <c r="U63" s="2" t="s">
        <v>351</v>
      </c>
      <c r="V63" s="4">
        <v>0.06</v>
      </c>
    </row>
    <row r="64" spans="1:22" ht="60" x14ac:dyDescent="0.25">
      <c r="A64" s="1" t="s">
        <v>276</v>
      </c>
      <c r="B64" s="1" t="s">
        <v>18</v>
      </c>
      <c r="C64" s="2" t="s">
        <v>19</v>
      </c>
      <c r="D64" s="4">
        <v>0.5</v>
      </c>
      <c r="E64" s="1" t="s">
        <v>42</v>
      </c>
      <c r="G64" s="1" t="s">
        <v>258</v>
      </c>
      <c r="I64" s="2" t="s">
        <v>311</v>
      </c>
      <c r="J64" s="2" t="s">
        <v>304</v>
      </c>
      <c r="K64" s="1" t="b">
        <v>1</v>
      </c>
      <c r="L64" s="2" t="s">
        <v>125</v>
      </c>
      <c r="M64" s="2" t="str">
        <f t="shared" si="0"/>
        <v>EVQLVESGGGLVQPGGSLRLSCAASGFNISSSSIHWVRQAPGKGLEWVASIYSYYGSTYYADSVKGRFTISADTSKNTAYLQMRAEDTAVYYCARGWRSYAMDYWGQGTLVTVSSGGGSGGGSGGGSGGGSDIQMTQSPSSLSASVGDRVTITCRASQSVSSAVAWYQQKPGKAPKLLIYSASSLYSGVPSRFSGSRSGTDFTLTISSLQPEDFATYYCQQSSSSLITFGQGTKVEIK</v>
      </c>
      <c r="N64" s="4">
        <f t="shared" si="2"/>
        <v>238</v>
      </c>
      <c r="O64" s="1" t="b">
        <f t="shared" si="1"/>
        <v>1</v>
      </c>
      <c r="P64" s="1" t="b">
        <v>0</v>
      </c>
      <c r="Q64" s="1" t="b">
        <v>0</v>
      </c>
      <c r="T64" s="10">
        <v>45974</v>
      </c>
      <c r="U64" s="2" t="s">
        <v>374</v>
      </c>
      <c r="V64" s="4">
        <v>0.01</v>
      </c>
    </row>
    <row r="65" spans="1:22" ht="75" x14ac:dyDescent="0.25">
      <c r="A65" s="1" t="s">
        <v>277</v>
      </c>
      <c r="B65" s="1" t="s">
        <v>18</v>
      </c>
      <c r="C65" s="2" t="s">
        <v>19</v>
      </c>
      <c r="D65" s="4">
        <v>0.5</v>
      </c>
      <c r="E65" s="1" t="s">
        <v>42</v>
      </c>
      <c r="G65" s="1" t="s">
        <v>258</v>
      </c>
      <c r="I65" s="2" t="s">
        <v>312</v>
      </c>
      <c r="J65" s="2" t="s">
        <v>313</v>
      </c>
      <c r="K65" s="1" t="b">
        <v>1</v>
      </c>
      <c r="L65" s="2" t="s">
        <v>125</v>
      </c>
      <c r="M65" s="2" t="str">
        <f t="shared" si="0"/>
        <v>QVQLVQSGAEVKKPGSSVKVSCKASGGTFSSYSFIWVRQAPGQGLEWMGGIIPIFGTANYAQKFQGRVTITADESTSTAYMELSSLRSEDTAVYYCARSSYSGVYYSWYFDVWGAGTTVTVSSGGGSGGGSGGGSGGGSDIQMTQSPSSLSASVGDRVTITCRASQGISNYLAWYQQKPGKAPKLLIYAASTLQSGVPSRFSGSGSGTDFTLTISSLQPEDFATYYCQQSYSTPRTFGQGTKVEIK</v>
      </c>
      <c r="N65" s="4">
        <f t="shared" si="2"/>
        <v>246</v>
      </c>
      <c r="O65" s="1" t="b">
        <f t="shared" si="1"/>
        <v>1</v>
      </c>
      <c r="P65" s="1" t="b">
        <v>0</v>
      </c>
      <c r="Q65" s="1" t="b">
        <v>0</v>
      </c>
      <c r="T65" s="10">
        <v>45974</v>
      </c>
      <c r="U65" s="2" t="s">
        <v>377</v>
      </c>
      <c r="V65" s="4">
        <v>0.01</v>
      </c>
    </row>
    <row r="66" spans="1:22" ht="75" x14ac:dyDescent="0.25">
      <c r="A66" s="1" t="s">
        <v>278</v>
      </c>
      <c r="B66" s="1" t="s">
        <v>18</v>
      </c>
      <c r="C66" s="2" t="s">
        <v>19</v>
      </c>
      <c r="D66" s="4">
        <v>0.5</v>
      </c>
      <c r="E66" s="1" t="s">
        <v>42</v>
      </c>
      <c r="G66" s="1" t="s">
        <v>258</v>
      </c>
      <c r="I66" s="2" t="s">
        <v>314</v>
      </c>
      <c r="J66" s="2" t="s">
        <v>315</v>
      </c>
      <c r="K66" s="1" t="b">
        <v>1</v>
      </c>
      <c r="L66" s="2" t="s">
        <v>125</v>
      </c>
      <c r="M66" s="2" t="str">
        <f t="shared" si="0"/>
        <v>EVQLQESGPGLVKPSQTLSLTCTVSGGSISSYAAWSWIRQPPGKGLEWIGYIYSSSGSTNYNPSLKSRVTISVDTSKNQFSLKLSSVTAADTAVYYCARGDYSYSYYGLDYWGQGTLVTVSSGGGSGGGSGGGSGGGSDIQMTQSPSSLSASVGDRVTITCRASQGIRNDLGWYQQKPGKAPKLLIYAASNLQSGVPSRFSGSGSGTDFTLTISSLQPEDFATYYCQQSYSTPRYTFGQGTKVEIK</v>
      </c>
      <c r="N66" s="4">
        <f t="shared" si="2"/>
        <v>246</v>
      </c>
      <c r="O66" s="1" t="b">
        <f t="shared" si="1"/>
        <v>1</v>
      </c>
      <c r="P66" s="1" t="b">
        <v>0</v>
      </c>
      <c r="Q66" s="1" t="b">
        <v>0</v>
      </c>
      <c r="T66" s="10">
        <v>45974</v>
      </c>
      <c r="U66" s="2" t="s">
        <v>375</v>
      </c>
      <c r="V66" s="4">
        <v>0.1</v>
      </c>
    </row>
    <row r="67" spans="1:22" ht="60" x14ac:dyDescent="0.25">
      <c r="A67" s="1" t="s">
        <v>279</v>
      </c>
      <c r="B67" s="1" t="s">
        <v>18</v>
      </c>
      <c r="C67" s="2" t="s">
        <v>19</v>
      </c>
      <c r="D67" s="4">
        <v>0.5</v>
      </c>
      <c r="E67" s="1" t="s">
        <v>42</v>
      </c>
      <c r="G67" s="1" t="s">
        <v>258</v>
      </c>
      <c r="I67" s="2" t="s">
        <v>316</v>
      </c>
      <c r="J67" s="2" t="s">
        <v>317</v>
      </c>
      <c r="K67" s="1" t="b">
        <v>1</v>
      </c>
      <c r="L67" s="2" t="s">
        <v>125</v>
      </c>
      <c r="M67" s="2" t="str">
        <f t="shared" ref="M67:M81" si="3">_xlfn.CONCAT(I67,L67,J67)</f>
        <v>EVQLQQSGPELVKPGASVKMSCKASGYTFTSYNIHWVKQTPVHGLEWIGAIVSGGDTNYNENFKDKATLTVDKSSSTAYMQLTSEDSAVYYCARGGFYGDYWGQGTSVTVSSGGGSGGGSGGGSGGGSDIVLTQSPATLSVTPGDSVSLSCRASQSVTNNIHWYQQKSHESPRLLIKYASQSISGIPSRFSGSGSGTDFTLSINSVETEDFGMYFCQQSNSWPYTFGGGTKLEIK</v>
      </c>
      <c r="N67" s="4">
        <f t="shared" si="2"/>
        <v>235</v>
      </c>
      <c r="O67" s="1" t="b">
        <f t="shared" ref="O67:O83" si="4">IF(N67&lt;=250,TRUE,FALSE)</f>
        <v>1</v>
      </c>
      <c r="P67" s="1" t="b">
        <v>0</v>
      </c>
      <c r="Q67" s="1" t="b">
        <v>0</v>
      </c>
      <c r="T67" s="10">
        <v>45976</v>
      </c>
    </row>
    <row r="68" spans="1:22" ht="60" x14ac:dyDescent="0.25">
      <c r="A68" s="1" t="s">
        <v>280</v>
      </c>
      <c r="B68" s="1" t="s">
        <v>18</v>
      </c>
      <c r="C68" s="2" t="s">
        <v>19</v>
      </c>
      <c r="D68" s="4">
        <v>0.5</v>
      </c>
      <c r="E68" s="1" t="s">
        <v>42</v>
      </c>
      <c r="G68" s="1" t="s">
        <v>258</v>
      </c>
      <c r="I68" s="2" t="s">
        <v>318</v>
      </c>
      <c r="J68" s="2" t="s">
        <v>319</v>
      </c>
      <c r="K68" s="1" t="b">
        <v>1</v>
      </c>
      <c r="L68" s="2" t="s">
        <v>125</v>
      </c>
      <c r="M68" s="2" t="str">
        <f t="shared" si="3"/>
        <v>QVQLQESGPGLVKPSQTLSLTCTVSGGSISSGDYYWIRQHPGKGLEWIGYIYYSGSTYYNPSLKSRVTISVDTSKNQFSLKLSSVTAADTAVYYCARQLWLRGRFDYWGQGTLVTVSSGGGSGGGSGGGSGGGSDIQMTQSPSSLSASVGDRVTITCRASQGISSWLAWYQQKPGKAPKLLIYAASTLQSGVPSRFSGSGSGTDFTLTISSLQPEDFATYYCQQSYSTPYTFGQGTKVEIK</v>
      </c>
      <c r="N68" s="4">
        <f t="shared" si="2"/>
        <v>241</v>
      </c>
      <c r="O68" s="1" t="b">
        <f t="shared" si="4"/>
        <v>1</v>
      </c>
      <c r="P68" s="1" t="b">
        <v>0</v>
      </c>
      <c r="Q68" s="1" t="b">
        <v>0</v>
      </c>
      <c r="T68" s="10">
        <v>45976</v>
      </c>
    </row>
    <row r="69" spans="1:22" ht="60" x14ac:dyDescent="0.25">
      <c r="A69" s="1" t="s">
        <v>281</v>
      </c>
      <c r="B69" s="1" t="s">
        <v>18</v>
      </c>
      <c r="C69" s="2" t="s">
        <v>19</v>
      </c>
      <c r="D69" s="4">
        <v>0.5</v>
      </c>
      <c r="E69" s="1" t="s">
        <v>42</v>
      </c>
      <c r="G69" s="1" t="s">
        <v>258</v>
      </c>
      <c r="I69" s="2" t="s">
        <v>320</v>
      </c>
      <c r="J69" s="2" t="s">
        <v>296</v>
      </c>
      <c r="K69" s="1" t="b">
        <v>1</v>
      </c>
      <c r="L69" s="2" t="s">
        <v>125</v>
      </c>
      <c r="M69" s="2" t="str">
        <f t="shared" si="3"/>
        <v>EVQLVESGGGLVQPGGSLRLSCAASGFTVSSNYMSWVRQAPGKGLEWVSVIYSGGSTYYADSVKGRFTISRDNSKNTLYLQMNSLRAEDTAVYYCAREAGVWVFDYWGQGTLVTVSSGGGSGGGSGGGSGGGSDIQMTQSPSSLSASVGDRVTITCRASQSVSSAVAWYQQKPGKAPKLLIYSASSLYSGVPSRFSGSRSGTDFTLTISSLQPEDFATYYCQQYKYVPVTFGQGTKVEIK</v>
      </c>
      <c r="N69" s="4">
        <f t="shared" si="2"/>
        <v>240</v>
      </c>
      <c r="O69" s="1" t="b">
        <f t="shared" si="4"/>
        <v>1</v>
      </c>
      <c r="P69" s="1" t="b">
        <v>0</v>
      </c>
      <c r="Q69" s="1" t="b">
        <v>0</v>
      </c>
      <c r="T69" s="10"/>
    </row>
    <row r="70" spans="1:22" ht="60" x14ac:dyDescent="0.25">
      <c r="A70" s="1" t="s">
        <v>282</v>
      </c>
      <c r="B70" s="1" t="s">
        <v>18</v>
      </c>
      <c r="C70" s="2" t="s">
        <v>19</v>
      </c>
      <c r="D70" s="4">
        <v>0.5</v>
      </c>
      <c r="E70" s="1" t="s">
        <v>42</v>
      </c>
      <c r="G70" s="1" t="s">
        <v>258</v>
      </c>
      <c r="I70" s="2" t="s">
        <v>321</v>
      </c>
      <c r="J70" s="2" t="s">
        <v>296</v>
      </c>
      <c r="K70" s="1" t="b">
        <v>1</v>
      </c>
      <c r="L70" s="2" t="s">
        <v>125</v>
      </c>
      <c r="M70" s="2" t="str">
        <f t="shared" si="3"/>
        <v>EVQLVESGGGLVQPGGSLRLSCAASGFNLYSSSIHWVRQAPGKGLEWVASISSYYGSTYYADSVKGRFTISADTSKNTAYLQMNSLRAEDTAVYYCARSRQFWLWFGQGTLVTVSSGGGSGGGSGGGSGGGSDIQMTQSPSSLSASVGDRVTITCRASQSVSSAVAWYQQKPGKAPKLLIYSASSLYSGVPSRFSGSRSGTDFTLTISSLQPEDFATYYCQQYKYVPVTFGQGTKVEIK</v>
      </c>
      <c r="N70" s="4">
        <f t="shared" si="2"/>
        <v>239</v>
      </c>
      <c r="O70" s="1" t="b">
        <f t="shared" si="4"/>
        <v>1</v>
      </c>
      <c r="P70" s="1" t="b">
        <v>0</v>
      </c>
      <c r="Q70" s="1" t="b">
        <v>0</v>
      </c>
      <c r="T70" s="10"/>
    </row>
    <row r="71" spans="1:22" ht="75" x14ac:dyDescent="0.25">
      <c r="A71" s="1" t="s">
        <v>283</v>
      </c>
      <c r="B71" s="1" t="s">
        <v>18</v>
      </c>
      <c r="C71" s="2" t="s">
        <v>19</v>
      </c>
      <c r="D71" s="4">
        <v>0.7</v>
      </c>
      <c r="E71" s="1" t="s">
        <v>42</v>
      </c>
      <c r="G71" s="1" t="s">
        <v>258</v>
      </c>
      <c r="I71" s="2" t="s">
        <v>322</v>
      </c>
      <c r="J71" s="2" t="s">
        <v>323</v>
      </c>
      <c r="K71" s="1" t="b">
        <v>1</v>
      </c>
      <c r="L71" s="2" t="s">
        <v>125</v>
      </c>
      <c r="M71" s="2" t="str">
        <f t="shared" si="3"/>
        <v>VQLVQSGAEVKKPGASVKVSCKASGYTFTTYTISWVRQAPGQGLEWMGWINNSGGTNYAQKFQGRVTMTRDTSTSTVSAYMELRSEDTAVYYCATFVYGYSAYQPLTDDYGQMDVWGQGTTVTVSSGGGSGGGSGGGSGGGSDIQMTQSPSSLSASVGDRVTITCRASQSISSYLNWFQQKPGKAPKLLIYAASSLQSGVPSRFSGSGSGTDFTLTISSLQPEDFATYYCQQSLLYPLTFGGGTKVEIK</v>
      </c>
      <c r="N71" s="4">
        <f t="shared" ref="N71:N83" si="5">LEN(M71)</f>
        <v>249</v>
      </c>
      <c r="O71" s="1" t="b">
        <f t="shared" si="4"/>
        <v>1</v>
      </c>
      <c r="P71" s="1" t="b">
        <v>0</v>
      </c>
      <c r="Q71" s="1" t="b">
        <v>0</v>
      </c>
      <c r="T71" s="10">
        <v>45973</v>
      </c>
      <c r="U71" s="2" t="s">
        <v>354</v>
      </c>
      <c r="V71" s="4">
        <v>0</v>
      </c>
    </row>
    <row r="72" spans="1:22" ht="60" x14ac:dyDescent="0.25">
      <c r="A72" s="1" t="s">
        <v>284</v>
      </c>
      <c r="B72" s="1" t="s">
        <v>18</v>
      </c>
      <c r="C72" s="2" t="s">
        <v>19</v>
      </c>
      <c r="D72" s="4">
        <v>0.7</v>
      </c>
      <c r="E72" s="1" t="s">
        <v>42</v>
      </c>
      <c r="G72" s="1" t="s">
        <v>258</v>
      </c>
      <c r="I72" s="2" t="s">
        <v>324</v>
      </c>
      <c r="J72" s="2" t="s">
        <v>325</v>
      </c>
      <c r="K72" s="1" t="b">
        <v>1</v>
      </c>
      <c r="L72" s="2" t="s">
        <v>125</v>
      </c>
      <c r="M72" s="2" t="str">
        <f t="shared" si="3"/>
        <v>EVQLVESGGGLVQPGGSLRLSCAASGFNISSSSIHWVRQAPGKGLEWVASIYSSSGSTYYADSVKGRFTISADTSKNTAYLQMNSLRAEDTAVYYCARHRWWAHPYWGQGTLVTVSSGGGSGGGSGGGSGGGSDIQMTQSPSSLSASVGDRVTITCRASQSVSSAVAWYQQKPGKAPKLLIYSASSLYSGVPSRFSGSRSGTDFTLTISSLQPEDFATYYCQQSYYITPYTFGQGTKVEIK</v>
      </c>
      <c r="N72" s="4">
        <f t="shared" si="5"/>
        <v>241</v>
      </c>
      <c r="O72" s="1" t="b">
        <f t="shared" si="4"/>
        <v>1</v>
      </c>
      <c r="P72" s="1" t="b">
        <v>0</v>
      </c>
      <c r="Q72" s="1" t="b">
        <v>0</v>
      </c>
      <c r="T72" s="10">
        <v>45973</v>
      </c>
      <c r="U72" s="2" t="s">
        <v>352</v>
      </c>
      <c r="V72" s="4">
        <v>0</v>
      </c>
    </row>
    <row r="73" spans="1:22" ht="60" x14ac:dyDescent="0.25">
      <c r="A73" s="1" t="s">
        <v>285</v>
      </c>
      <c r="B73" s="1" t="s">
        <v>18</v>
      </c>
      <c r="C73" s="2" t="s">
        <v>19</v>
      </c>
      <c r="D73" s="4">
        <v>0.7</v>
      </c>
      <c r="E73" s="1" t="s">
        <v>42</v>
      </c>
      <c r="G73" s="1" t="s">
        <v>258</v>
      </c>
      <c r="I73" s="2" t="s">
        <v>326</v>
      </c>
      <c r="J73" s="2" t="s">
        <v>327</v>
      </c>
      <c r="K73" s="1" t="b">
        <v>1</v>
      </c>
      <c r="L73" s="2" t="s">
        <v>125</v>
      </c>
      <c r="M73" s="2" t="str">
        <f t="shared" si="3"/>
        <v>EVQLVESGGGVVQPGRSLRLSCAASGFTFSSYAMHWVRQAPGKGLEWVAVIWYDGSNKYYADSVKGRFTISRDNSKNTLFLQMNSLRPEDTAVYYCARDTPMYYDVWGQGTTVTVSSGGGSGGGSGGGSGGGSDIQLTQSPSSLSASVGDRVTITCRTSQDIDNYLNWYQQKPGKAPKLLIYYTSSLHSGVPSRFSGSGSGTDFTFTISSLQPEDIATYYCQQYDNLPITFGQGTKLEIK</v>
      </c>
      <c r="N73" s="4">
        <f t="shared" si="5"/>
        <v>240</v>
      </c>
      <c r="O73" s="1" t="b">
        <f t="shared" si="4"/>
        <v>1</v>
      </c>
      <c r="P73" s="1" t="b">
        <v>0</v>
      </c>
      <c r="Q73" s="1" t="b">
        <v>0</v>
      </c>
      <c r="T73" s="10">
        <v>45973</v>
      </c>
      <c r="U73" s="2" t="s">
        <v>350</v>
      </c>
      <c r="V73" s="4">
        <v>0</v>
      </c>
    </row>
    <row r="74" spans="1:22" ht="75" x14ac:dyDescent="0.25">
      <c r="A74" s="1" t="s">
        <v>286</v>
      </c>
      <c r="B74" s="1" t="s">
        <v>18</v>
      </c>
      <c r="C74" s="2" t="s">
        <v>19</v>
      </c>
      <c r="D74" s="4">
        <v>0.7</v>
      </c>
      <c r="E74" s="1" t="s">
        <v>42</v>
      </c>
      <c r="G74" s="1" t="s">
        <v>258</v>
      </c>
      <c r="I74" s="2" t="s">
        <v>328</v>
      </c>
      <c r="J74" s="2" t="s">
        <v>329</v>
      </c>
      <c r="K74" s="1" t="b">
        <v>1</v>
      </c>
      <c r="L74" s="2" t="s">
        <v>125</v>
      </c>
      <c r="M74" s="2" t="str">
        <f t="shared" si="3"/>
        <v>EVQLVESGGGLVQPGGSLRLSCAASGFTFSNYAMSWVRQAPGKGLEWVSAISGSGGSTYYADSVKGRFTISRDNSKNTLYLQMNSLRAEDTAVYYCARLSPYNGSMDYWGQGTLVTVSSGGGSGGGSGGGSGGGSVTQPASVSGSPGQSITISCTGTSSDIGAYNYVSWYQQHPGKAPKLMIYEVSKRPSGVSNRFSGSKSGNTASLTISGLQTEDEADYYCSSYTRSGSVVFGGGTKLTVL</v>
      </c>
      <c r="N74" s="4">
        <f t="shared" si="5"/>
        <v>242</v>
      </c>
      <c r="O74" s="1" t="b">
        <f t="shared" si="4"/>
        <v>1</v>
      </c>
      <c r="P74" s="1" t="b">
        <v>0</v>
      </c>
      <c r="Q74" s="1" t="b">
        <v>0</v>
      </c>
      <c r="T74" s="10">
        <v>45974</v>
      </c>
      <c r="U74" s="2" t="s">
        <v>376</v>
      </c>
      <c r="V74" s="4">
        <v>0.01</v>
      </c>
    </row>
    <row r="75" spans="1:22" ht="60" x14ac:dyDescent="0.25">
      <c r="A75" s="1" t="s">
        <v>287</v>
      </c>
      <c r="B75" s="1" t="s">
        <v>18</v>
      </c>
      <c r="C75" s="2" t="s">
        <v>19</v>
      </c>
      <c r="D75" s="4">
        <v>0.7</v>
      </c>
      <c r="E75" s="1" t="s">
        <v>42</v>
      </c>
      <c r="G75" s="1" t="s">
        <v>258</v>
      </c>
      <c r="I75" s="2" t="s">
        <v>330</v>
      </c>
      <c r="J75" s="2" t="s">
        <v>331</v>
      </c>
      <c r="K75" s="1" t="b">
        <v>1</v>
      </c>
      <c r="L75" s="2" t="s">
        <v>125</v>
      </c>
      <c r="M75" s="2" t="str">
        <f t="shared" si="3"/>
        <v>QVQLVQSGAEVKKPGSSVKVSCKASGGTFSSYTISWVRQAPGQGLEWMGGIIPILGIANYAQKFQGRVTITADKSTSTAYMELSSLRSEDTAVYYCARGDSSYVDSWDYWGQGTLVTVSGGGSGGGSGGGSGGGSEIVLTQSPGTLSLSPGERATLSCRASQSVSSSYLAWYQQKPGQAPRLLIYGASSRATGIPDRFSGSGSGTDFTLTISRLEPEDFAVYYCQQYGSSPWTFGQGTKVEIK</v>
      </c>
      <c r="N75" s="4">
        <f t="shared" si="5"/>
        <v>243</v>
      </c>
      <c r="O75" s="1" t="b">
        <f t="shared" si="4"/>
        <v>1</v>
      </c>
      <c r="P75" s="1" t="b">
        <v>0</v>
      </c>
      <c r="Q75" s="1" t="b">
        <v>0</v>
      </c>
      <c r="T75" s="10">
        <v>45974</v>
      </c>
      <c r="U75" s="2" t="s">
        <v>380</v>
      </c>
      <c r="V75" s="4">
        <v>0</v>
      </c>
    </row>
    <row r="76" spans="1:22" ht="60" x14ac:dyDescent="0.25">
      <c r="A76" s="1" t="s">
        <v>288</v>
      </c>
      <c r="B76" s="1" t="s">
        <v>18</v>
      </c>
      <c r="C76" s="2" t="s">
        <v>19</v>
      </c>
      <c r="D76" s="4">
        <v>0.7</v>
      </c>
      <c r="E76" s="1" t="s">
        <v>42</v>
      </c>
      <c r="G76" s="1" t="s">
        <v>258</v>
      </c>
      <c r="I76" s="2" t="s">
        <v>332</v>
      </c>
      <c r="J76" s="2" t="s">
        <v>333</v>
      </c>
      <c r="K76" s="1" t="b">
        <v>1</v>
      </c>
      <c r="L76" s="2" t="s">
        <v>125</v>
      </c>
      <c r="M76" s="2" t="str">
        <f t="shared" si="3"/>
        <v>QVQLVESGGGVVQPGRSLRLSCAASGFTFSNYGMHWVRQAPGKGLEWVAVISDGSNKYYADSVKGRFTISRDNSKNTLYLQMRAEDTAVYYCARGSHSSRDYWGQGTLVTVSSGGGSGGGSGGGSGGGSDIQMTQSPSSLSASVGDRVTITCRASQSISSYLNWYQQKPGKAPKLLIYAASSLQSGVPSRFSGSGSGTDFTLTISSLQPEDFATYYCQQSYSTPPYTFGQGTKVEIK</v>
      </c>
      <c r="N76" s="4">
        <f t="shared" si="5"/>
        <v>237</v>
      </c>
      <c r="O76" s="1" t="b">
        <f t="shared" si="4"/>
        <v>1</v>
      </c>
      <c r="P76" s="1" t="b">
        <v>0</v>
      </c>
      <c r="Q76" s="1" t="b">
        <v>0</v>
      </c>
      <c r="T76" s="10">
        <v>45974</v>
      </c>
      <c r="U76" s="2" t="s">
        <v>379</v>
      </c>
      <c r="V76" s="4">
        <v>0.01</v>
      </c>
    </row>
    <row r="77" spans="1:22" ht="60" x14ac:dyDescent="0.25">
      <c r="A77" s="1" t="s">
        <v>289</v>
      </c>
      <c r="B77" s="1" t="s">
        <v>18</v>
      </c>
      <c r="C77" s="2" t="s">
        <v>19</v>
      </c>
      <c r="D77" s="4">
        <v>0.7</v>
      </c>
      <c r="E77" s="1" t="s">
        <v>42</v>
      </c>
      <c r="G77" s="1" t="s">
        <v>258</v>
      </c>
      <c r="I77" s="2" t="s">
        <v>334</v>
      </c>
      <c r="J77" s="2" t="s">
        <v>335</v>
      </c>
      <c r="K77" s="1" t="b">
        <v>1</v>
      </c>
      <c r="L77" s="2" t="s">
        <v>125</v>
      </c>
      <c r="M77" s="2" t="str">
        <f t="shared" si="3"/>
        <v>VQLVQSGAEVKRPGSSVKVSCKTSGGTIFSTYVFWVRQAPGQGLEWMGGFPPKAGYIYAQKFQGRVTFTADESSSTTVYMEDLRSEDTAVYFCARFPYFVYDVWGQGTTVTVSSGGGSGGGSGGGSGGGSDIQMTQSPSSLSASVGDRVTITCRASQSIGGYLAWYQQKPGKVPKLLIYAASSLQSGVPSRFSGSGSGTDFTLTISSLQPEDFATYYCQQSYSTPRTFGQGTKVEIK</v>
      </c>
      <c r="N77" s="4">
        <f t="shared" si="5"/>
        <v>237</v>
      </c>
      <c r="O77" s="1" t="b">
        <f t="shared" si="4"/>
        <v>1</v>
      </c>
      <c r="P77" s="1" t="b">
        <v>0</v>
      </c>
      <c r="Q77" s="1" t="b">
        <v>0</v>
      </c>
      <c r="T77" s="10">
        <v>45976</v>
      </c>
    </row>
    <row r="78" spans="1:22" ht="75" x14ac:dyDescent="0.25">
      <c r="A78" s="1" t="s">
        <v>290</v>
      </c>
      <c r="B78" s="1" t="s">
        <v>18</v>
      </c>
      <c r="C78" s="2" t="s">
        <v>19</v>
      </c>
      <c r="D78" s="4">
        <v>0.7</v>
      </c>
      <c r="E78" s="1" t="s">
        <v>42</v>
      </c>
      <c r="G78" s="1" t="s">
        <v>258</v>
      </c>
      <c r="I78" s="2" t="s">
        <v>336</v>
      </c>
      <c r="J78" s="2" t="s">
        <v>337</v>
      </c>
      <c r="K78" s="1" t="b">
        <v>1</v>
      </c>
      <c r="L78" s="2" t="s">
        <v>126</v>
      </c>
      <c r="M78" s="2" t="str">
        <f t="shared" si="3"/>
        <v>VQLQESGPGLVKPSQSLSLTCTVTGFSIDYNIYWGWIRQPPGKGLEWIGYIYSGSDTYNPSLKSRVTISVDTSKNQFSLKVNSVTAADTAVYYCARVVDLWYDDGKYASCVKGAIDYWGQGTLVTVSSGGGSGGGSGGGSSVLTQPPSVSGAPGQRVTISCTGSSGAGYDVHWYQQLPGTAPKLLIYGNSNRPSGVPDRFSGSKSGTSASLAITGLQAEDEADYYCQSYDSSLSGWVFGGGTKLTVL</v>
      </c>
      <c r="N78" s="4">
        <f t="shared" si="5"/>
        <v>247</v>
      </c>
      <c r="O78" s="1" t="b">
        <f t="shared" si="4"/>
        <v>1</v>
      </c>
      <c r="P78" s="1" t="b">
        <v>0</v>
      </c>
      <c r="Q78" s="1" t="b">
        <v>0</v>
      </c>
      <c r="T78" s="10">
        <v>45976</v>
      </c>
    </row>
    <row r="79" spans="1:22" ht="75" x14ac:dyDescent="0.25">
      <c r="A79" s="1" t="s">
        <v>291</v>
      </c>
      <c r="B79" s="1" t="s">
        <v>18</v>
      </c>
      <c r="C79" s="2" t="s">
        <v>19</v>
      </c>
      <c r="D79" s="4">
        <v>0.7</v>
      </c>
      <c r="E79" s="1" t="s">
        <v>42</v>
      </c>
      <c r="G79" s="1" t="s">
        <v>258</v>
      </c>
      <c r="I79" s="2" t="s">
        <v>338</v>
      </c>
      <c r="J79" s="2" t="s">
        <v>155</v>
      </c>
      <c r="K79" s="1" t="b">
        <v>1</v>
      </c>
      <c r="L79" s="2" t="s">
        <v>125</v>
      </c>
      <c r="M79" s="2" t="str">
        <f t="shared" si="3"/>
        <v>EVQLVESGGGLVQPGGSLRLSCAASGFNVVDFSLHWVRQAPGKGLEWVASIYPYDGSAYYADSVKGRFTISADTSKNTAYLQMNSLRAEDTAVYYCARWGYWPGEGWLGKYWGQGTLVTVSGGGSGGGSGGGSGGGSDIQMTQSPSSLSASVGDRVTITCRASQSVSSAVAWYQQKPGKAPKLLIYSASSLYSGVPSRFSGSRSGTDFTLTISSLQPEDFATYYCQQYKYVPVTFGQGTKVEI</v>
      </c>
      <c r="N79" s="4">
        <f t="shared" si="5"/>
        <v>243</v>
      </c>
      <c r="O79" s="1" t="b">
        <f t="shared" si="4"/>
        <v>1</v>
      </c>
      <c r="P79" s="1" t="b">
        <v>0</v>
      </c>
      <c r="Q79" s="1" t="b">
        <v>0</v>
      </c>
      <c r="T79" s="10"/>
    </row>
    <row r="80" spans="1:22" ht="60" x14ac:dyDescent="0.25">
      <c r="A80" s="1" t="s">
        <v>292</v>
      </c>
      <c r="B80" s="1" t="s">
        <v>18</v>
      </c>
      <c r="C80" s="2" t="s">
        <v>19</v>
      </c>
      <c r="D80" s="4">
        <v>0.7</v>
      </c>
      <c r="E80" s="1" t="s">
        <v>42</v>
      </c>
      <c r="G80" s="1" t="s">
        <v>258</v>
      </c>
      <c r="I80" s="2" t="s">
        <v>339</v>
      </c>
      <c r="J80" s="2" t="s">
        <v>340</v>
      </c>
      <c r="K80" s="1" t="b">
        <v>1</v>
      </c>
      <c r="L80" s="2" t="s">
        <v>125</v>
      </c>
      <c r="M80" s="2" t="str">
        <f t="shared" si="3"/>
        <v>EVQLVESGGGLVQPGGSLRLSCAASGFNISSSSIHWVRQAPGKGLEWVASISSSYGSTYYADSVKGRFTISADTSKNTAYLQMNSLRAEDTAVYYCARWEGYRGDLWGQGTLVTVSSGGGSGGGSGGGSGGGSDIQMTQSPSSLSASVGDRVTITCRASQSVSSAVAWYQQKPGKAPKLLIYSASSLYSGVPSRFSGSRSGTDFTLTISSLQPEDFATYYCQQYYEWLRTFGQGTKVEIK</v>
      </c>
      <c r="N80" s="4">
        <f t="shared" si="5"/>
        <v>240</v>
      </c>
      <c r="O80" s="1" t="b">
        <f t="shared" si="4"/>
        <v>1</v>
      </c>
      <c r="P80" s="1" t="b">
        <v>0</v>
      </c>
      <c r="Q80" s="1" t="b">
        <v>0</v>
      </c>
      <c r="T80" s="10"/>
    </row>
    <row r="81" spans="1:22" ht="75" x14ac:dyDescent="0.25">
      <c r="A81" s="1" t="s">
        <v>341</v>
      </c>
      <c r="B81" s="1" t="s">
        <v>18</v>
      </c>
      <c r="C81" s="2" t="s">
        <v>19</v>
      </c>
      <c r="D81" s="4">
        <v>0.2</v>
      </c>
      <c r="E81" s="1" t="s">
        <v>49</v>
      </c>
      <c r="F81" s="1" t="s">
        <v>263</v>
      </c>
      <c r="G81" s="1" t="s">
        <v>258</v>
      </c>
      <c r="H81" s="1">
        <v>3</v>
      </c>
      <c r="I81" s="2" t="s">
        <v>343</v>
      </c>
      <c r="J81" s="2" t="s">
        <v>344</v>
      </c>
      <c r="K81" s="1" t="b">
        <v>1</v>
      </c>
      <c r="L81" s="2" t="s">
        <v>125</v>
      </c>
      <c r="M81" s="2" t="str">
        <f t="shared" si="3"/>
        <v>QVQLQESGPGLVKPSQTLSLTCTVSGGSVSSGSYYWSWIRQPPGKGLEWIGYIYYSGSTNYNPSLKSRVTISVDTSKNQFSLKLSSVTAADTAVYYCARVDSFYYGMDVWGQGTTVTVSSGGGSGGGSGGGSGGGSDIQMTQSPSSLSASVGDRVTITCRASSGSSYDNGWYQQKPGKAPKLLIYAASSLQSGVPSRFSGSGSGTDFTLTISSLQPEDFATYYLQDSNYTPRTFGQGTKVEIK</v>
      </c>
      <c r="N81" s="4">
        <f t="shared" si="5"/>
        <v>243</v>
      </c>
      <c r="O81" s="1" t="b">
        <f t="shared" si="4"/>
        <v>1</v>
      </c>
      <c r="P81" s="1" t="b">
        <v>0</v>
      </c>
      <c r="Q81" s="1" t="b">
        <v>0</v>
      </c>
      <c r="T81" s="10">
        <v>45973</v>
      </c>
      <c r="U81" s="2" t="s">
        <v>353</v>
      </c>
      <c r="V81" s="4">
        <v>0.04</v>
      </c>
    </row>
    <row r="82" spans="1:22" ht="60" x14ac:dyDescent="0.25">
      <c r="A82" s="1" t="s">
        <v>369</v>
      </c>
      <c r="B82" s="1" t="s">
        <v>18</v>
      </c>
      <c r="C82" s="2" t="s">
        <v>19</v>
      </c>
      <c r="D82" s="4">
        <v>0.5</v>
      </c>
      <c r="E82" s="1" t="s">
        <v>49</v>
      </c>
      <c r="F82" s="1" t="s">
        <v>274</v>
      </c>
      <c r="G82" s="1" t="s">
        <v>258</v>
      </c>
      <c r="H82" s="1">
        <v>3</v>
      </c>
      <c r="I82" s="2" t="s">
        <v>370</v>
      </c>
      <c r="J82" s="2" t="s">
        <v>371</v>
      </c>
      <c r="K82" s="1" t="b">
        <v>1</v>
      </c>
      <c r="L82" s="2" t="s">
        <v>125</v>
      </c>
      <c r="M82" s="2" t="str">
        <f>_xlfn.CONCAT(I82,L82,J82)</f>
        <v>QVQLVQSGAEVKKPGSSVKVSCKASGGTFSSYTISWVRQAPGQGLEWMGRIIPIFGTANYAQKFQGRVTITADKSTSTAYMELSSLRSEDTAVYYCARYYDSYFDYWGQGTLVTVSSGGGSGGGSGGGSGGGSDIQMTQSPSSLSASVGDRVTITCRASQGISSWLAWYQQKPGKAPKLLIYAASSLQSGVPSRFSGSGSGTDFTLTISSLQPEDFATYYCQCGNSFPWTFGGGTKLEIK</v>
      </c>
      <c r="N82" s="4">
        <f t="shared" si="5"/>
        <v>240</v>
      </c>
      <c r="O82" s="1" t="b">
        <f t="shared" si="4"/>
        <v>1</v>
      </c>
      <c r="P82" s="1" t="b">
        <v>0</v>
      </c>
      <c r="Q82" s="1" t="b">
        <v>0</v>
      </c>
      <c r="T82" s="10">
        <v>45974</v>
      </c>
      <c r="U82" s="2" t="s">
        <v>378</v>
      </c>
      <c r="V82" s="4">
        <v>0.02</v>
      </c>
    </row>
    <row r="83" spans="1:22" ht="60" x14ac:dyDescent="0.25">
      <c r="A83" s="1" t="s">
        <v>385</v>
      </c>
      <c r="B83" s="1" t="s">
        <v>35</v>
      </c>
      <c r="C83" s="2" t="s">
        <v>382</v>
      </c>
      <c r="D83" s="4">
        <v>0.7</v>
      </c>
      <c r="E83" s="1" t="s">
        <v>42</v>
      </c>
      <c r="G83" s="1" t="s">
        <v>258</v>
      </c>
      <c r="I83" s="2" t="s">
        <v>383</v>
      </c>
      <c r="J83" s="2" t="s">
        <v>384</v>
      </c>
      <c r="K83" s="1" t="b">
        <v>1</v>
      </c>
      <c r="L83" s="2" t="s">
        <v>125</v>
      </c>
      <c r="M83" s="2" t="str">
        <f>_xlfn.CONCAT(I83,L83,J83)</f>
        <v>DVQLQESGPGLVKPSQTLSLTCTVSGYSITSDYYWNWIRQFPGNKLEWMGYISYDGSSNYNPSLKNRISITRDNSKNQFFLQLNSVTTEDTATYYCARSCSRRGYAMDYWGQGTSVTVSSGGGSGGGSGGGSGGGSQIVLTQSPAIMSASLGEKVTLTCSASSSVSYMHWYQQKPGTSPKLLIYSCNLLSGVPDRFSGSGSGTDFTLSISNVETEDAATYYCYQYRIRFGGGTKLTVLQ</v>
      </c>
      <c r="N83" s="4">
        <f t="shared" si="5"/>
        <v>239</v>
      </c>
      <c r="O83" s="1" t="b">
        <f t="shared" si="4"/>
        <v>1</v>
      </c>
      <c r="P83" s="1" t="b">
        <v>0</v>
      </c>
      <c r="Q83" s="1" t="b">
        <v>0</v>
      </c>
      <c r="T83" s="10">
        <v>45976</v>
      </c>
    </row>
    <row r="84" spans="1:22" ht="60" x14ac:dyDescent="0.25">
      <c r="A84" s="1" t="s">
        <v>386</v>
      </c>
      <c r="B84" s="1" t="s">
        <v>35</v>
      </c>
      <c r="C84" s="2" t="s">
        <v>382</v>
      </c>
      <c r="D84" s="4">
        <v>0.1</v>
      </c>
      <c r="E84" s="1" t="s">
        <v>42</v>
      </c>
      <c r="G84" s="1" t="s">
        <v>258</v>
      </c>
      <c r="I84" s="2" t="s">
        <v>388</v>
      </c>
      <c r="J84" s="2" t="s">
        <v>389</v>
      </c>
      <c r="K84" s="1" t="b">
        <v>1</v>
      </c>
      <c r="L84" s="2" t="s">
        <v>125</v>
      </c>
      <c r="M84" s="2" t="str">
        <f>_xlfn.CONCAT(I84,L84,J84)</f>
        <v>EVQLVESGGGLVQPGGSLRLSCAASGFTFSSYAMSWVRQAPGKGLEWVSSISRSGGSTYYADSVKGRFTISRDNAKNSLYLQMNSLRAEDTAVYYCARSCSSRGYFDYWGQGTLVTVSSGGGSGGGSGGGSGGGSDIVMTQSPDSLAVSLGERATINCRASQSVSSYLAWYQQKPGQSPKLLIYSCNLQSGVPDRFSGSGSGTDFTLTISSLQPEDFATYYCQPYIRFGGGGTKLEIK</v>
      </c>
      <c r="N84" s="4">
        <f t="shared" ref="N84:N85" si="6">LEN(M84)</f>
        <v>238</v>
      </c>
      <c r="O84" s="1" t="b">
        <f t="shared" ref="O84:O85" si="7">IF(N84&lt;=250,TRUE,FALSE)</f>
        <v>1</v>
      </c>
      <c r="P84" s="1" t="b">
        <v>0</v>
      </c>
      <c r="Q84" s="1" t="b">
        <v>0</v>
      </c>
      <c r="T84" s="10">
        <v>45976</v>
      </c>
    </row>
    <row r="85" spans="1:22" ht="60" x14ac:dyDescent="0.25">
      <c r="A85" s="1" t="s">
        <v>387</v>
      </c>
      <c r="B85" s="1" t="s">
        <v>35</v>
      </c>
      <c r="C85" s="2" t="s">
        <v>382</v>
      </c>
      <c r="D85" s="4">
        <v>0.9</v>
      </c>
      <c r="E85" s="1" t="s">
        <v>42</v>
      </c>
      <c r="G85" s="1" t="s">
        <v>258</v>
      </c>
      <c r="I85" s="2" t="s">
        <v>390</v>
      </c>
      <c r="J85" s="2" t="s">
        <v>389</v>
      </c>
      <c r="K85" s="1" t="b">
        <v>1</v>
      </c>
      <c r="L85" s="2" t="s">
        <v>125</v>
      </c>
      <c r="M85" s="2" t="str">
        <f>_xlfn.CONCAT(I85,L85,J85)</f>
        <v>QVQLQESGPGLVKPSQTLSLTCTVSGFSFSSYAMSWVRQAPGKGLEWVSSISRSGGSTYYADSVKGRFTISRDNAKNSLYLQMNSLRAEDTAVYYCARSCSSRGYLFDYWGQGTLVTVSSGGGSGGGSGGGSGGGSDIVMTQSPDSLAVSLGERATINCRASQSVSSYLAWYQQKPGQSPKLLIYSCNLQSGVPDRFSGSGSGTDFTLTISSLQPEDFATYYCQPYIRFGGGGTKLEIK</v>
      </c>
      <c r="N85" s="4">
        <f t="shared" si="6"/>
        <v>239</v>
      </c>
      <c r="O85" s="1" t="b">
        <f t="shared" si="7"/>
        <v>1</v>
      </c>
      <c r="P85" s="1" t="b">
        <v>0</v>
      </c>
      <c r="Q85" s="1" t="b">
        <v>0</v>
      </c>
      <c r="T85" s="10">
        <v>45976</v>
      </c>
    </row>
    <row r="86" spans="1:22" ht="60" x14ac:dyDescent="0.25">
      <c r="A86" s="1" t="s">
        <v>392</v>
      </c>
      <c r="B86" s="1" t="s">
        <v>393</v>
      </c>
      <c r="C86" s="2" t="s">
        <v>391</v>
      </c>
      <c r="D86" s="4">
        <v>0.2</v>
      </c>
      <c r="E86" s="1" t="s">
        <v>49</v>
      </c>
      <c r="F86" s="1" t="s">
        <v>385</v>
      </c>
      <c r="G86" s="1" t="s">
        <v>258</v>
      </c>
      <c r="I86" s="2" t="s">
        <v>395</v>
      </c>
      <c r="J86" s="2" t="s">
        <v>394</v>
      </c>
      <c r="K86" s="1" t="b">
        <v>1</v>
      </c>
      <c r="L86" s="2" t="s">
        <v>125</v>
      </c>
      <c r="M86" s="2" t="str">
        <f>_xlfn.CONCAT(I86,L86,J86)</f>
        <v>SIKLTESGPTSVAPGSTLNLTCTVTGDNITSSGWYWWVKQAPDNKLTWIGGIDKNGNTWLNVAYIDRATLTRDPAANTVYLSIRNVTSSDTATYYCAKSSDDNGSYLDVWGQGLKVTVSGGGGSGGGSGGGSGGGSQVKLTQSPKEVTAKIGDTVTLTCTASQPVSTVSWYMQKPGQPPQLLISNNKLVEGVPERFSASGSGTEFTLTIKDVQKEDEAIYYCEVNGQVFGQGTKLTVLE</v>
      </c>
      <c r="N86" s="4">
        <f>LEN(M86)</f>
        <v>239</v>
      </c>
      <c r="O86" s="1" t="b">
        <f t="shared" ref="O86:O116" si="8">IF(N86&lt;=250,TRUE,FALSE)</f>
        <v>1</v>
      </c>
      <c r="P86" s="1" t="b">
        <v>0</v>
      </c>
      <c r="Q86" s="1" t="b">
        <v>0</v>
      </c>
      <c r="T86" s="10">
        <v>45976</v>
      </c>
    </row>
    <row r="87" spans="1:22" ht="60" x14ac:dyDescent="0.25">
      <c r="A87" s="1" t="s">
        <v>406</v>
      </c>
      <c r="B87" s="1" t="s">
        <v>18</v>
      </c>
      <c r="C87" s="2" t="s">
        <v>19</v>
      </c>
      <c r="D87" s="4">
        <v>0.1</v>
      </c>
      <c r="E87" s="1" t="s">
        <v>42</v>
      </c>
      <c r="G87" s="1" t="s">
        <v>258</v>
      </c>
      <c r="I87" s="2" t="s">
        <v>436</v>
      </c>
      <c r="J87" s="2" t="s">
        <v>296</v>
      </c>
      <c r="K87" s="1" t="b">
        <v>1</v>
      </c>
      <c r="L87" s="2" t="s">
        <v>125</v>
      </c>
      <c r="M87" s="2" t="str">
        <f t="shared" ref="M87:M116" si="9">_xlfn.CONCAT(I87,L87,J87)</f>
        <v>EVQLVESGGGLVQPGGSLRLSCAASGFNVSYSSIHWVRQAPGKGLEWVASIYSYSGYTYYADSVKGRFTISADTSKNTAYLQMNSLRAEDTAVYYCARGWYSYFDYWGQGTLVTVSSGGGSGGGSGGGSGGGSDIQMTQSPSSLSASVGDRVTITCRASQSVSSAVAWYQQKPGKAPKLLIYSASSLYSGVPSRFSGSRSGTDFTLTISSLQPEDFATYYCQQYKYVPVTFGQGTKVEIK</v>
      </c>
      <c r="N87" s="4">
        <f t="shared" ref="N87:N116" si="10">LEN(M87)</f>
        <v>240</v>
      </c>
      <c r="O87" s="1" t="b">
        <f t="shared" si="8"/>
        <v>1</v>
      </c>
      <c r="P87" s="1" t="b">
        <v>0</v>
      </c>
      <c r="Q87" s="1" t="b">
        <v>0</v>
      </c>
    </row>
    <row r="88" spans="1:22" ht="60" x14ac:dyDescent="0.25">
      <c r="A88" s="1" t="s">
        <v>407</v>
      </c>
      <c r="B88" s="1" t="s">
        <v>18</v>
      </c>
      <c r="C88" s="2" t="s">
        <v>19</v>
      </c>
      <c r="D88" s="4">
        <v>0.1</v>
      </c>
      <c r="E88" s="1" t="s">
        <v>42</v>
      </c>
      <c r="G88" s="1" t="s">
        <v>258</v>
      </c>
      <c r="I88" s="2" t="s">
        <v>437</v>
      </c>
      <c r="J88" s="2" t="s">
        <v>438</v>
      </c>
      <c r="K88" s="1" t="b">
        <v>1</v>
      </c>
      <c r="L88" s="2" t="s">
        <v>125</v>
      </c>
      <c r="M88" s="2" t="str">
        <f t="shared" si="9"/>
        <v>QVQLVQSGAEVKKPGSSVKVSCKASGGTFSSYAISWVRQAPGQGLEWMGGIIIFGTANYAQKFQGRVTITADKSTSTAYMELRSEDTAVYYCAREGTTGWDYWGQGTLVTVSSGGGSGGGSGGGSGGGSEIVLTQSPGTLSLSPGERATLSCRASQSVSSSYLAWYQQKPGQAPRLLIYGASSRATGIPDRFSGSGSGTDFTLTISRLEPEDFAVYYCQQYGSSPRTFGQGTKVEIK</v>
      </c>
      <c r="N88" s="4">
        <f t="shared" si="10"/>
        <v>237</v>
      </c>
      <c r="O88" s="1" t="b">
        <f t="shared" si="8"/>
        <v>1</v>
      </c>
      <c r="P88" s="1" t="b">
        <v>0</v>
      </c>
      <c r="Q88" s="1" t="b">
        <v>0</v>
      </c>
    </row>
    <row r="89" spans="1:22" ht="60" x14ac:dyDescent="0.25">
      <c r="A89" s="1" t="s">
        <v>408</v>
      </c>
      <c r="B89" s="1" t="s">
        <v>18</v>
      </c>
      <c r="C89" s="2" t="s">
        <v>19</v>
      </c>
      <c r="D89" s="4">
        <v>0.1</v>
      </c>
      <c r="E89" s="1" t="s">
        <v>42</v>
      </c>
      <c r="G89" s="1" t="s">
        <v>258</v>
      </c>
      <c r="I89" s="2" t="s">
        <v>439</v>
      </c>
      <c r="J89" s="2" t="s">
        <v>296</v>
      </c>
      <c r="K89" s="1" t="b">
        <v>1</v>
      </c>
      <c r="L89" s="2" t="s">
        <v>125</v>
      </c>
      <c r="M89" s="2" t="str">
        <f t="shared" si="9"/>
        <v>EVQLVESGGGLVQPGGSLRLSCAASGFNVSYYSIHWVRQAPGKGLEWVASIYSYSGYTSYADSVKGRFTISADTSKNTAYLQMNSLRAEDTAVYYCARYYVYYGAMDYWGQGTLVTVSSGGGSGGGSGGGSGGGSDIQMTQSPSSLSASVGDRVTITCRASQSVSSAVAWYQQKPGKAPKLLIYSASSLYSGVPSRFSGSRSGTDFTLTISSLQPEDFATYYCQQYKYVPVTFGQGTKVEIK</v>
      </c>
      <c r="N89" s="4">
        <f t="shared" si="10"/>
        <v>242</v>
      </c>
      <c r="O89" s="1" t="b">
        <f t="shared" si="8"/>
        <v>1</v>
      </c>
      <c r="P89" s="1" t="b">
        <v>0</v>
      </c>
      <c r="Q89" s="1" t="b">
        <v>0</v>
      </c>
    </row>
    <row r="90" spans="1:22" ht="60" x14ac:dyDescent="0.25">
      <c r="A90" s="1" t="s">
        <v>409</v>
      </c>
      <c r="B90" s="1" t="s">
        <v>18</v>
      </c>
      <c r="C90" s="2" t="s">
        <v>19</v>
      </c>
      <c r="D90" s="4">
        <v>0.1</v>
      </c>
      <c r="E90" s="1" t="s">
        <v>42</v>
      </c>
      <c r="G90" s="1" t="s">
        <v>258</v>
      </c>
      <c r="I90" s="2" t="s">
        <v>440</v>
      </c>
      <c r="J90" s="2" t="s">
        <v>296</v>
      </c>
      <c r="K90" s="1" t="b">
        <v>1</v>
      </c>
      <c r="L90" s="2" t="s">
        <v>125</v>
      </c>
      <c r="M90" s="2" t="str">
        <f t="shared" si="9"/>
        <v>EVQLVESGGGLVQPGGSLRLSCAASGFNVSYSSIHWVRQAPGKGLEWVASIYSYSGYTYYADSVKGRFTISADTSKNTAYLQMNSLRAEDTAVYYCARGWVRGSSYWGQGTLVTVSSGGGSGGGSGGGSGGGSDIQMTQSPSSLSASVGDRVTITCRASQSVSSAVAWYQQKPGKAPKLLIYSASSLYSGVPSRFSGSRSGTDFTLTISSLQPEDFATYYCQQYKYVPVTFGQGTKVEIK</v>
      </c>
      <c r="N90" s="4">
        <f t="shared" si="10"/>
        <v>240</v>
      </c>
      <c r="O90" s="1" t="b">
        <f t="shared" si="8"/>
        <v>1</v>
      </c>
      <c r="P90" s="1" t="b">
        <v>0</v>
      </c>
      <c r="Q90" s="1" t="b">
        <v>0</v>
      </c>
    </row>
    <row r="91" spans="1:22" ht="75" x14ac:dyDescent="0.25">
      <c r="A91" s="1" t="s">
        <v>410</v>
      </c>
      <c r="B91" s="1" t="s">
        <v>18</v>
      </c>
      <c r="C91" s="2" t="s">
        <v>19</v>
      </c>
      <c r="D91" s="4">
        <v>0.1</v>
      </c>
      <c r="E91" s="1" t="s">
        <v>42</v>
      </c>
      <c r="G91" s="1" t="s">
        <v>258</v>
      </c>
      <c r="I91" s="2" t="s">
        <v>441</v>
      </c>
      <c r="J91" s="2" t="s">
        <v>296</v>
      </c>
      <c r="K91" s="1" t="b">
        <v>1</v>
      </c>
      <c r="L91" s="2" t="s">
        <v>125</v>
      </c>
      <c r="M91" s="2" t="str">
        <f t="shared" si="9"/>
        <v>EVQLVESGGGLVQPGGSLRLSCAASGFNVSYSSIHWVRQAPGKGLEWVASIYSYSGYTNYADSVKGRFTISADTSKNTAYLQMNSLRAEDTAVYYCARYYGGYGGYFDYWGQGTLVTVSSGGGSGGGSGGGSGGGSDIQMTQSPSSLSASVGDRVTITCRASQSVSSAVAWYQQKPGKAPKLLIYSASSLYSGVPSRFSGSRSGTDFTLTISSLQPEDFATYYCQQYKYVPVTFGQGTKVEIK</v>
      </c>
      <c r="N91" s="4">
        <f t="shared" si="10"/>
        <v>243</v>
      </c>
      <c r="O91" s="1" t="b">
        <f t="shared" si="8"/>
        <v>1</v>
      </c>
      <c r="P91" s="1" t="b">
        <v>0</v>
      </c>
      <c r="Q91" s="1" t="b">
        <v>0</v>
      </c>
    </row>
    <row r="92" spans="1:22" ht="60" x14ac:dyDescent="0.25">
      <c r="A92" s="1" t="s">
        <v>411</v>
      </c>
      <c r="B92" s="1" t="s">
        <v>18</v>
      </c>
      <c r="C92" s="2" t="s">
        <v>19</v>
      </c>
      <c r="D92" s="4">
        <v>0.1</v>
      </c>
      <c r="E92" s="1" t="s">
        <v>42</v>
      </c>
      <c r="G92" s="1" t="s">
        <v>258</v>
      </c>
      <c r="I92" s="2" t="s">
        <v>442</v>
      </c>
      <c r="J92" s="2" t="s">
        <v>296</v>
      </c>
      <c r="K92" s="1" t="b">
        <v>1</v>
      </c>
      <c r="L92" s="2" t="s">
        <v>125</v>
      </c>
      <c r="M92" s="2" t="str">
        <f t="shared" si="9"/>
        <v>EVQLVESGGGLVQPGGSLRLSCAASGFNVSYYSIHWVRQAPGKGLEWVASIYPYSGYTNYADSVKGRFTISADTSKNTAYLQMNSLRAEDTAVYYCARYYGYWYFDYWGQGTLVTVSSGGGSGGGSGGGSGGGSDIQMTQSPSSLSASVGDRVTITCRASQSVSSAVAWYQQKPGKAPKLLIYSASSLYSGVPSRFSGSRSGTDFTLTISSLQPEDFATYYCQQYKYVPVTFGQGTKVEIK</v>
      </c>
      <c r="N92" s="4">
        <f t="shared" si="10"/>
        <v>241</v>
      </c>
      <c r="O92" s="1" t="b">
        <f t="shared" si="8"/>
        <v>1</v>
      </c>
      <c r="P92" s="1" t="b">
        <v>0</v>
      </c>
      <c r="Q92" s="1" t="b">
        <v>0</v>
      </c>
    </row>
    <row r="93" spans="1:22" ht="75" x14ac:dyDescent="0.25">
      <c r="A93" s="1" t="s">
        <v>412</v>
      </c>
      <c r="B93" s="1" t="s">
        <v>18</v>
      </c>
      <c r="C93" s="2" t="s">
        <v>19</v>
      </c>
      <c r="D93" s="4">
        <v>0.1</v>
      </c>
      <c r="E93" s="1" t="s">
        <v>42</v>
      </c>
      <c r="G93" s="1" t="s">
        <v>258</v>
      </c>
      <c r="I93" s="2" t="s">
        <v>443</v>
      </c>
      <c r="J93" s="2" t="s">
        <v>296</v>
      </c>
      <c r="K93" s="1" t="b">
        <v>1</v>
      </c>
      <c r="L93" s="2" t="s">
        <v>125</v>
      </c>
      <c r="M93" s="2" t="str">
        <f t="shared" si="9"/>
        <v>EVQLVESGGGLVQPGGSLRLSCAASGFNVSYSSIHWVRQAPGKGLEWVASIYSYSGYTSYADSVKGRFTISADTSKNTAYLQMNSLRAEDTAVYYCARYYGGYGGWYFDYWGQGTLVTVSSGGGSGGGSGGGSGGGSDIQMTQSPSSLSASVGDRVTITCRASQSVSSAVAWYQQKPGKAPKLLIYSASSLYSGVPSRFSGSRSGTDFTLTISSLQPEDFATYYCQQYKYVPVTFGQGTKVEIK</v>
      </c>
      <c r="N93" s="4">
        <f t="shared" si="10"/>
        <v>244</v>
      </c>
      <c r="O93" s="1" t="b">
        <f t="shared" si="8"/>
        <v>1</v>
      </c>
      <c r="P93" s="1" t="b">
        <v>0</v>
      </c>
      <c r="Q93" s="1" t="b">
        <v>0</v>
      </c>
    </row>
    <row r="94" spans="1:22" ht="60" x14ac:dyDescent="0.25">
      <c r="A94" s="1" t="s">
        <v>413</v>
      </c>
      <c r="B94" s="1" t="s">
        <v>18</v>
      </c>
      <c r="C94" s="2" t="s">
        <v>19</v>
      </c>
      <c r="D94" s="4">
        <v>0.1</v>
      </c>
      <c r="E94" s="1" t="s">
        <v>42</v>
      </c>
      <c r="G94" s="1" t="s">
        <v>258</v>
      </c>
      <c r="I94" s="2" t="s">
        <v>444</v>
      </c>
      <c r="J94" s="2" t="s">
        <v>296</v>
      </c>
      <c r="K94" s="1" t="b">
        <v>1</v>
      </c>
      <c r="L94" s="2" t="s">
        <v>125</v>
      </c>
      <c r="M94" s="2" t="str">
        <f t="shared" si="9"/>
        <v>EVQLVESGGGLVQPGGSLRLSCAASGFNVSYYSIHWVRQAPGKGLEWVASISSYYGYTYYADSVKGRFTISADTSKNTAYLQMNSLRAEDTAVYYCARYYGYWYFDYWGQGTLVTVSSGGGSGGGSGGGSGGGSDIQMTQSPSSLSASVGDRVTITCRASQSVSSAVAWYQQKPGKAPKLLIYSASSLYSGVPSRFSGSRSGTDFTLTISSLQPEDFATYYCQQYKYVPVTFGQGTKVEIK</v>
      </c>
      <c r="N94" s="4">
        <f t="shared" si="10"/>
        <v>241</v>
      </c>
      <c r="O94" s="1" t="b">
        <f t="shared" si="8"/>
        <v>1</v>
      </c>
      <c r="P94" s="1" t="b">
        <v>0</v>
      </c>
      <c r="Q94" s="1" t="b">
        <v>0</v>
      </c>
    </row>
    <row r="95" spans="1:22" ht="60" x14ac:dyDescent="0.25">
      <c r="A95" s="1" t="s">
        <v>414</v>
      </c>
      <c r="B95" s="1" t="s">
        <v>18</v>
      </c>
      <c r="C95" s="2" t="s">
        <v>19</v>
      </c>
      <c r="D95" s="4">
        <v>0.1</v>
      </c>
      <c r="E95" s="1" t="s">
        <v>42</v>
      </c>
      <c r="G95" s="1" t="s">
        <v>258</v>
      </c>
      <c r="I95" s="2" t="s">
        <v>445</v>
      </c>
      <c r="J95" s="2" t="s">
        <v>296</v>
      </c>
      <c r="K95" s="1" t="b">
        <v>1</v>
      </c>
      <c r="L95" s="2" t="s">
        <v>125</v>
      </c>
      <c r="M95" s="2" t="str">
        <f t="shared" si="9"/>
        <v>EVQLVESGGGLVQPGGSLRLSCAASGFNVSYYSIHWVRQAPGKGLEWVASISSYYGYTYYADSVKGRFTISADTSKNTAYLQMNSLRAEDTAVYYCARYYGTYYGHSYWGQGTLVTVSSGGGSGGGSGGGSGGGSDIQMTQSPSSLSASVGDRVTITCRASQSVSSAVAWYQQKPGKAPKLLIYSASSLYSGVPSRFSGSRSGTDFTLTISSLQPEDFATYYCQQYKYVPVTFGQGTKVEIK</v>
      </c>
      <c r="N95" s="4">
        <f t="shared" si="10"/>
        <v>242</v>
      </c>
      <c r="O95" s="1" t="b">
        <f t="shared" si="8"/>
        <v>1</v>
      </c>
      <c r="P95" s="1" t="b">
        <v>0</v>
      </c>
      <c r="Q95" s="1" t="b">
        <v>0</v>
      </c>
    </row>
    <row r="96" spans="1:22" ht="60" x14ac:dyDescent="0.25">
      <c r="A96" s="1" t="s">
        <v>415</v>
      </c>
      <c r="B96" s="1" t="s">
        <v>18</v>
      </c>
      <c r="C96" s="2" t="s">
        <v>19</v>
      </c>
      <c r="D96" s="4">
        <v>0.1</v>
      </c>
      <c r="E96" s="1" t="s">
        <v>42</v>
      </c>
      <c r="G96" s="1" t="s">
        <v>258</v>
      </c>
      <c r="I96" s="2" t="s">
        <v>446</v>
      </c>
      <c r="J96" s="2" t="s">
        <v>296</v>
      </c>
      <c r="K96" s="1" t="b">
        <v>1</v>
      </c>
      <c r="L96" s="2" t="s">
        <v>125</v>
      </c>
      <c r="M96" s="2" t="str">
        <f t="shared" si="9"/>
        <v>EVQLVESGGGLVQPGGSLRLSCAASGFNVSYSSIHWVRQAPGKGLEWVASIYSYSGYTNYADSVKGRFTISADTSKNTAYLQMNSLRAEDTAVYYCARYWYFGYFDYWGQGTLVTVSSGGGSGGGSGGGSGGGSDIQMTQSPSSLSASVGDRVTITCRASQSVSSAVAWYQQKPGKAPKLLIYSASSLYSGVPSRFSGSRSGTDFTLTISSLQPEDFATYYCQQYKYVPVTFGQGTKVEIK</v>
      </c>
      <c r="N96" s="4">
        <f t="shared" si="10"/>
        <v>241</v>
      </c>
      <c r="O96" s="1" t="b">
        <f t="shared" si="8"/>
        <v>1</v>
      </c>
      <c r="P96" s="1" t="b">
        <v>0</v>
      </c>
      <c r="Q96" s="1" t="b">
        <v>0</v>
      </c>
    </row>
    <row r="97" spans="1:17" ht="75" x14ac:dyDescent="0.25">
      <c r="A97" s="1" t="s">
        <v>416</v>
      </c>
      <c r="B97" s="1" t="s">
        <v>18</v>
      </c>
      <c r="C97" s="2" t="s">
        <v>19</v>
      </c>
      <c r="D97" s="4">
        <v>0.6</v>
      </c>
      <c r="E97" s="1" t="s">
        <v>42</v>
      </c>
      <c r="G97" s="1" t="s">
        <v>258</v>
      </c>
      <c r="I97" s="2" t="s">
        <v>447</v>
      </c>
      <c r="J97" s="2" t="s">
        <v>448</v>
      </c>
      <c r="K97" s="1" t="b">
        <v>1</v>
      </c>
      <c r="L97" s="2" t="s">
        <v>125</v>
      </c>
      <c r="M97" s="2" t="str">
        <f t="shared" si="9"/>
        <v>EVQLVESGGGLVKPGGSLRLSCAASGFTFRNYAMSWVRQAPGKGLEWVSSISSKSKSTSYADSVKGRFTISRDNAKNSLYLQMNSLRAEDTAVYYCARESGSFSYEGVWGQGTLVTVSSGGGSGGGSGGGSGGGSSVLTQPPSVSGAPGQRVTISCTGSSSNIGAGYDVHWYQQLPGTAPKLLIYDNNKRPSGVPDRFSGSKSGTSASLAITGLQAEDEADYYCQSYDSSLSGLVFGGGTKLTVL</v>
      </c>
      <c r="N97" s="4">
        <f t="shared" si="10"/>
        <v>245</v>
      </c>
      <c r="O97" s="1" t="b">
        <f t="shared" si="8"/>
        <v>1</v>
      </c>
      <c r="P97" s="1" t="b">
        <v>0</v>
      </c>
      <c r="Q97" s="1" t="b">
        <v>0</v>
      </c>
    </row>
    <row r="98" spans="1:17" ht="75" x14ac:dyDescent="0.25">
      <c r="A98" s="1" t="s">
        <v>417</v>
      </c>
      <c r="B98" s="1" t="s">
        <v>18</v>
      </c>
      <c r="C98" s="2" t="s">
        <v>19</v>
      </c>
      <c r="D98" s="4">
        <v>0.6</v>
      </c>
      <c r="E98" s="1" t="s">
        <v>42</v>
      </c>
      <c r="G98" s="1" t="s">
        <v>258</v>
      </c>
      <c r="I98" s="2" t="s">
        <v>449</v>
      </c>
      <c r="J98" s="2" t="s">
        <v>304</v>
      </c>
      <c r="K98" s="1" t="b">
        <v>1</v>
      </c>
      <c r="L98" s="2" t="s">
        <v>125</v>
      </c>
      <c r="M98" s="2" t="str">
        <f t="shared" si="9"/>
        <v>EVQLVESGGGLVQPGGSLRLSCAASGFNISSSSIHWVRQAPGKGLEWVASIYYSSGYTHYADSVKGRFTISADTSKNTAYLQMNSLRAEDTAVYYCARWGYWPGQVWLWFAYWGQGTLVTVSGGGSGGGSGGGSGGGSDIQMTQSPSSLSASVGDRVTITCRASQSVSSAVAWYQQKPGKAPKLLIYSASSLYSGVPSRFSGSRSGTDFTLTISSLQPEDFATYYCQQSSSSLITFGQGTKVEIK</v>
      </c>
      <c r="N98" s="4">
        <f t="shared" si="10"/>
        <v>245</v>
      </c>
      <c r="O98" s="1" t="b">
        <f t="shared" si="8"/>
        <v>1</v>
      </c>
      <c r="P98" s="1" t="b">
        <v>0</v>
      </c>
      <c r="Q98" s="1" t="b">
        <v>0</v>
      </c>
    </row>
    <row r="99" spans="1:17" ht="60" x14ac:dyDescent="0.25">
      <c r="A99" s="1" t="s">
        <v>418</v>
      </c>
      <c r="B99" s="1" t="s">
        <v>18</v>
      </c>
      <c r="C99" s="2" t="s">
        <v>19</v>
      </c>
      <c r="D99" s="4">
        <v>0.6</v>
      </c>
      <c r="E99" s="1" t="s">
        <v>42</v>
      </c>
      <c r="G99" s="1" t="s">
        <v>258</v>
      </c>
      <c r="I99" s="2" t="s">
        <v>450</v>
      </c>
      <c r="J99" s="2" t="s">
        <v>451</v>
      </c>
      <c r="K99" s="1" t="b">
        <v>1</v>
      </c>
      <c r="L99" s="2" t="s">
        <v>125</v>
      </c>
      <c r="M99" s="2" t="str">
        <f t="shared" si="9"/>
        <v>QVQLVQSGAEVKKPGSSVKVSCKSSGGTSNNYAISWVRQAPGQGLEWMGGIIPILGIANYAQKFQGRVTITADKSTSTAYMELSSLRSEDTAVYYCAREDAVVDYWGQGTLVTVSSGGGSGGGSGGGSGGGSDIQMTQSPSTLSASVGDRVTITCRASQGISSWLAWYQQKPGKAPKLLIYKASSLESGVPSRFSGSGSGTEFTLTISSLQPDDFATYYCQQYNSYPLTFGQGTKVQVK</v>
      </c>
      <c r="N99" s="4">
        <f t="shared" si="10"/>
        <v>239</v>
      </c>
      <c r="O99" s="1" t="b">
        <f t="shared" si="8"/>
        <v>1</v>
      </c>
      <c r="P99" s="1" t="b">
        <v>0</v>
      </c>
      <c r="Q99" s="1" t="b">
        <v>0</v>
      </c>
    </row>
    <row r="100" spans="1:17" ht="60" x14ac:dyDescent="0.25">
      <c r="A100" s="1" t="s">
        <v>419</v>
      </c>
      <c r="B100" s="1" t="s">
        <v>18</v>
      </c>
      <c r="C100" s="2" t="s">
        <v>19</v>
      </c>
      <c r="D100" s="4">
        <v>0.6</v>
      </c>
      <c r="E100" s="1" t="s">
        <v>42</v>
      </c>
      <c r="G100" s="1" t="s">
        <v>258</v>
      </c>
      <c r="I100" s="2" t="s">
        <v>452</v>
      </c>
      <c r="J100" s="2" t="s">
        <v>296</v>
      </c>
      <c r="K100" s="1" t="b">
        <v>1</v>
      </c>
      <c r="L100" s="2" t="s">
        <v>125</v>
      </c>
      <c r="M100" s="2" t="str">
        <f t="shared" si="9"/>
        <v>EVQLVESGGGLVQPGGSLRLSCAASGFNVSSSSIHWVRQAPGKGLEWVASISSYYGYTYYADSVKGRFTISADTSKNTAYLQMNSLRAEDTAVYYCARHWGYCSWFAYWGQGTLVTVSSGGGSGGGSGGGSGGGSDIQMTQSPSSLSASVGDRVTITCRASQSVSSAVAWYQQKPGKAPKLLIYSASSLYSGVPSRFSGSRSGTDFTLTISSLQPEDFATYYCQQYKYVPVTFGQGTKVEIK</v>
      </c>
      <c r="N100" s="4">
        <f t="shared" si="10"/>
        <v>242</v>
      </c>
      <c r="O100" s="1" t="b">
        <f t="shared" si="8"/>
        <v>1</v>
      </c>
      <c r="P100" s="1" t="b">
        <v>0</v>
      </c>
      <c r="Q100" s="1" t="b">
        <v>0</v>
      </c>
    </row>
    <row r="101" spans="1:17" ht="60" x14ac:dyDescent="0.25">
      <c r="A101" s="1" t="s">
        <v>420</v>
      </c>
      <c r="B101" s="1" t="s">
        <v>18</v>
      </c>
      <c r="C101" s="2" t="s">
        <v>19</v>
      </c>
      <c r="D101" s="4">
        <v>0.6</v>
      </c>
      <c r="E101" s="1" t="s">
        <v>42</v>
      </c>
      <c r="G101" s="1" t="s">
        <v>258</v>
      </c>
      <c r="I101" s="2" t="s">
        <v>453</v>
      </c>
      <c r="J101" s="2" t="s">
        <v>304</v>
      </c>
      <c r="K101" s="1" t="b">
        <v>1</v>
      </c>
      <c r="L101" s="2" t="s">
        <v>125</v>
      </c>
      <c r="M101" s="2" t="str">
        <f t="shared" si="9"/>
        <v>EVQLVESGGGLVQPGGSLRLSCAASGFNISSSSIHWVRQAPGKGLEWVASIYSYSGYTSYADSVKGRFTISADTSKNTAYLQMNSLRAEDTAVYYCARGSHYFGYFDYWGQGTLVTVSSGGGSGGGSGGGSGGGSDIQMTQSPSSLSASVGDRVTITCRASQSVSSAVAWYQQKPGKAPKLLIYSASSLYSGVPSRFSGSRSGTDFTLTISSLQPEDFATYYCQQSSSSLITFGQGTKVEIK</v>
      </c>
      <c r="N101" s="4">
        <f t="shared" si="10"/>
        <v>242</v>
      </c>
      <c r="O101" s="1" t="b">
        <f t="shared" si="8"/>
        <v>1</v>
      </c>
      <c r="P101" s="1" t="b">
        <v>0</v>
      </c>
      <c r="Q101" s="1" t="b">
        <v>0</v>
      </c>
    </row>
    <row r="102" spans="1:17" ht="60" x14ac:dyDescent="0.25">
      <c r="A102" s="1" t="s">
        <v>421</v>
      </c>
      <c r="B102" s="1" t="s">
        <v>18</v>
      </c>
      <c r="C102" s="2" t="s">
        <v>19</v>
      </c>
      <c r="D102" s="4">
        <v>0.6</v>
      </c>
      <c r="E102" s="1" t="s">
        <v>42</v>
      </c>
      <c r="G102" s="1" t="s">
        <v>258</v>
      </c>
      <c r="I102" s="2" t="s">
        <v>454</v>
      </c>
      <c r="J102" s="2" t="s">
        <v>455</v>
      </c>
      <c r="K102" s="1" t="b">
        <v>1</v>
      </c>
      <c r="L102" s="2" t="s">
        <v>125</v>
      </c>
      <c r="M102" s="2" t="str">
        <f t="shared" si="9"/>
        <v>QVQLQESGPGLVKPSQTLSLTCTVSGGSISSGDYYWIRQHPGKGLEWIGYIYYSGSTDYNPSLKSRVTISVDTSKNQFSLKVTAADTAVYYCARTWFGSDYWGQGTLVTVSSGGGSGGGSGGGSGGGSDIQMTQSPSSLSASVGDRVTITCRASQGISNYLAWYQQKPGKAPKLLIYAASTLQSGVPSRFSGSGSGTDFTLTISSLQPEDFATYYCQQAHSFPYTFGGGTKLEIK</v>
      </c>
      <c r="N102" s="4">
        <f t="shared" si="10"/>
        <v>235</v>
      </c>
      <c r="O102" s="1" t="b">
        <f t="shared" si="8"/>
        <v>1</v>
      </c>
      <c r="P102" s="1" t="b">
        <v>0</v>
      </c>
      <c r="Q102" s="1" t="b">
        <v>0</v>
      </c>
    </row>
    <row r="103" spans="1:17" ht="75" x14ac:dyDescent="0.25">
      <c r="A103" s="1" t="s">
        <v>422</v>
      </c>
      <c r="B103" s="1" t="s">
        <v>18</v>
      </c>
      <c r="C103" s="2" t="s">
        <v>19</v>
      </c>
      <c r="D103" s="4">
        <v>0.6</v>
      </c>
      <c r="E103" s="1" t="s">
        <v>42</v>
      </c>
      <c r="G103" s="1" t="s">
        <v>258</v>
      </c>
      <c r="I103" s="2" t="s">
        <v>456</v>
      </c>
      <c r="J103" s="2" t="s">
        <v>457</v>
      </c>
      <c r="K103" s="1" t="b">
        <v>1</v>
      </c>
      <c r="L103" s="2" t="s">
        <v>125</v>
      </c>
      <c r="M103" s="2" t="str">
        <f t="shared" si="9"/>
        <v>EVQLVESGGGLVQPGGSLRLSCAASGFTFSSYWMNWVRQAPGKGLEWVAFIRYDGGNKYYADSVKGRFTISRDNSKNTLYLQMNSLRAEDTAVYYCARWSYSGGSGSYYVYFDYWGQGTLVTVSGGGSGGGSGGGSGGGSSVLTQPPSVSGAPGQRVTISCTGSSSNIGAGYDVHWYQQLPGTAPKLLIYGNSNRPSGVPDRFSGSKSGTSASLAITGLQAEDEADYYCQSYDSSLSGSVFGGGTKLTVL</v>
      </c>
      <c r="N103" s="4">
        <f t="shared" si="10"/>
        <v>250</v>
      </c>
      <c r="O103" s="1" t="b">
        <f t="shared" si="8"/>
        <v>1</v>
      </c>
      <c r="P103" s="1" t="b">
        <v>0</v>
      </c>
      <c r="Q103" s="1" t="b">
        <v>0</v>
      </c>
    </row>
    <row r="104" spans="1:17" ht="75" x14ac:dyDescent="0.25">
      <c r="A104" s="1" t="s">
        <v>423</v>
      </c>
      <c r="B104" s="1" t="s">
        <v>18</v>
      </c>
      <c r="C104" s="2" t="s">
        <v>19</v>
      </c>
      <c r="D104" s="4">
        <v>0.6</v>
      </c>
      <c r="E104" s="1" t="s">
        <v>42</v>
      </c>
      <c r="G104" s="1" t="s">
        <v>258</v>
      </c>
      <c r="I104" s="2" t="s">
        <v>458</v>
      </c>
      <c r="J104" s="2" t="s">
        <v>459</v>
      </c>
      <c r="K104" s="1" t="b">
        <v>1</v>
      </c>
      <c r="L104" s="2" t="s">
        <v>125</v>
      </c>
      <c r="M104" s="2" t="str">
        <f t="shared" si="9"/>
        <v>QVQLVQSGAEVKKPGASVKVSCKASGYTFTNYYIHWVRQAPGQGLEWMGWIYPGGNTNYAQKFQGRVTMTRDTSISTAYMELSRLRSDDTAVYYCARVRTEFDYWGQGTLVTVSSGGGSGGGSGGGSGGGSDIVMTQSPSSLAMSAGAETITCRSSQSVHSNGYLNWYQQKPGQPPKLLIYWASTRESGVPDRFTGSGSGTDFTLTITNVQSEDLAEYFCQQYSSYPLTFGAGTKLELR</v>
      </c>
      <c r="N104" s="4">
        <f t="shared" si="10"/>
        <v>239</v>
      </c>
      <c r="O104" s="1" t="b">
        <f t="shared" si="8"/>
        <v>1</v>
      </c>
      <c r="P104" s="1" t="b">
        <v>0</v>
      </c>
      <c r="Q104" s="1" t="b">
        <v>0</v>
      </c>
    </row>
    <row r="105" spans="1:17" ht="60" x14ac:dyDescent="0.25">
      <c r="A105" s="1" t="s">
        <v>424</v>
      </c>
      <c r="B105" s="1" t="s">
        <v>18</v>
      </c>
      <c r="C105" s="2" t="s">
        <v>19</v>
      </c>
      <c r="D105" s="4">
        <v>0.6</v>
      </c>
      <c r="E105" s="1" t="s">
        <v>42</v>
      </c>
      <c r="G105" s="1" t="s">
        <v>258</v>
      </c>
      <c r="I105" s="2" t="s">
        <v>460</v>
      </c>
      <c r="J105" s="2" t="s">
        <v>461</v>
      </c>
      <c r="K105" s="1" t="b">
        <v>1</v>
      </c>
      <c r="L105" s="2" t="s">
        <v>125</v>
      </c>
      <c r="M105" s="2" t="str">
        <f t="shared" si="9"/>
        <v>QVQLQESGPGLVKPSETLSLTCTVSGGSVSSGGYFWSWIRQPPGKGLEWIGYVSGSGSTNYNPSLKSRVTISVDTSKNQFSLKLSSVTAADTAVYYCARWDVWISDYWGQGTLVTVSSGGGSGGGSGGGSGGGSEIVLTQSPATLSLSPGERATLSCRASQSVSSYLAWYQQKPGQAPRLLIYDASNRATGIPARFSGSGSGTDFTLTISSLEPEDFAVYYCQHSWDQPPWTFGQGTKVEIK</v>
      </c>
      <c r="N105" s="4">
        <f t="shared" si="10"/>
        <v>242</v>
      </c>
      <c r="O105" s="1" t="b">
        <f t="shared" si="8"/>
        <v>1</v>
      </c>
      <c r="P105" s="1" t="b">
        <v>0</v>
      </c>
      <c r="Q105" s="1" t="b">
        <v>0</v>
      </c>
    </row>
    <row r="106" spans="1:17" ht="60" x14ac:dyDescent="0.25">
      <c r="A106" s="1" t="s">
        <v>425</v>
      </c>
      <c r="B106" s="1" t="s">
        <v>18</v>
      </c>
      <c r="C106" s="2" t="s">
        <v>19</v>
      </c>
      <c r="D106" s="4">
        <v>0.6</v>
      </c>
      <c r="E106" s="1" t="s">
        <v>42</v>
      </c>
      <c r="G106" s="1" t="s">
        <v>258</v>
      </c>
      <c r="I106" s="2" t="s">
        <v>462</v>
      </c>
      <c r="J106" s="2" t="s">
        <v>463</v>
      </c>
      <c r="K106" s="1" t="b">
        <v>1</v>
      </c>
      <c r="L106" s="2" t="s">
        <v>125</v>
      </c>
      <c r="M106" s="2" t="str">
        <f t="shared" si="9"/>
        <v>QVQLQESGPGLVKPSQTLSLTCTVTGSSITSGYWNWIRQFPGNKLEWMGYISYSGTITYNPSLKSRISITRDTSKNQFFLQLNSVTTEDTATYYCARVYDGFYDYWGQGTLVTVSSGGGSGGGSGGGSGGGSDIVMTQSPSSLSASVGDRVTITCRASQGISSWLAWYQQKPGKAPKLLIYKASSLESGVPSRFSGSGSGTEFTLTISSLQPDDFATYYCQQYNSYPLTFGGGTKVEIK</v>
      </c>
      <c r="N106" s="4">
        <f t="shared" si="10"/>
        <v>239</v>
      </c>
      <c r="O106" s="1" t="b">
        <f t="shared" si="8"/>
        <v>1</v>
      </c>
      <c r="P106" s="1" t="b">
        <v>0</v>
      </c>
      <c r="Q106" s="1" t="b">
        <v>0</v>
      </c>
    </row>
    <row r="107" spans="1:17" ht="75" x14ac:dyDescent="0.25">
      <c r="A107" s="1" t="s">
        <v>426</v>
      </c>
      <c r="B107" s="1" t="s">
        <v>18</v>
      </c>
      <c r="C107" s="2" t="s">
        <v>19</v>
      </c>
      <c r="D107" s="4">
        <v>0.9</v>
      </c>
      <c r="E107" s="1" t="s">
        <v>42</v>
      </c>
      <c r="G107" s="1" t="s">
        <v>258</v>
      </c>
      <c r="I107" s="2" t="s">
        <v>464</v>
      </c>
      <c r="J107" s="2" t="s">
        <v>465</v>
      </c>
      <c r="K107" s="1" t="b">
        <v>1</v>
      </c>
      <c r="L107" s="2" t="s">
        <v>125</v>
      </c>
      <c r="M107" s="2" t="str">
        <f t="shared" si="9"/>
        <v>QVQLVESGGGVVQPGRSLRLSCAASGFTFSNYAMHWVRQAPGKGLEWVAVISYNSGNPYADSVKGRFTISRDNSKNTLYLQMRVEDTAVYYCSRTTIGYGGDIWGNMFDYWGQGTLVTVSSGGGSGGGSGGGSGGGSDIVMTQSPATLSVSPGDRATLSCRASQSISTNLAWYQQKPGQAPRLLIYTASTLESGVPSRFSGSGSGTEFTLTISNLQSEDFATYFCQQYSAPLTFGGGTKVEIK</v>
      </c>
      <c r="N107" s="4">
        <f t="shared" si="10"/>
        <v>243</v>
      </c>
      <c r="O107" s="1" t="b">
        <f t="shared" si="8"/>
        <v>1</v>
      </c>
      <c r="P107" s="1" t="b">
        <v>0</v>
      </c>
      <c r="Q107" s="1" t="b">
        <v>0</v>
      </c>
    </row>
    <row r="108" spans="1:17" ht="75" x14ac:dyDescent="0.25">
      <c r="A108" s="1" t="s">
        <v>427</v>
      </c>
      <c r="B108" s="1" t="s">
        <v>18</v>
      </c>
      <c r="C108" s="2" t="s">
        <v>19</v>
      </c>
      <c r="D108" s="4">
        <v>0.9</v>
      </c>
      <c r="E108" s="1" t="s">
        <v>42</v>
      </c>
      <c r="G108" s="1" t="s">
        <v>258</v>
      </c>
      <c r="I108" s="2" t="s">
        <v>466</v>
      </c>
      <c r="J108" s="2" t="s">
        <v>467</v>
      </c>
      <c r="K108" s="1" t="b">
        <v>1</v>
      </c>
      <c r="L108" s="2" t="s">
        <v>126</v>
      </c>
      <c r="M108" s="2" t="str">
        <f t="shared" si="9"/>
        <v>EVQLVESGGGLVQPGGSLRLSCAASGFASSSSNYVHWVRQAPGKGLEWVATIYPYSSSEYAASVQGRFTISRDDSKNTLYLQMNSLRGEDTAVYYCARYGYYSSRSGYGYYFNYWGQGTLVTVSSGGGSGGGSGGGSDIVMTQSPASLAVSLGQRATISCRASESVDSYGNSFLAWYQQKPGQPPKLLIYWASTRQSGVPARFSGSGSGTDFTLNIHPVEEEDAATYYCQQHNYPLTFGAGTKLEIK</v>
      </c>
      <c r="N108" s="4">
        <f t="shared" si="10"/>
        <v>247</v>
      </c>
      <c r="O108" s="1" t="b">
        <f t="shared" si="8"/>
        <v>1</v>
      </c>
      <c r="P108" s="1" t="b">
        <v>0</v>
      </c>
      <c r="Q108" s="1" t="b">
        <v>0</v>
      </c>
    </row>
    <row r="109" spans="1:17" ht="60" x14ac:dyDescent="0.25">
      <c r="A109" s="1" t="s">
        <v>428</v>
      </c>
      <c r="B109" s="1" t="s">
        <v>18</v>
      </c>
      <c r="C109" s="2" t="s">
        <v>19</v>
      </c>
      <c r="D109" s="4">
        <v>0.9</v>
      </c>
      <c r="E109" s="1" t="s">
        <v>42</v>
      </c>
      <c r="G109" s="1" t="s">
        <v>258</v>
      </c>
      <c r="I109" s="2" t="s">
        <v>468</v>
      </c>
      <c r="J109" s="2" t="s">
        <v>469</v>
      </c>
      <c r="K109" s="1" t="b">
        <v>1</v>
      </c>
      <c r="L109" s="2" t="s">
        <v>125</v>
      </c>
      <c r="M109" s="2" t="str">
        <f t="shared" si="9"/>
        <v>EVQLVESGAEVKKPGSSVKVSCKASGGPFTSYVISWVRQAPGQGLEWMGRIIPIRGTTYAQKFQGRVTITADKSTSTAYMELRSEDTAVYYCARGSHVFGYYDYWGQGTLVTVSSGGGSGGGSGGGSGGGSEIVLTQSPGTLSLSPGERATLSCRASQSISGNYLAWYQQKPGQAPRLLIYGASIRAAGIPDRFSGSGSGTDFTLTISRLEPEDFAVYYCQQYGSSPRTFGQGTKVEIK</v>
      </c>
      <c r="N109" s="4">
        <f t="shared" si="10"/>
        <v>239</v>
      </c>
      <c r="O109" s="1" t="b">
        <f t="shared" si="8"/>
        <v>1</v>
      </c>
      <c r="P109" s="1" t="b">
        <v>0</v>
      </c>
      <c r="Q109" s="1" t="b">
        <v>0</v>
      </c>
    </row>
    <row r="110" spans="1:17" ht="60" x14ac:dyDescent="0.25">
      <c r="A110" s="1" t="s">
        <v>429</v>
      </c>
      <c r="B110" s="1" t="s">
        <v>18</v>
      </c>
      <c r="C110" s="2" t="s">
        <v>19</v>
      </c>
      <c r="D110" s="4">
        <v>0.9</v>
      </c>
      <c r="E110" s="1" t="s">
        <v>42</v>
      </c>
      <c r="G110" s="1" t="s">
        <v>258</v>
      </c>
      <c r="I110" s="2" t="s">
        <v>470</v>
      </c>
      <c r="J110" s="2" t="s">
        <v>471</v>
      </c>
      <c r="K110" s="1" t="b">
        <v>1</v>
      </c>
      <c r="L110" s="2" t="s">
        <v>125</v>
      </c>
      <c r="M110" s="2" t="str">
        <f t="shared" si="9"/>
        <v>EVQLVETGGGLVQPGGSLKLSCRASGYTFTDYAMHWVRQAPLGLGLYTGGVNYARHFMKSRISITRDNSKNTLYLQMTKVDDTATYFCARRGLFDSDYWGQGTLVTVSSGGGSGGGSGGGSGGGSSVTQPPSVSGSTSVGDRVTTCRASQSISSNWLAWYQQFPGTAPKLLIYENSSRPSGVPDRFSGSGSGTDFTLKISRVEAEDVGVYYCLQALSPRFTFGSGTKLEIK</v>
      </c>
      <c r="N110" s="4">
        <f t="shared" si="10"/>
        <v>231</v>
      </c>
      <c r="O110" s="1" t="b">
        <f t="shared" si="8"/>
        <v>1</v>
      </c>
      <c r="P110" s="1" t="b">
        <v>0</v>
      </c>
      <c r="Q110" s="1" t="b">
        <v>0</v>
      </c>
    </row>
    <row r="111" spans="1:17" ht="75" x14ac:dyDescent="0.25">
      <c r="A111" s="1" t="s">
        <v>430</v>
      </c>
      <c r="B111" s="1" t="s">
        <v>18</v>
      </c>
      <c r="C111" s="2" t="s">
        <v>19</v>
      </c>
      <c r="D111" s="4">
        <v>0.9</v>
      </c>
      <c r="E111" s="1" t="s">
        <v>42</v>
      </c>
      <c r="G111" s="1" t="s">
        <v>258</v>
      </c>
      <c r="I111" s="2" t="s">
        <v>472</v>
      </c>
      <c r="J111" s="2" t="s">
        <v>473</v>
      </c>
      <c r="K111" s="1" t="b">
        <v>1</v>
      </c>
      <c r="L111" s="2" t="s">
        <v>125</v>
      </c>
      <c r="M111" s="2" t="str">
        <f t="shared" si="9"/>
        <v>QVQLVQSGAEVKKPGSSVKVSCKASGGTFSNYGISWVRQAPGQGLEWMGGIIPILGIANYAQKFQGRVTITADKSTSTAYMELRSLRSDDTAVYYCAREGHAYFHNGLDYWGQGTLVTVSSGGGSGGGSGGGSGGGSEIVLTQSPGTLSLSPGERATLSCRASQSVSSSYFAWYQQKPGQAPRLLIYGASSRATGIPDRFSGSGSGTDFTLTISRLEPEDFAVYYCQQYGSSPPATFGQGTKVEIK</v>
      </c>
      <c r="N111" s="4">
        <f t="shared" si="10"/>
        <v>246</v>
      </c>
      <c r="O111" s="1" t="b">
        <f t="shared" si="8"/>
        <v>1</v>
      </c>
      <c r="P111" s="1" t="b">
        <v>0</v>
      </c>
      <c r="Q111" s="1" t="b">
        <v>0</v>
      </c>
    </row>
    <row r="112" spans="1:17" ht="60" x14ac:dyDescent="0.25">
      <c r="A112" s="1" t="s">
        <v>431</v>
      </c>
      <c r="B112" s="1" t="s">
        <v>18</v>
      </c>
      <c r="C112" s="2" t="s">
        <v>19</v>
      </c>
      <c r="D112" s="4">
        <v>0.9</v>
      </c>
      <c r="E112" s="1" t="s">
        <v>42</v>
      </c>
      <c r="G112" s="1" t="s">
        <v>258</v>
      </c>
      <c r="I112" s="2" t="s">
        <v>474</v>
      </c>
      <c r="J112" s="2" t="s">
        <v>475</v>
      </c>
      <c r="K112" s="1" t="b">
        <v>1</v>
      </c>
      <c r="L112" s="2" t="s">
        <v>125</v>
      </c>
      <c r="M112" s="2" t="str">
        <f t="shared" si="9"/>
        <v>QVQLVESGGGVVQPGRSLRLSCAASGFTFSSFGMHWVRQAPGKGLEWVAIIWDGSNKYYADSVKGRFTISRDNSKNTLYLQMRAEDTAVYYCALDGGSFDDYWGQGTLVTVSSGGGSGGGSGGGSGGGSDIQMTQSPSTLSTSVGDRVTITCRASQSISSWLAWYQQKPGKAPKLLIYKASTLESGVPSRFSGSGSGTEFTLTISSLQPDDFATYYCQHFYGTPITFGPGTKVD</v>
      </c>
      <c r="N112" s="4">
        <f t="shared" si="10"/>
        <v>234</v>
      </c>
      <c r="O112" s="1" t="b">
        <f t="shared" si="8"/>
        <v>1</v>
      </c>
      <c r="P112" s="1" t="b">
        <v>0</v>
      </c>
      <c r="Q112" s="1" t="b">
        <v>0</v>
      </c>
    </row>
    <row r="113" spans="1:17" ht="60" x14ac:dyDescent="0.25">
      <c r="A113" s="1" t="s">
        <v>432</v>
      </c>
      <c r="B113" s="1" t="s">
        <v>18</v>
      </c>
      <c r="C113" s="2" t="s">
        <v>19</v>
      </c>
      <c r="D113" s="4">
        <v>0.9</v>
      </c>
      <c r="E113" s="1" t="s">
        <v>42</v>
      </c>
      <c r="G113" s="1" t="s">
        <v>258</v>
      </c>
      <c r="I113" s="2" t="s">
        <v>476</v>
      </c>
      <c r="J113" s="2" t="s">
        <v>477</v>
      </c>
      <c r="K113" s="1" t="b">
        <v>1</v>
      </c>
      <c r="L113" s="2" t="s">
        <v>125</v>
      </c>
      <c r="M113" s="2" t="str">
        <f t="shared" si="9"/>
        <v>EVQLVESGGGLVKPGGSLKVSCAASGFTFSDYSMNWVRQAPGKGLEWVSSITSGYTSIYYADSVKGRFTISRDNAKNSLYLQMNSLRAGDTAVYYCARVSDNFDYWGQGTAVTVSSGGGSGGGSGGGSGGGSDIQMTQSPSSLSASVGDRVTITCQASQDIRFYLNWYQQKPGKAPKLLISAASTLQSGVPSRFSGSGSGTDFTLTITSLQPEDFATYYCAGYVPSYTFGPGTKVDIK</v>
      </c>
      <c r="N113" s="4">
        <f t="shared" si="10"/>
        <v>238</v>
      </c>
      <c r="O113" s="1" t="b">
        <f t="shared" si="8"/>
        <v>1</v>
      </c>
      <c r="P113" s="1" t="b">
        <v>0</v>
      </c>
      <c r="Q113" s="1" t="b">
        <v>0</v>
      </c>
    </row>
    <row r="114" spans="1:17" ht="75" x14ac:dyDescent="0.25">
      <c r="A114" s="1" t="s">
        <v>433</v>
      </c>
      <c r="B114" s="1" t="s">
        <v>18</v>
      </c>
      <c r="C114" s="2" t="s">
        <v>19</v>
      </c>
      <c r="D114" s="4">
        <v>0.9</v>
      </c>
      <c r="E114" s="1" t="s">
        <v>42</v>
      </c>
      <c r="G114" s="1" t="s">
        <v>258</v>
      </c>
      <c r="I114" s="2" t="s">
        <v>478</v>
      </c>
      <c r="J114" s="2" t="s">
        <v>479</v>
      </c>
      <c r="K114" s="1" t="b">
        <v>1</v>
      </c>
      <c r="L114" s="2" t="s">
        <v>125</v>
      </c>
      <c r="M114" s="2" t="str">
        <f t="shared" si="9"/>
        <v>EVQLQQSGAELVKPGASVKLSCKASGYTFLDYYMYWVKQRPEQGLEWIGRIDPANGNTIYAPKFQDKATLTLTTDTTSSNTAYMQLSSLTSEDSAVYYCAREGNYGYRDLAWFAYWGQGTLVTVSSGGGSGGGSGGGSGGGSAIRMTQSPSSLSASVGDTVTITCRASQSISSYLNWYQQKPGKAPKLLIYTASNLESGVPSRFSGSGSGTDYTLTISSLQPEDIATYYCQQYDNPPLTFGGGTKVEIK</v>
      </c>
      <c r="N114" s="4">
        <f t="shared" si="10"/>
        <v>249</v>
      </c>
      <c r="O114" s="1" t="b">
        <f t="shared" si="8"/>
        <v>1</v>
      </c>
      <c r="P114" s="1" t="b">
        <v>0</v>
      </c>
      <c r="Q114" s="1" t="b">
        <v>0</v>
      </c>
    </row>
    <row r="115" spans="1:17" ht="60" x14ac:dyDescent="0.25">
      <c r="A115" s="1" t="s">
        <v>434</v>
      </c>
      <c r="B115" s="1" t="s">
        <v>18</v>
      </c>
      <c r="C115" s="2" t="s">
        <v>19</v>
      </c>
      <c r="D115" s="4">
        <v>0.9</v>
      </c>
      <c r="E115" s="1" t="s">
        <v>42</v>
      </c>
      <c r="G115" s="1" t="s">
        <v>258</v>
      </c>
      <c r="I115" s="2" t="s">
        <v>480</v>
      </c>
      <c r="J115" s="2" t="s">
        <v>481</v>
      </c>
      <c r="K115" s="1" t="b">
        <v>1</v>
      </c>
      <c r="L115" s="2" t="s">
        <v>125</v>
      </c>
      <c r="M115" s="2" t="str">
        <f t="shared" si="9"/>
        <v>QVQLQESGPGLVKPSETLSLTCTVSGGSVSSGGYFWSWIRQRPGKGLEWIGHIYYSGTTNYNPSLRSRVTISRDTSKSQFSLKMDSLTSEDTALYYCARQLGLRFDIWGQGTMVTVSSGGGSGGGSGGGSGGGSDIQMTQSPSSLSASVGDRVTITCRASQSISSYLNWYQQKPGKAPKLLIYAASSLQSGVPSRFSGSGSGTDFTLTISSLQPEDFATYYCQQSYTTPPTFGQGTKVEIK</v>
      </c>
      <c r="N115" s="4">
        <f t="shared" si="10"/>
        <v>241</v>
      </c>
      <c r="O115" s="1" t="b">
        <f t="shared" si="8"/>
        <v>1</v>
      </c>
      <c r="P115" s="1" t="b">
        <v>0</v>
      </c>
      <c r="Q115" s="1" t="b">
        <v>0</v>
      </c>
    </row>
    <row r="116" spans="1:17" ht="60" x14ac:dyDescent="0.25">
      <c r="A116" s="1" t="s">
        <v>435</v>
      </c>
      <c r="B116" s="1" t="s">
        <v>18</v>
      </c>
      <c r="C116" s="2" t="s">
        <v>19</v>
      </c>
      <c r="D116" s="4">
        <v>0.9</v>
      </c>
      <c r="E116" s="1" t="s">
        <v>42</v>
      </c>
      <c r="G116" s="1" t="s">
        <v>258</v>
      </c>
      <c r="I116" s="2" t="s">
        <v>482</v>
      </c>
      <c r="J116" s="2" t="s">
        <v>483</v>
      </c>
      <c r="K116" s="1" t="b">
        <v>1</v>
      </c>
      <c r="L116" s="2" t="s">
        <v>125</v>
      </c>
      <c r="M116" s="2" t="str">
        <f t="shared" si="9"/>
        <v>QVQLVESGGGLVQPGGSLRLSCAASGFNLYSSSIHWVRQAPGKGLEWVARIYPSGATYYADSVKGRFTISADTSKNTAYLQMRAEDTAVYYCARSYYGDDYWGQGTLVTVSSGGGSGGGSGGGSGGGSDIQMTQSPSSLSASVGDRVTITCRASQSVSSAVAWYQQKPGKAPKLLIYSASFLYSGVPSRFSGSRSGTDFTLTISSLQPEDFATYYCQQYSYYPFTFGQGTKVEIK</v>
      </c>
      <c r="N116" s="4">
        <f t="shared" si="10"/>
        <v>235</v>
      </c>
      <c r="O116" s="1" t="b">
        <f t="shared" si="8"/>
        <v>1</v>
      </c>
      <c r="P116" s="1" t="b">
        <v>0</v>
      </c>
      <c r="Q116" s="1" t="b">
        <v>0</v>
      </c>
    </row>
  </sheetData>
  <autoFilter ref="A1:V81" xr:uid="{00000000-0001-0000-0100-000000000000}"/>
  <phoneticPr fontId="1" type="noConversion"/>
  <conditionalFormatting sqref="K1:L1048576">
    <cfRule type="cellIs" dxfId="20" priority="18" operator="equal">
      <formula>TRUE</formula>
    </cfRule>
    <cfRule type="cellIs" dxfId="19" priority="19" operator="equal">
      <formula>FALSE</formula>
    </cfRule>
    <cfRule type="containsBlanks" dxfId="18" priority="19">
      <formula>LEN(TRIM(K1))=0</formula>
    </cfRule>
  </conditionalFormatting>
  <conditionalFormatting sqref="O2:O116">
    <cfRule type="containsBlanks" dxfId="17" priority="11">
      <formula>LEN(TRIM(O2))=0</formula>
    </cfRule>
  </conditionalFormatting>
  <conditionalFormatting sqref="O84:Q116">
    <cfRule type="cellIs" dxfId="16" priority="1" operator="equal">
      <formula>FALSE</formula>
    </cfRule>
    <cfRule type="cellIs" dxfId="15" priority="2" operator="equal">
      <formula>TRUE</formula>
    </cfRule>
  </conditionalFormatting>
  <conditionalFormatting sqref="O2:S2 O3:Q83 R3:S22">
    <cfRule type="cellIs" dxfId="14" priority="12" operator="equal">
      <formula>FALSE</formula>
    </cfRule>
    <cfRule type="cellIs" dxfId="13" priority="20" operator="equal">
      <formula>TRUE</formula>
    </cfRule>
  </conditionalFormatting>
  <conditionalFormatting sqref="R1:S1048576 V1:V1048576">
    <cfRule type="colorScale" priority="10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V2:V22">
    <cfRule type="cellIs" dxfId="12" priority="6" operator="equal">
      <formula>FALSE</formula>
    </cfRule>
    <cfRule type="cellIs" dxfId="11" priority="7" operator="equal">
      <formula>TRUE</formula>
    </cfRule>
  </conditionalFormatting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M4"/>
  <sheetViews>
    <sheetView zoomScaleNormal="100" workbookViewId="0">
      <selection activeCell="C7" sqref="C7"/>
    </sheetView>
  </sheetViews>
  <sheetFormatPr defaultColWidth="9.140625" defaultRowHeight="15" x14ac:dyDescent="0.25"/>
  <cols>
    <col min="1" max="2" width="19.42578125" style="1" bestFit="1" customWidth="1"/>
    <col min="3" max="3" width="14.42578125" style="4" customWidth="1"/>
    <col min="4" max="4" width="122.140625" style="1" customWidth="1"/>
    <col min="5" max="5" width="44.140625" style="1" customWidth="1"/>
    <col min="6" max="6" width="93.28515625" style="1" customWidth="1"/>
    <col min="7" max="7" width="10.85546875" style="1" bestFit="1" customWidth="1"/>
    <col min="8" max="8" width="41" style="1" customWidth="1"/>
    <col min="9" max="9" width="10.42578125" style="1" bestFit="1" customWidth="1"/>
    <col min="10" max="10" width="10.140625" style="1" bestFit="1" customWidth="1"/>
    <col min="11" max="1027" width="9.140625" style="1"/>
  </cols>
  <sheetData>
    <row r="1" spans="1:10" x14ac:dyDescent="0.25">
      <c r="A1" s="1" t="s">
        <v>0</v>
      </c>
      <c r="B1" s="1" t="s">
        <v>231</v>
      </c>
      <c r="C1" s="4" t="s">
        <v>97</v>
      </c>
      <c r="D1" s="1" t="s">
        <v>1</v>
      </c>
      <c r="E1" s="1" t="s">
        <v>2</v>
      </c>
      <c r="F1" s="1" t="s">
        <v>3</v>
      </c>
      <c r="G1" s="1" t="s">
        <v>229</v>
      </c>
      <c r="H1" s="1" t="s">
        <v>228</v>
      </c>
      <c r="I1" s="1" t="s">
        <v>132</v>
      </c>
      <c r="J1" s="1" t="s">
        <v>133</v>
      </c>
    </row>
    <row r="2" spans="1:10" ht="90" x14ac:dyDescent="0.25">
      <c r="A2" s="1" t="s">
        <v>4</v>
      </c>
      <c r="B2" s="1" t="s">
        <v>5</v>
      </c>
      <c r="C2" s="4" t="s">
        <v>233</v>
      </c>
      <c r="D2" s="2" t="s">
        <v>6</v>
      </c>
      <c r="E2" s="2" t="s">
        <v>7</v>
      </c>
      <c r="F2" s="2" t="s">
        <v>8</v>
      </c>
      <c r="G2" s="2" t="s">
        <v>227</v>
      </c>
      <c r="H2" s="2" t="s">
        <v>225</v>
      </c>
      <c r="I2" s="1">
        <v>0.55449599999999999</v>
      </c>
      <c r="J2" s="1">
        <v>0.37068000000000001</v>
      </c>
    </row>
    <row r="3" spans="1:10" ht="105" x14ac:dyDescent="0.25">
      <c r="A3" s="1" t="s">
        <v>232</v>
      </c>
      <c r="B3" s="1" t="s">
        <v>259</v>
      </c>
      <c r="C3" s="4" t="s">
        <v>234</v>
      </c>
      <c r="D3" s="2" t="s">
        <v>226</v>
      </c>
      <c r="F3" s="2" t="s">
        <v>230</v>
      </c>
      <c r="G3" s="2" t="s">
        <v>227</v>
      </c>
      <c r="H3" s="2" t="s">
        <v>225</v>
      </c>
      <c r="I3" s="1">
        <v>0.79488899999999996</v>
      </c>
      <c r="J3" s="1">
        <v>0.72998799999999997</v>
      </c>
    </row>
    <row r="4" spans="1:10" ht="120" x14ac:dyDescent="0.25">
      <c r="A4" s="1" t="s">
        <v>258</v>
      </c>
      <c r="B4" s="1" t="s">
        <v>260</v>
      </c>
      <c r="C4" s="4" t="s">
        <v>256</v>
      </c>
      <c r="D4" s="2" t="s">
        <v>257</v>
      </c>
      <c r="F4" s="2" t="s">
        <v>261</v>
      </c>
      <c r="G4" s="2" t="s">
        <v>227</v>
      </c>
      <c r="H4" s="2" t="s">
        <v>225</v>
      </c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39314-0648-4D13-9FBE-8D5595154332}">
  <dimension ref="A1:J4"/>
  <sheetViews>
    <sheetView workbookViewId="0">
      <selection activeCell="C4" sqref="C4:D4"/>
    </sheetView>
  </sheetViews>
  <sheetFormatPr defaultColWidth="9.140625" defaultRowHeight="15" x14ac:dyDescent="0.25"/>
  <cols>
    <col min="1" max="1" width="15" style="1" bestFit="1" customWidth="1"/>
    <col min="2" max="2" width="11.42578125" style="1" customWidth="1"/>
    <col min="3" max="3" width="46.140625" style="2" customWidth="1"/>
    <col min="4" max="4" width="48.85546875" style="2" customWidth="1"/>
    <col min="5" max="5" width="20.7109375" style="1" bestFit="1" customWidth="1"/>
    <col min="6" max="6" width="74" style="1" customWidth="1"/>
    <col min="7" max="7" width="17.42578125" style="1" bestFit="1" customWidth="1"/>
    <col min="8" max="8" width="11" style="1" bestFit="1" customWidth="1"/>
    <col min="9" max="9" width="10.140625" style="1" bestFit="1" customWidth="1"/>
    <col min="10" max="10" width="10.42578125" style="1" bestFit="1" customWidth="1"/>
    <col min="11" max="16384" width="9.140625" style="1"/>
  </cols>
  <sheetData>
    <row r="1" spans="1:10" x14ac:dyDescent="0.25">
      <c r="A1" s="3" t="s">
        <v>355</v>
      </c>
      <c r="B1" s="3" t="s">
        <v>356</v>
      </c>
      <c r="C1" s="5" t="s">
        <v>13</v>
      </c>
      <c r="D1" s="5" t="s">
        <v>14</v>
      </c>
      <c r="E1" s="5" t="s">
        <v>124</v>
      </c>
      <c r="F1" s="5" t="s">
        <v>15</v>
      </c>
      <c r="G1" s="3" t="s">
        <v>16</v>
      </c>
      <c r="H1" s="3" t="s">
        <v>99</v>
      </c>
      <c r="I1" s="3" t="s">
        <v>133</v>
      </c>
      <c r="J1" s="3" t="s">
        <v>132</v>
      </c>
    </row>
    <row r="2" spans="1:10" ht="60" x14ac:dyDescent="0.25">
      <c r="A2" s="1" t="s">
        <v>359</v>
      </c>
      <c r="B2" s="1" t="s">
        <v>360</v>
      </c>
      <c r="C2" s="2" t="s">
        <v>357</v>
      </c>
      <c r="D2" s="2" t="s">
        <v>358</v>
      </c>
      <c r="E2" s="2" t="s">
        <v>125</v>
      </c>
      <c r="F2" s="2" t="str">
        <f>_xlfn.CONCAT(C2,E2,D2)</f>
        <v>QSLEESGGRLVTPGTPLTLTCTASGFSLSSYYMMWVRQAPGKGLEWIGIINTGGNAYYASWTKGRFTISKTSTTVDLKITSPTTEDTATYFCARAVPSGAGYSAGGLWGPGTLVTVSSGGGSGGGSGGGSGGGSDQVLTQTPASVEAAVGGTVTIKCQASQSVGFYLSWYQQKPGQPPKLLIYRASTLESGVPSRFKGSGSGTEFTLTISDLECADAATYYCQTNDYLASSAFGGGTEVVVRGDP</v>
      </c>
      <c r="G2" s="4">
        <f>LEN(F2)</f>
        <v>245</v>
      </c>
      <c r="H2" s="1" t="b">
        <f>IF(G2&lt;=250,TRUE,FALSE)</f>
        <v>1</v>
      </c>
      <c r="I2" s="4">
        <v>0.15832499999999999</v>
      </c>
      <c r="J2" s="4">
        <v>0.23402200000000001</v>
      </c>
    </row>
    <row r="3" spans="1:10" ht="60" x14ac:dyDescent="0.25">
      <c r="A3" s="1" t="s">
        <v>361</v>
      </c>
      <c r="B3" s="1" t="s">
        <v>362</v>
      </c>
      <c r="C3" s="2" t="s">
        <v>363</v>
      </c>
      <c r="D3" s="2" t="s">
        <v>364</v>
      </c>
      <c r="E3" s="2" t="s">
        <v>125</v>
      </c>
      <c r="F3" s="2" t="str">
        <f>_xlfn.CONCAT(C3,E3,D3)</f>
        <v>EVQLQQSGAELVKPGASVKLSCTASGFNIKDTYMYWVKQRPEQGLEWIGRIDPANGDTKYDPKFQGKATITTDTFSNTAYLQLSSLTSEDTAVYYCARKGLRWAMDYWGQGTSVTVSTGGGSGGGSGGGSGGGSNIVMTQSPKSMSMSVGERVTLSCKASEYVGTYVSWYQQKPEQSPKLLIYGASNRYTGVPDRFTGSGSATDFTLTIGSVQAEDLADYHCGQSYSYPTFGAGTKLELKRA</v>
      </c>
      <c r="G3" s="4">
        <f>LEN(F3)</f>
        <v>242</v>
      </c>
      <c r="H3" s="1" t="b">
        <f>IF(G3&lt;=250,TRUE,FALSE)</f>
        <v>1</v>
      </c>
      <c r="I3" s="4">
        <v>4.9750000000000003E-3</v>
      </c>
      <c r="J3" s="4">
        <v>0</v>
      </c>
    </row>
    <row r="4" spans="1:10" ht="60" x14ac:dyDescent="0.25">
      <c r="A4" s="1" t="s">
        <v>365</v>
      </c>
      <c r="B4" s="1" t="s">
        <v>366</v>
      </c>
      <c r="C4" s="2" t="s">
        <v>368</v>
      </c>
      <c r="D4" s="2" t="s">
        <v>367</v>
      </c>
      <c r="E4" s="2" t="s">
        <v>125</v>
      </c>
      <c r="F4" s="2" t="str">
        <f>_xlfn.CONCAT(C4,E4,D4)</f>
        <v>DVQLQESGPGLVKPSQSLSLTCSVTGYSITSDYYWNWIRQFPGNKLEWMGYVTYDGSNNYNPSLKNRISITRDSSKNQFFLKLNSVISEDTATYYCARFGSSYWAMDYWGQGTSLTVSSGGGSGGGSGGGSGGGSQIVLTQSPAIMSASLGEAITLTCSASSSVSYMHWYQQKSGTSPKLLIYSTSNLASGVPSRFSGSGSGTFYSLTISSVEAEDAADYYCHQWYSYPWTFGGGTKLEIK</v>
      </c>
      <c r="G4" s="4">
        <f>LEN(F4)</f>
        <v>241</v>
      </c>
      <c r="H4" s="1" t="b">
        <f>IF(G4&lt;=250,TRUE,FALSE)</f>
        <v>1</v>
      </c>
      <c r="I4" s="4">
        <v>5.2248000000000003E-2</v>
      </c>
      <c r="J4" s="4">
        <v>5.3319999999999999E-3</v>
      </c>
    </row>
  </sheetData>
  <conditionalFormatting sqref="E1:E4">
    <cfRule type="cellIs" dxfId="10" priority="12" operator="equal">
      <formula>TRUE</formula>
    </cfRule>
    <cfRule type="cellIs" dxfId="9" priority="13" operator="equal">
      <formula>FALSE</formula>
    </cfRule>
  </conditionalFormatting>
  <conditionalFormatting sqref="H2:H4">
    <cfRule type="containsBlanks" dxfId="8" priority="10">
      <formula>LEN(TRIM(H2))=0</formula>
    </cfRule>
    <cfRule type="cellIs" dxfId="7" priority="11" operator="equal">
      <formula>FALSE</formula>
    </cfRule>
    <cfRule type="cellIs" dxfId="6" priority="14" operator="equal">
      <formula>TRUE</formula>
    </cfRule>
  </conditionalFormatting>
  <conditionalFormatting sqref="I1:J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I2:J2">
    <cfRule type="cellIs" dxfId="5" priority="8" operator="equal">
      <formula>FALSE</formula>
    </cfRule>
    <cfRule type="cellIs" dxfId="4" priority="9" operator="equal">
      <formula>TRUE</formula>
    </cfRule>
  </conditionalFormatting>
  <conditionalFormatting sqref="I3:J3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3" priority="5" operator="equal">
      <formula>FALSE</formula>
    </cfRule>
    <cfRule type="cellIs" dxfId="2" priority="6" operator="equal">
      <formula>TRUE</formula>
    </cfRule>
  </conditionalFormatting>
  <conditionalFormatting sqref="I4:J4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ellIs" dxfId="1" priority="2" operator="equal">
      <formula>FALSE</formula>
    </cfRule>
    <cfRule type="cellIs" dxfId="0" priority="3" operator="equal">
      <formula>TRUE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6239D-77DB-4F47-9412-C7BA2E2E54B1}">
  <dimension ref="A1:B7"/>
  <sheetViews>
    <sheetView workbookViewId="0">
      <selection activeCell="B4" sqref="B4"/>
    </sheetView>
  </sheetViews>
  <sheetFormatPr defaultColWidth="9.140625" defaultRowHeight="15" x14ac:dyDescent="0.25"/>
  <cols>
    <col min="1" max="1" width="9.140625" style="4"/>
    <col min="2" max="2" width="53" style="2" customWidth="1"/>
    <col min="3" max="16384" width="9.140625" style="1"/>
  </cols>
  <sheetData>
    <row r="1" spans="1:2" x14ac:dyDescent="0.25">
      <c r="A1" s="3" t="s">
        <v>94</v>
      </c>
      <c r="B1" s="6" t="s">
        <v>95</v>
      </c>
    </row>
    <row r="2" spans="1:2" ht="60" x14ac:dyDescent="0.25">
      <c r="A2" s="4">
        <v>1</v>
      </c>
      <c r="B2" s="2" t="s">
        <v>93</v>
      </c>
    </row>
    <row r="3" spans="1:2" ht="75" x14ac:dyDescent="0.25">
      <c r="A3" s="4">
        <v>2</v>
      </c>
      <c r="B3" s="2" t="s">
        <v>111</v>
      </c>
    </row>
    <row r="4" spans="1:2" ht="30" x14ac:dyDescent="0.25">
      <c r="A4" s="4">
        <v>3</v>
      </c>
      <c r="B4" s="2" t="s">
        <v>342</v>
      </c>
    </row>
    <row r="5" spans="1:2" x14ac:dyDescent="0.25">
      <c r="A5" s="4" t="s">
        <v>233</v>
      </c>
      <c r="B5" s="2" t="s">
        <v>235</v>
      </c>
    </row>
    <row r="6" spans="1:2" x14ac:dyDescent="0.25">
      <c r="A6" s="4" t="s">
        <v>234</v>
      </c>
      <c r="B6" s="2" t="s">
        <v>262</v>
      </c>
    </row>
    <row r="7" spans="1:2" x14ac:dyDescent="0.25">
      <c r="A7" s="4" t="s">
        <v>256</v>
      </c>
      <c r="B7" s="2" t="s">
        <v>255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FE0EC-FC47-C643-AAB5-7D34FF5161C9}">
  <dimension ref="A2:C38"/>
  <sheetViews>
    <sheetView workbookViewId="0">
      <selection activeCell="A29" sqref="A29:A38"/>
    </sheetView>
  </sheetViews>
  <sheetFormatPr defaultColWidth="11.42578125" defaultRowHeight="15" x14ac:dyDescent="0.25"/>
  <cols>
    <col min="1" max="1" width="20.85546875" customWidth="1"/>
    <col min="2" max="2" width="28.5703125" bestFit="1" customWidth="1"/>
    <col min="3" max="3" width="255.7109375" bestFit="1" customWidth="1"/>
    <col min="4" max="4" width="11.7109375" bestFit="1" customWidth="1"/>
    <col min="5" max="5" width="10" bestFit="1" customWidth="1"/>
  </cols>
  <sheetData>
    <row r="2" spans="1:3" x14ac:dyDescent="0.25">
      <c r="A2" s="8" t="s">
        <v>98</v>
      </c>
      <c r="B2" s="9">
        <v>45976</v>
      </c>
    </row>
    <row r="4" spans="1:3" x14ac:dyDescent="0.25">
      <c r="A4" t="s">
        <v>269</v>
      </c>
      <c r="B4" t="s">
        <v>18</v>
      </c>
      <c r="C4" t="s">
        <v>396</v>
      </c>
    </row>
    <row r="5" spans="1:3" x14ac:dyDescent="0.25">
      <c r="A5" t="s">
        <v>270</v>
      </c>
      <c r="B5" t="s">
        <v>18</v>
      </c>
      <c r="C5" t="s">
        <v>397</v>
      </c>
    </row>
    <row r="6" spans="1:3" x14ac:dyDescent="0.25">
      <c r="A6" t="s">
        <v>279</v>
      </c>
      <c r="B6" t="s">
        <v>18</v>
      </c>
      <c r="C6" t="s">
        <v>398</v>
      </c>
    </row>
    <row r="7" spans="1:3" x14ac:dyDescent="0.25">
      <c r="A7" t="s">
        <v>280</v>
      </c>
      <c r="B7" t="s">
        <v>18</v>
      </c>
      <c r="C7" t="s">
        <v>399</v>
      </c>
    </row>
    <row r="8" spans="1:3" x14ac:dyDescent="0.25">
      <c r="A8" t="s">
        <v>289</v>
      </c>
      <c r="B8" t="s">
        <v>18</v>
      </c>
      <c r="C8" t="s">
        <v>400</v>
      </c>
    </row>
    <row r="9" spans="1:3" x14ac:dyDescent="0.25">
      <c r="A9" t="s">
        <v>290</v>
      </c>
      <c r="B9" t="s">
        <v>18</v>
      </c>
      <c r="C9" t="s">
        <v>401</v>
      </c>
    </row>
    <row r="10" spans="1:3" x14ac:dyDescent="0.25">
      <c r="A10" t="s">
        <v>385</v>
      </c>
      <c r="B10" t="s">
        <v>35</v>
      </c>
      <c r="C10" t="s">
        <v>402</v>
      </c>
    </row>
    <row r="11" spans="1:3" x14ac:dyDescent="0.25">
      <c r="A11" t="s">
        <v>386</v>
      </c>
      <c r="B11" t="s">
        <v>35</v>
      </c>
      <c r="C11" t="s">
        <v>403</v>
      </c>
    </row>
    <row r="12" spans="1:3" x14ac:dyDescent="0.25">
      <c r="A12" t="s">
        <v>387</v>
      </c>
      <c r="B12" t="s">
        <v>35</v>
      </c>
      <c r="C12" t="s">
        <v>404</v>
      </c>
    </row>
    <row r="13" spans="1:3" x14ac:dyDescent="0.25">
      <c r="A13" t="s">
        <v>392</v>
      </c>
      <c r="B13" t="s">
        <v>393</v>
      </c>
      <c r="C13" t="s">
        <v>405</v>
      </c>
    </row>
    <row r="29" spans="1:1" x14ac:dyDescent="0.25">
      <c r="A29" t="str">
        <f>_xlfn.CONCAT("&gt;",A4,"\n",C4)</f>
        <v>&gt;sbio-nipahgpg-058\nEVQLVESGGGLVQPGGSLRLSCAASGFTFSSYAMSWVRQAPGKGLEWVSAISGSGGSTYYADSVKGRFTISRDNSKNTLYLQMNSLRAEDTAVYYCARGYQVYFDYWGQGTLVTVSSGGGSGGGSGGGSGGGSDIQMTQSPSSLSASVGDRVTITCRASQSVSSAVAWYQQKPGKAPKLLIYSASSLYSGVPSRFSGSRSGTDFTLTISSLQPEDFATYYCQQYKYVPVTFGQGTKVEIK</v>
      </c>
    </row>
    <row r="30" spans="1:1" x14ac:dyDescent="0.25">
      <c r="A30" t="str">
        <f t="shared" ref="A30:A38" si="0">_xlfn.CONCAT("&gt;",A5,"\n",C5)</f>
        <v>&gt;sbio-nipahgpg-059\nEVQLVESGGGLVQPGGSLRLSCAASGFNVSSSYIHWVRQAPGKGLEWVASISSYYGSTYYADSVKGRFTISADTSKNTAYLQMNSLRAEDTAVYYCARGWSYSWSYSWSYSGLDVWGQGTTVTVSSGGGSGGGSGGGSGGGSDIQMTQSPSSLSASVGDRVTITCRASQSVSSAVAWYQQKPGKAPKLLIYSASSLYSGVPSRFSGSRSGTDFTLTISSLQPEDFATYYCQQSSSSLITFGQGTKVEIK</v>
      </c>
    </row>
    <row r="31" spans="1:1" x14ac:dyDescent="0.25">
      <c r="A31" t="str">
        <f t="shared" si="0"/>
        <v>&gt;sbio-nipahgpg-068\nEVQLQQSGPELVKPGASVKMSCKASGYTFTSYNIHWVKQTPVHGLEWIGAIVSGGDTNYNENFKDKATLTVDKSSSTAYMQLTSEDSAVYYCARGGFYGDYWGQGTSVTVSSGGGSGGGSGGGSGGGSDIVLTQSPATLSVTPGDSVSLSCRASQSVTNNIHWYQQKSHESPRLLIKYASQSISGIPSRFSGSGSGTDFTLSINSVETEDFGMYFCQQSNSWPYTFGGGTKLEIK</v>
      </c>
    </row>
    <row r="32" spans="1:1" x14ac:dyDescent="0.25">
      <c r="A32" t="str">
        <f t="shared" si="0"/>
        <v>&gt;sbio-nipahgpg-069\nQVQLQESGPGLVKPSQTLSLTCTVSGGSISSGDYYWIRQHPGKGLEWIGYIYYSGSTYYNPSLKSRVTISVDTSKNQFSLKLSSVTAADTAVYYCARQLWLRGRFDYWGQGTLVTVSSGGGSGGGSGGGSGGGSDIQMTQSPSSLSASVGDRVTITCRASQGISSWLAWYQQKPGKAPKLLIYAASTLQSGVPSRFSGSGSGTDFTLTISSLQPEDFATYYCQQSYSTPYTFGQGTKVEIK</v>
      </c>
    </row>
    <row r="33" spans="1:1" x14ac:dyDescent="0.25">
      <c r="A33" t="str">
        <f t="shared" si="0"/>
        <v>&gt;sbio-nipahgpg-078\nVQLVQSGAEVKRPGSSVKVSCKTSGGTIFSTYVFWVRQAPGQGLEWMGGFPPKAGYIYAQKFQGRVTFTADESSSTTVYMEDLRSEDTAVYFCARFPYFVYDVWGQGTTVTVSSGGGSGGGSGGGSGGGSDIQMTQSPSSLSASVGDRVTITCRASQSIGGYLAWYQQKPGKVPKLLIYAASSLQSGVPSRFSGSGSGTDFTLTISSLQPEDFATYYCQQSYSTPRTFGQGTKVEIK</v>
      </c>
    </row>
    <row r="34" spans="1:1" x14ac:dyDescent="0.25">
      <c r="A34" t="str">
        <f t="shared" si="0"/>
        <v>&gt;sbio-nipahgpg-079\nVQLQESGPGLVKPSQSLSLTCTVTGFSIDYNIYWGWIRQPPGKGLEWIGYIYSGSDTYNPSLKSRVTISVDTSKNQFSLKVNSVTAADTAVYYCARVVDLWYDDGKYASCVKGAIDYWGQGTLVTVSSGGGSGGGSGGGSSVLTQPPSVSGAPGQRVTISCTGSSGAGYDVHWYQQLPGTAPKLLIYGNSNRPSGVPDRFSGSKSGTSASLAITGLQAEDEADYYCQSYDSSLSGWVFGGGTKLTVL</v>
      </c>
    </row>
    <row r="35" spans="1:1" x14ac:dyDescent="0.25">
      <c r="A35" t="str">
        <f t="shared" si="0"/>
        <v>&gt;sbio-nipahgpg-084\nDVQLQESGPGLVKPSQTLSLTCTVSGYSITSDYYWNWIRQFPGNKLEWMGYISYDGSSNYNPSLKNRISITRDNSKNQFFLQLNSVTTEDTATYYCARSCSRRGYAMDYWGQGTSVTVSSGGGSGGGSGGGSGGGSQIVLTQSPAIMSASLGEKVTLTCSASSSVSYMHWYQQKPGTSPKLLIYSCNLLSGVPDRFSGSGSGTDFTLSISNVETEDAATYYCYQYRIRFGGGTKLTVLQ</v>
      </c>
    </row>
    <row r="36" spans="1:1" x14ac:dyDescent="0.25">
      <c r="A36" t="str">
        <f t="shared" si="0"/>
        <v>&gt;sbio-nipahgpg-085\nEVQLVESGGGLVQPGGSLRLSCAASGFTFSSYAMSWVRQAPGKGLEWVSSISRSGGSTYYADSVKGRFTISRDNAKNSLYLQMNSLRAEDTAVYYCARSCSSRGYFDYWGQGTLVTVSSGGGSGGGSGGGSGGGSDIVMTQSPDSLAVSLGERATINCRASQSVSSYLAWYQQKPGQSPKLLIYSCNLQSGVPDRFSGSGSGTDFTLTISSLQPEDFATYYCQPYIRFGGGGTKLEIK</v>
      </c>
    </row>
    <row r="37" spans="1:1" x14ac:dyDescent="0.25">
      <c r="A37" t="str">
        <f t="shared" si="0"/>
        <v>&gt;sbio-nipahgpg-086\nQVQLQESGPGLVKPSQTLSLTCTVSGFSFSSYAMSWVRQAPGKGLEWVSSISRSGGSTYYADSVKGRFTISRDNAKNSLYLQMNSLRAEDTAVYYCARSCSSRGYLFDYWGQGTLVTVSSGGGSGGGSGGGSGGGSDIVMTQSPDSLAVSLGERATINCRASQSVSSYLAWYQQKPGQSPKLLIYSCNLQSGVPDRFSGSGSGTDFTLTISSLQPEDFATYYCQPYIRFGGGGTKLEIK</v>
      </c>
    </row>
    <row r="38" spans="1:1" x14ac:dyDescent="0.25">
      <c r="A38" t="str">
        <f t="shared" si="0"/>
        <v>&gt;sbio-nipahgpg-087\nSIKLTESGPTSVAPGSTLNLTCTVTGDNITSSGWYWWVKQAPDNKLTWIGGIDKNGNTWLNVAYIDRATLTRDPAANTVYLSIRNVTSSDTATYYCAKSSDDNGSYLDVWGQGLKVTVSGGGGSGGGSGGGSGGGSQVKLTQSPKEVTAKIGDTVTLTCTASQPVSTVSWYMQKPGQPPQLLISNNKLVEGVPERFSASGSGTEFTLTIKDVQKEDEAIYYCEVNGQVFGQGTKLTVLE</v>
      </c>
    </row>
  </sheetData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Antibody Candidates</vt:lpstr>
      <vt:lpstr>Antigens</vt:lpstr>
      <vt:lpstr>Reference Antibodies</vt:lpstr>
      <vt:lpstr>Notes</vt:lpstr>
      <vt:lpstr>FASTA Generation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Colby Ford</dc:creator>
  <dc:description/>
  <cp:lastModifiedBy>Colby Ford</cp:lastModifiedBy>
  <cp:revision>1</cp:revision>
  <dcterms:created xsi:type="dcterms:W3CDTF">2025-10-28T14:23:07Z</dcterms:created>
  <dcterms:modified xsi:type="dcterms:W3CDTF">2025-11-15T16:57:19Z</dcterms:modified>
  <dc:language>en-US</dc:language>
</cp:coreProperties>
</file>