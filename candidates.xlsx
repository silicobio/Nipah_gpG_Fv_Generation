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ACAC5AA1-2E2D-9240-A9BB-D949456E1035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Candidates'!$A$1:$V$116</definedName>
  </definedNames>
  <calcPr calcId="191029"/>
  <pivotCaches>
    <pivotCache cacheId="10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7" i="2" l="1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<sst xmlns="http://schemas.openxmlformats.org/spreadsheetml/2006/main" count="1183" uniqueCount="514">
  <si>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</si>
  <si>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</si>
  <si>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</si>
  <si>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</si>
  <si>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</si>
  <si>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</si>
  <si>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</si>
  <si>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</si>
  <si>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</si>
  <si>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</si>
  <si>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</si>
  <si>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</si>
  <si>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</si>
  <si>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</si>
  <si>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</si>
  <si>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</si>
  <si>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</si>
  <si>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</si>
  <si>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</si>
  <si>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</si>
  <si>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</si>
  <si>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</si>
  <si>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</si>
  <si>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</si>
  <si>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</si>
  <si>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</si>
  <si>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</si>
  <si>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</si>
  <si>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</si>
  <si>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</si>
  <si>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</si>
  <si>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</si>
  <si>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</si>
  <si>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</si>
  <si>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</si>
  <si>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</si>
  <si>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</si>
  <si>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</si>
  <si>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</si>
  <si>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</si>
  <si>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</si>
  <si>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</si>
  <si>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</si>
  <si>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</si>
  <si>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</si>
  <si>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</si>
  <si>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</si>
  <si>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</si>
  <si>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</si>
  <si>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</si>
  <si>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</si>
  <si>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</si>
  <si>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</si>
  <si>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</si>
  <si>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</si>
  <si>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</si>
  <si>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</si>
  <si>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</si>
  <si>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</si>
  <si>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</si>
  <si>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</si>
  <si>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</si>
  <si>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</si>
  <si>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</si>
  <si>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</si>
  <si>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</si>
  <si>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</si>
  <si>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</si>
  <si>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</si>
  <si>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</si>
  <si>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</si>
  <si>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</si>
  <si>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</si>
  <si>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</si>
  <si>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</si>
  <si>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</si>
  <si>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</si>
  <si>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</si>
  <si>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</si>
  <si>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</si>
  <si>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</si>
  <si>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</si>
  <si>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</si>
  <si>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</si>
  <si>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</si>
  <si>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</si>
  <si>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</si>
  <si>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</si>
  <si>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</si>
  <si>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</si>
  <si>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</si>
  <si>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</si>
  <si>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</si>
  <si>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</si>
  <si>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</si>
  <si>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</si>
  <si>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</si>
  <si>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</si>
  <si>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</si>
  <si>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</si>
  <si>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</si>
  <si>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</si>
  <si>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</si>
  <si>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</si>
  <si>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</si>
  <si>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</si>
  <si>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</si>
  <si>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</si>
  <si>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</si>
  <si>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</si>
  <si>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</si>
  <si>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</si>
  <si>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</si>
  <si>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</si>
  <si>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</si>
  <si>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</si>
  <si>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</si>
  <si>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</si>
  <si>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</si>
  <si>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</si>
  <si>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</si>
  <si>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</si>
  <si>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</si>
  <si>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</si>
  <si>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</si>
  <si>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</si>
  <si>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</si>
  <si>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</si>
  <si>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</si>
  <si>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</si>
  <si>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</si>
  <si>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</si>
  <si>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</si>
  <si>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</si>
  <si>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</si>
  <si>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</si>
  <si>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</si>
  <si>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</si>
  <si>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</si>
  <si>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</si>
  <si>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</si>
  <si>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</si>
  <si>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</si>
  <si>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</si>
  <si>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</si>
  <si>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</si>
  <si>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</si>
  <si>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</si>
  <si>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</si>
  <si>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</si>
  <si>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</si>
  <si>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</si>
  <si>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</si>
  <si>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</si>
  <si>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</si>
  <si>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</si>
  <si>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</si>
  <si>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</si>
  <si>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</si>
  <si>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</si>
  <si>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</si>
  <si>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</si>
  <si>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</si>
  <si>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</si>
  <si>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</si>
  <si>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</si>
  <si>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</si>
  <si>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</si>
  <si>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</si>
  <si>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</si>
  <si>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</si>
  <si>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</si>
  <si>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</si>
  <si>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</si>
  <si>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</si>
  <si>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</si>
  <si>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</si>
  <si>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</si>
  <si>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</si>
  <si>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</si>
  <si>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</si>
  <si>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</si>
  <si>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</si>
  <si>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</si>
  <si>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</si>
  <si>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</si>
  <si>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</si>
  <si>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</si>
  <si>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</si>
  <si>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</si>
  <si>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</si>
  <si>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</si>
  <si>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</si>
  <si>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</si>
  <si>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</si>
  <si>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</si>
  <si>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</si>
  <si>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</si>
  <si>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</si>
  <si>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</si>
  <si>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</si>
  <si>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</si>
  <si>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</si>
  <si>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</si>
  <si>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</si>
  <si>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</si>
  <si>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</si>
  <si>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</si>
  <si>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</si>
  <si>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</si>
  <si>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</si>
  <si>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</si>
  <si>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</si>
  <si>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</si>
  <si>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</si>
  <si>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</si>
  <si>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</si>
  <si>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</si>
  <si>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</si>
  <si>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</si>
  <si>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</si>
  <si>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</si>
  <si>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</si>
  <si>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</si>
  <si>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</si>
  <si>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</si>
  <si>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</si>
  <si>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</si>
  <si>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</si>
  <si>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</si>
  <si>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</si>
  <si>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</si>
  <si>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</si>
  <si>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</si>
  <si>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</si>
  <si>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</si>
  <si>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</si>
  <si>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</si>
  <si>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</si>
  <si>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</si>
  <si>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</si>
  <si>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</si>
  <si>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</si>
  <si>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</si>
  <si>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</si>
  <si>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</si>
  <si>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</si>
  <si>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</si>
  <si>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</si>
  <si>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</si>
  <si>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</si>
  <si>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</si>
  <si>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</si>
  <si>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</si>
  <si>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</si>
  <si>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</si>
  <si>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</si>
  <si>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</si>
  <si>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</si>
  <si>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</si>
  <si>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</si>
  <si>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</si>
  <si>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</si>
  <si>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</si>
  <si>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</si>
  <si>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</si>
  <si>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</si>
  <si>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</si>
  <si>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</si>
  <si>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</si>
  <si>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</si>
  <si>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</si>
  <si>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</si>
  <si>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</si>
  <si>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</si>
  <si>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</si>
  <si>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</si>
  <si>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</si>
  <si>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</si>
  <si>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</si>
  <si>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</si>
  <si>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</si>
  <si>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</si>
  <si>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</si>
  <si>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</si>
  <si>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</si>
  <si>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</si>
  <si>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</si>
  <si>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</si>
  <si>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</si>
  <si>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</si>
  <si>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</si>
  <si>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</si>
  <si>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</si>
  <si>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</si>
  <si>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</si>
  <si>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</si>
  <si>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</si>
  <si>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</si>
  <si>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</si>
  <si>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</si>
  <si>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</si>
  <si>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</si>
  <si>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</si>
  <si>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</si>
  <si>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</si>
  <si>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</si>
  <si>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</si>
  <si>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</si>
  <si>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</si>
  <si>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</si>
  <si>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</si>
  <si>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</si>
  <si>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</si>
  <si>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</si>
  <si>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</si>
  <si>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</si>
  <si>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</si>
  <si>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</si>
  <si>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</si>
  <si>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</si>
  <si>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</si>
  <si>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</si>
  <si>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</si>
  <si>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</si>
  <si>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</si>
  <si>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</si>
  <si>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</si>
  <si>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</si>
  <si>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</si>
  <si>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</si>
  <si>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</si>
  <si>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</si>
  <si>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</si>
  <si>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</si>
  <si>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</si>
  <si>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</si>
  <si>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</si>
  <si>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</si>
  <si>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</si>
  <si>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</si>
  <si>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</si>
  <si>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</si>
  <si>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</si>
  <si>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</si>
  <si>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</si>
  <si>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</si>
  <si>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</si>
  <si>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</si>
  <si>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</si>
  <si>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</si>
  <si>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</si>
  <si>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</si>
  <si>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</si>
  <si>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</si>
  <si>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</si>
  <si>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</si>
  <si>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</si>
  <si>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</si>
  <si>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</si>
  <si>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</si>
  <si>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</si>
  <si>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</si>
  <si>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</si>
  <si>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</si>
  <si>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</si>
  <si>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</si>
  <si>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</si>
  <si>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</si>
  <si>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</si>
  <si>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</si>
  <si>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</si>
  <si>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</si>
  <si>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</si>
  <si>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</si>
  <si>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</si>
  <si>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</si>
  <si>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</si>
  <si>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</si>
  <si>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</si>
  <si>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</si>
  <si>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</si>
  <si>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</si>
  <si>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</si>
  <si>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</si>
  <si>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</si>
  <si>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</si>
  <si>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</si>
  <si>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</si>
  <si>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</si>
  <si>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</si>
  <si>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</si>
  <si>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</si>
  <si>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</si>
  <si>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</si>
  <si>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</si>
  <si>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</si>
  <si>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</si>
  <si>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</si>
  <si>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</si>
  <si>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</si>
  <si>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</si>
  <si>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</si>
  <si>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</si>
  <si>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</si>
  <si>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</si>
  <si>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</si>
  <si>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</si>
  <si>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</si>
  <si>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</si>
  <si>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</si>
  <si>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</si>
  <si>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</si>
  <si>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</si>
  <si>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</si>
  <si>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</si>
  <si>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</si>
  <si>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</si>
  <si>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</si>
  <si>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</si>
  <si>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</si>
  <si>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</si>
  <si>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</si>
  <si>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</si>
  <si>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</si>
  <si>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</si>
  <si>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</si>
  <si>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</si>
  <si>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</si>
  <si>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</si>
  <si>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</si>
  <si>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</si>
  <si>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</si>
  <si>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</si>
  <si>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</si>
  <si>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</si>
  <si>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</si>
  <si>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</si>
  <si>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</si>
  <si>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</si>
  <si>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</si>
  <si>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</si>
  <si>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</si>
  <si>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</si>
  <si>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</si>
  <si>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</si>
  <si>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</si>
  <si>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</si>
  <si>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</si>
  <si>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</si>
  <si>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</si>
  <si>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</si>
  <si>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</si>
  <si>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</si>
  <si>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</si>
  <si>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</si>
  <si>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</si>
  <si>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</si>
  <si>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</si>
  <si>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</si>
  <si>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</si>
  <si>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</si>
  <si>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</si>
  <si>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</si>
  <si>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</si>
  <si>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</si>
  <si>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</si>
  <si>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</si>
  <si>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</si>
  <si>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</si>
  <si>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</si>
  <si>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</si>
  <si>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</si>
  <si>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</si>
  <si>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</si>
  <si>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</si>
  <si>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</si>
  <si>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</si>
  <si>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</si>
  <si>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</si>
  <si>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</si>
  <si>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</si>
  <si>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</si>
  <si>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</si>
  <si>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</si>
  <si>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</si>
  <si>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</si>
  <si>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</si>
  <si>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</si>
  <si>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</si>
  <si>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</si>
  <si>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</si>
  <si>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</si>
  <si>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</si>
  <si>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</si>
  <si>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</si>
  <si>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</si>
  <si>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</si>
  <si>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</si>
  <si>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</si>
  <si>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</si>
  <si>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</si>
  <si>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</si>
  <si>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</si>
  <si>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</si>
  <si>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</si>
  <si>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</si>
  <si>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</si>
  <si>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EVQLVESGGGLVKPGGSLKVSCAASGFTFSDYSMNWVRQAPGKGLEWVSSITSGYTSIYYADSVKGRFTISRDNAKNSLYLQMNSLRAGDTAVYYCARVSDNFDYWGQGTAVTVSSGGGSGGGSGGGSGGGSDIQMTQSPSSLSASVGDRVTITCQASQDIRFYLNWYQQKPGKAPKLLISAASTLQSGVPSRFSGSGSGTDFTLTITSLQPEDFATYYCAGYVPSYTFGPGTKVDIK</t>
  </si>
  <si>
    <t>EVQLQQSGAELVKPGASVKLSCKASGYTFLDYYMYWVKQRPEQGLEWIGRIDPANGNTIYAPKFQDKATLTLTTDTTSSNTAYMQLSSLTSEDSAVYYCAREGNYGYRDLAWFAYWGQGTLVTVSSGGGSGGGSGGGSGGGSAIRMTQSPSSLSASVGDTVTITCRASQSISSYLNWYQQKPGKAPKLLIYTASNLESGVPSRFSGSGSGTDYTLTISSLQPEDIATYYCQQYDNPPLTFGGGTKVEIK</t>
  </si>
  <si>
    <t>QVQLQESGPGLVKPSETLSLTCTVSGGSVSSGGYFWSWIRQRPGKGLEWIGHIYYSGTTNYNPSLRSRVTISRDTSKSQFSLKMDSLTSEDTALYYCARQLGLRFDIWGQGTMVTVSSGGGSGGGSGGGSGGGSDIQMTQSPSSLSASVGDRVTITCRASQSISSYLNWYQQKPGKAPKLLIYAASSLQSGVPSRFSGSGSGTDFTLTISSLQPEDFATYYCQQSYTTPPTFGQGTKVEIK</t>
  </si>
  <si>
    <t>QVQLVESGGGLVQPGGSLRLSCAASGFNLYSSSIHWVRQAPGKGLEWVARIYPSGATYYADSVKGRFTISADTSKNTAYLQMRAEDTAVYYCARSYYGDDYWGQGTLVTVSSGGGSGGGSGGGSGGGSDIQMTQSPSSLSASVGDRVTITCRASQSVSSAVAWYQQKPGKAPKLLIYSASFLYSGVPSRFSGSRSGTDFTLTISSLQPEDFATYYCQQYSYYPFTFGQGTKVEIK</t>
  </si>
  <si>
    <t>EVQLLESGGGLVQPGGSLRLSCAASGFTFSSYAMSWVRQAPGKGLEWVSYISSSSSTIYYADSVKGRFTISRDNAKNSLYLQMNSLRAEDTAVYYCAKYSSYDYDYWGRGTMVTVSSGGGSGGGSGGGSGGGSDIQLTQSPSSLSASVGDRVTITCRASQGISSYLNWYQQKPGKAPKLLIYDASSLQSGVPSRFSGSGSGTDFTLTISSLQPEDFATYYCQQFYEWLRTFGQGTRLEIK</t>
  </si>
  <si>
    <t>EVQLVESGGGLVQPGGSLRLSCAASGFATVSSNYMSWVRQAPGKGLEWVSVIYSCGSTYYADSVKGRFTISRDNSKNTLYLQMNSLRAEDTAVYYCARYYYDSSRSGYYYYFDYWGQGTLVTVSSGGGSGGGSGGGSDIVLTQSPASLAVSLGQRATISCKASQSVDYDGDSYMHWYQQKPGQPPKLLIYRASNLESGIPARFSGSGSRTDFTLTINPVEADDVATYYCQQSNYPLTFGSGTKVEIK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</si>
</sst>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79.957133217591" createdVersion="8" refreshedVersion="8" minRefreshableVersion="3" recordCount="11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m/>
      </sharedItems>
    </cacheField>
    <cacheField name="method" numFmtId="0">
      <sharedItems containsBlank="1"/>
    </cacheField>
    <cacheField name="model_version" numFmtId="0">
      <sharedItems containsBlank="1" count="10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8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9T00:00:00" count="14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m/>
    <x v="9"/>
    <m/>
    <m/>
    <m/>
    <m/>
    <m/>
    <m/>
    <m/>
    <m/>
    <m/>
    <x v="117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0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9" firstHeaderRow="0" firstDataRow="0" firstDataCol="3" rowPageCount="1" colPageCount="1"/>
  <pivotFields count="20">
    <pivotField axis="axisRow" compact="0" outline="0" showAll="0" defaultSubtotal="0">
      <items count="1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</items>
    </pivotField>
    <pivotField compact="0" outline="0" showAll="0" defaultSubtotal="0"/>
    <pivotField axis="axisRow" compact="0" outline="0" showAll="0" defaultSubtotal="0">
      <items count="10">
        <item x="6"/>
        <item x="7"/>
        <item x="5"/>
        <item x="0"/>
        <item x="2"/>
        <item x="3"/>
        <item x="1"/>
        <item x="4"/>
        <item x="9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8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">
        <item h="1" x="8"/>
        <item h="1" x="0"/>
        <item h="1" x="1"/>
        <item h="1" x="2"/>
        <item h="1" x="3"/>
        <item h="1" x="4"/>
        <item h="1" x="5"/>
        <item h="1" m="1" x="13"/>
        <item h="1" x="6"/>
        <item h="1" m="1" x="12"/>
        <item h="1" x="7"/>
        <item h="1" x="9"/>
        <item h="1" x="10"/>
        <item x="11"/>
      </items>
    </pivotField>
  </pivotFields>
  <rowFields count="3">
    <field x="0"/>
    <field x="2"/>
    <field x="12"/>
  </rowFields>
  <rowItems count="6">
    <i>
      <x v="112"/>
      <x v="3"/>
      <x v="112"/>
    </i>
    <i>
      <x v="113"/>
      <x v="3"/>
      <x v="113"/>
    </i>
    <i>
      <x v="114"/>
      <x v="3"/>
      <x v="114"/>
    </i>
    <i>
      <x v="115"/>
      <x v="3"/>
      <x v="115"/>
    </i>
    <i>
      <x v="116"/>
      <x v="9"/>
      <x v="116"/>
    </i>
    <i>
      <x v="117"/>
      <x v="9"/>
      <x v="117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8"/>
  <sheetViews>
    <sheetView tabSelected="1" zoomScaleNormal="100" workbookViewId="0">
      <pane xSplit="1" ySplit="1" topLeftCell="I109" activePane="bottomRight" state="frozen"/>
      <selection pane="topRight" activeCell="B1" sqref="B1"/>
      <selection pane="bottomLeft" activeCell="A2" sqref="A2"/>
      <selection pane="bottomRight" activeCell="L119" sqref="L119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0.04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0.01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0.7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8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8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0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0.03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0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0.36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0.12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0.26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  <c r="T103" s="10">
        <v>45978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0.01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0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0.59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0.01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0.28000000000000003</v>
      </c>
    </row>
    <row r="113" spans="1:20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  <c r="T113" s="10">
        <v>45979</v>
      </c>
    </row>
    <row r="114" spans="1:20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  <c r="T114" s="10">
        <v>45979</v>
      </c>
    </row>
    <row r="115" spans="1:20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  <c r="T115" s="10">
        <v>45979</v>
      </c>
    </row>
    <row r="116" spans="1:20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  <c r="T116" s="10">
        <v>45979</v>
      </c>
    </row>
    <row r="117" spans="1:20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ref="O117:O118" si="11">IF(N117&lt;=250,TRUE,FALSE)</f>
        <v>1</v>
      </c>
      <c r="P117" s="1" t="b">
        <v>0</v>
      </c>
      <c r="Q117" s="1" t="b">
        <v>0</v>
      </c>
      <c r="T117" s="10">
        <v>45979</v>
      </c>
    </row>
    <row r="118" spans="1:20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</row>
  </sheetData>
  <autoFilter ref="A1:V116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8">
    <cfRule type="containsBlanks" dxfId="17" priority="11">
      <formula>LEN(TRIM(O2))=0</formula>
    </cfRule>
  </conditionalFormatting>
  <conditionalFormatting sqref="O84:Q118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4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45979</v>
      </c>
    </row>
    <row r="4" spans="1:3" x14ac:dyDescent="0.2">
      <c r="A4" t="s">
        <v>422</v>
      </c>
      <c r="B4" t="s">
        <v>19</v>
      </c>
      <c r="C4" t="s">
        <v>508</v>
      </c>
    </row>
    <row r="5" spans="1:3" x14ac:dyDescent="0.2">
      <c r="A5" t="s">
        <v>423</v>
      </c>
      <c r="B5" t="s">
        <v>19</v>
      </c>
      <c r="C5" t="s">
        <v>509</v>
      </c>
    </row>
    <row r="6" spans="1:3" x14ac:dyDescent="0.2">
      <c r="A6" t="s">
        <v>424</v>
      </c>
      <c r="B6" t="s">
        <v>19</v>
      </c>
      <c r="C6" t="s">
        <v>510</v>
      </c>
    </row>
    <row r="7" spans="1:3" x14ac:dyDescent="0.2">
      <c r="A7" t="s">
        <v>425</v>
      </c>
      <c r="B7" t="s">
        <v>19</v>
      </c>
      <c r="C7" t="s">
        <v>511</v>
      </c>
    </row>
    <row r="8" spans="1:3" x14ac:dyDescent="0.2">
      <c r="A8" t="s">
        <v>502</v>
      </c>
      <c r="B8" t="s">
        <v>505</v>
      </c>
      <c r="C8" t="s">
        <v>512</v>
      </c>
    </row>
    <row r="9" spans="1:3" x14ac:dyDescent="0.2">
      <c r="A9" t="s">
        <v>503</v>
      </c>
      <c r="B9" t="s">
        <v>505</v>
      </c>
      <c r="C9" t="s">
        <v>513</v>
      </c>
    </row>
    <row r="29" spans="1:1" x14ac:dyDescent="0.2">
      <c r="A29" t="str">
        <f>_xlfn.CONCAT("&gt;",A4,"\n",C4)</f>
        <v>&gt;sbio-nipahgpg-114\nEVQLVESGGGLVKPGGSLKVSCAASGFTFSDYSMNWVRQAPGKGLEWVSSITSGYTSIYYADSVKGRFTISRDNAKNSLYLQMNSLRAGDTAVYYCARVSDNFDYWGQGTAVTVSSGGGSGGGSGGGSGGGSDIQMTQSPSSLSASVGDRVTITCQASQDIRFYLNWYQQKPGKAPKLLISAASTLQSGVPSRFSGSGSGTDFTLTITSLQPEDFATYYCAGYVPSYTFGPGTKVDIK</v>
      </c>
    </row>
    <row r="30" spans="1:1" x14ac:dyDescent="0.2">
      <c r="A30" t="str">
        <f t="shared" ref="A30:A38" si="0">_xlfn.CONCAT("&gt;",A5,"\n",C5)</f>
        <v>&gt;sbio-nipahgpg-115\nEVQLQQSGAELVKPGASVKLSCKASGYTFLDYYMYWVKQRPEQGLEWIGRIDPANGNTIYAPKFQDKATLTLTTDTTSSNTAYMQLSSLTSEDSAVYYCAREGNYGYRDLAWFAYWGQGTLVTVSSGGGSGGGSGGGSGGGSAIRMTQSPSSLSASVGDTVTITCRASQSISSYLNWYQQKPGKAPKLLIYTASNLESGVPSRFSGSGSGTDYTLTISSLQPEDIATYYCQQYDNPPLTFGGGTKVEIK</v>
      </c>
    </row>
    <row r="31" spans="1:1" x14ac:dyDescent="0.2">
      <c r="A31" t="str">
        <f t="shared" si="0"/>
        <v>&gt;sbio-nipahgpg-116\nQVQLQESGPGLVKPSETLSLTCTVSGGSVSSGGYFWSWIRQRPGKGLEWIGHIYYSGTTNYNPSLRSRVTISRDTSKSQFSLKMDSLTSEDTALYYCARQLGLRFDIWGQGTMVTVSSGGGSGGGSGGGSGGGSDIQMTQSPSSLSASVGDRVTITCRASQSISSYLNWYQQKPGKAPKLLIYAASSLQSGVPSRFSGSGSGTDFTLTISSLQPEDFATYYCQQSYTTPPTFGQGTKVEIK</v>
      </c>
    </row>
    <row r="32" spans="1:1" x14ac:dyDescent="0.2">
      <c r="A32" t="str">
        <f t="shared" si="0"/>
        <v>&gt;sbio-nipahgpg-117\nQVQLVESGGGLVQPGGSLRLSCAASGFNLYSSSIHWVRQAPGKGLEWVARIYPSGATYYADSVKGRFTISADTSKNTAYLQMRAEDTAVYYCARSYYGDDYWGQGTLVTVSSGGGSGGGSGGGSGGGSDIQMTQSPSSLSASVGDRVTITCRASQSVSSAVAWYQQKPGKAPKLLIYSASFLYSGVPSRFSGSRSGTDFTLTISSLQPEDFATYYCQQYSYYPFTFGQGTKVEIK</v>
      </c>
    </row>
    <row r="33" spans="1:1" x14ac:dyDescent="0.2">
      <c r="A33" t="str">
        <f t="shared" si="0"/>
        <v>&gt;sbio-nipahgpg-118\nEVQLLESGGGLVQPGGSLRLSCAASGFTFSSYAMSWVRQAPGKGLEWVSYISSSSSTIYYADSVKGRFTISRDNAKNSLYLQMNSLRAEDTAVYYCAKYSSYDYDYWGRGTMVTVSSGGGSGGGSGGGSGGGSDIQLTQSPSSLSASVGDRVTITCRASQGISSYLNWYQQKPGKAPKLLIYDASSLQSGVPSRFSGSGSGTDFTLTISSLQPEDFATYYCQQFYEWLRTFGQGTRLEIK</v>
      </c>
    </row>
    <row r="34" spans="1:1" x14ac:dyDescent="0.2">
      <c r="A34" t="str">
        <f t="shared" si="0"/>
        <v>&gt;sbio-nipahgpg-119\nEVQLVESGGGLVQPGGSLRLSCAASGFATVSSNYMSWVRQAPGKGLEWVSVIYSCGSTYYADSVKGRFTISRDNSKNTLYLQMNSLRAEDTAVYYCARYYYDSSRSGYYYYFDYWGQGTLVTVSSGGGSGGGSGGGSDIVLTQSPASLAVSLGQRATISCKASQSVDYDGDSYMHWYQQKPGQPPKLLIYRASNLESGIPARFSGSGSRTDFTLTINPVEADDVATYYCQQSNYPLTFGSGTKVEIK</v>
      </c>
    </row>
    <row r="35" spans="1:1" x14ac:dyDescent="0.2">
      <c r="A35" t="str">
        <f t="shared" si="0"/>
        <v>&gt;\n</v>
      </c>
    </row>
    <row r="36" spans="1:1" x14ac:dyDescent="0.2">
      <c r="A36" t="str">
        <f t="shared" si="0"/>
        <v>&gt;\n</v>
      </c>
    </row>
    <row r="37" spans="1:1" x14ac:dyDescent="0.2">
      <c r="A37" t="str">
        <f t="shared" si="0"/>
        <v>&gt;\n</v>
      </c>
    </row>
    <row r="38" spans="1:1" x14ac:dyDescent="0.2">
      <c r="A38" t="str">
        <f t="shared" si="0"/>
        <v>&gt;\n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2025-11-19T06:59:09Z</dcterms:modified>
  <dc:language>en-US</dc:language>
</cp:coreProperties>
</file>