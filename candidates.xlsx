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877832B6-BE65-452A-9908-00A7D12F3A9C}" xr6:coauthVersionLast="47" xr6:coauthVersionMax="47" xr10:uidLastSave="{00000000-0000-0000-0000-000000000000}"/>
  <bookViews>
    <workbookView xWindow="38280" yWindow="-120" windowWidth="38640" windowHeight="21240" tabRatio="500" activeTab="2" xr2:uid="{00000000-000D-0000-FFFF-FFFF00000000}"/>
  </bookViews>
  <sheets>
    <sheet name="Antigens" sheetId="1" r:id="rId1"/>
    <sheet name="Antibody Candidates" sheetId="2" r:id="rId2"/>
    <sheet name="Notes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3" i="2" l="1"/>
  <c r="V22" i="2"/>
  <c r="V20" i="2"/>
  <c r="V18" i="2"/>
  <c r="V16" i="2"/>
  <c r="V11" i="2"/>
  <c r="V10" i="2"/>
  <c r="V2" i="2"/>
  <c r="N3" i="2"/>
  <c r="N4" i="2"/>
  <c r="N5" i="2"/>
  <c r="N6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" i="2"/>
  <c r="K17" i="2"/>
  <c r="L17" i="2" s="1"/>
  <c r="M17" i="2" s="1"/>
  <c r="K18" i="2"/>
  <c r="L18" i="2" s="1"/>
  <c r="M18" i="2" s="1"/>
  <c r="K19" i="2"/>
  <c r="L19" i="2" s="1"/>
  <c r="M19" i="2" s="1"/>
  <c r="K20" i="2"/>
  <c r="L20" i="2" s="1"/>
  <c r="M20" i="2" s="1"/>
  <c r="K21" i="2"/>
  <c r="L21" i="2" s="1"/>
  <c r="M21" i="2" s="1"/>
  <c r="K22" i="2"/>
  <c r="L22" i="2" s="1"/>
  <c r="M22" i="2" s="1"/>
  <c r="K23" i="2"/>
  <c r="L23" i="2" s="1"/>
  <c r="M23" i="2" s="1"/>
  <c r="K24" i="2"/>
  <c r="L24" i="2" s="1"/>
  <c r="M24" i="2" s="1"/>
  <c r="K13" i="2" l="1"/>
  <c r="L13" i="2" s="1"/>
  <c r="M13" i="2" s="1"/>
  <c r="K14" i="2"/>
  <c r="L14" i="2" s="1"/>
  <c r="M14" i="2" s="1"/>
  <c r="K15" i="2"/>
  <c r="L15" i="2" s="1"/>
  <c r="M15" i="2" s="1"/>
  <c r="K16" i="2"/>
  <c r="L16" i="2" s="1"/>
  <c r="M16" i="2" s="1"/>
  <c r="K12" i="2"/>
  <c r="L12" i="2" s="1"/>
  <c r="M12" i="2" s="1"/>
  <c r="K11" i="2"/>
  <c r="L11" i="2" s="1"/>
  <c r="M11" i="2" s="1"/>
  <c r="K10" i="2"/>
  <c r="L10" i="2" s="1"/>
  <c r="M10" i="2" s="1"/>
  <c r="K9" i="2"/>
  <c r="L9" i="2" s="1"/>
  <c r="M9" i="2" s="1"/>
  <c r="K7" i="2"/>
  <c r="L7" i="2" s="1"/>
  <c r="M7" i="2" s="1"/>
  <c r="K8" i="2"/>
  <c r="L8" i="2" s="1"/>
  <c r="M8" i="2" s="1"/>
  <c r="K6" i="2"/>
  <c r="L6" i="2" s="1"/>
  <c r="M6" i="2" s="1"/>
  <c r="J6" i="2"/>
  <c r="K5" i="2"/>
  <c r="L5" i="2" s="1"/>
  <c r="M5" i="2" s="1"/>
  <c r="J5" i="2"/>
  <c r="K4" i="2"/>
  <c r="L4" i="2" s="1"/>
  <c r="M4" i="2" s="1"/>
  <c r="J4" i="2"/>
  <c r="K3" i="2"/>
  <c r="L3" i="2" s="1"/>
  <c r="M3" i="2" s="1"/>
  <c r="J3" i="2"/>
  <c r="K2" i="2"/>
  <c r="L2" i="2" s="1"/>
  <c r="M2" i="2" s="1"/>
  <c r="J2" i="2"/>
</calcChain>
</file>

<file path=xl/sharedStrings.xml><?xml version="1.0" encoding="utf-8"?>
<sst xmlns="http://schemas.openxmlformats.org/spreadsheetml/2006/main" count="189" uniqueCount="115">
  <si>
    <t>antigen_id</t>
  </si>
  <si>
    <t>antigen_pdb_id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</si>
  <si>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</si>
  <si>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</si>
  <si>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</si>
  <si>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</si>
  <si>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</si>
  <si>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</si>
  <si>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</si>
  <si>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</si>
  <si>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</si>
  <si>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</si>
  <si>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</si>
  <si>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</si>
  <si>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</si>
  <si>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</si>
  <si>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</si>
  <si>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</si>
  <si>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</si>
  <si>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</si>
  <si>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</si>
  <si>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</si>
  <si>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</si>
  <si>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</si>
  <si>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</si>
  <si>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</si>
  <si>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</si>
  <si>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</si>
  <si>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</si>
  <si>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</si>
  <si>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</si>
  <si>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</si>
  <si>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</si>
  <si>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</si>
  <si>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</si>
  <si>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sbio-nipahgpg-006</t>
  </si>
  <si>
    <t>peleke-mistral-7b-instruct-v0.2</t>
  </si>
  <si>
    <t>VGPRTTLTVSLRSGASVKMSCKASGYSFTWVRQKPGQGLEWVKISYDGLKDYTNYKFQGVKATITADKSSNTAYLQISNLTSEDTAVYFCSRRAVYYDYWGQGTTLTVSS</t>
  </si>
  <si>
    <t>VTVALGTVSLAPGTVSLRSCRASQSVSLSYLHWYQQKPGQAPLLVYGDNSKRPSGIPDRFSGSSSGNTASLTISGVQAEDEADYYCQSSDSSNWVFGGGTKLTVL</t>
  </si>
  <si>
    <t>sbio-nipahgpg-007</t>
  </si>
  <si>
    <t>DRPSLTVKTSLTVSEPGSSISCASGIGTFSSYDFIVKQPSQGFDLEWIGGISYDSTYVNYSLKHRISRTIITNWKNTLQFTISLTSLKPASVYFDVWGAGTWISPYWGQGTTLTVSSSSAVSSFYVKNKGLDVWGHVITVN</t>
  </si>
  <si>
    <t>DIQLTQSPFLSLSPGSTASISCSGSSYDYTSGYRYKSSGKSPKPWMQRFLYSGSKRFSGVPERFIGSGTDFALTISRVEAEDVGFCSGWIFPFTFGPGTKVDIK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</si>
  <si>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</si>
  <si>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</si>
  <si>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</si>
  <si>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</si>
  <si>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</si>
  <si>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</si>
  <si>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</si>
  <si>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</si>
  <si>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</si>
  <si>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</si>
  <si>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</si>
  <si>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</si>
  <si>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</si>
  <si>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</si>
  <si>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</si>
  <si>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</si>
  <si>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</si>
  <si>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</si>
  <si>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</si>
  <si>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</si>
  <si>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</si>
  <si>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</si>
  <si>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</si>
  <si>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</si>
  <si>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</si>
  <si>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</si>
  <si>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</si>
  <si>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</si>
  <si>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</si>
  <si>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</si>
  <si>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</si>
  <si>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</si>
  <si>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</si>
  <si>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</si>
  <si>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</si>
  <si>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</si>
  <si>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</si>
  <si>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</si>
  <si>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</si>
  <si>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</si>
  <si>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</si>
  <si>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</si>
  <si>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</si>
  <si>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</si>
  <si>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</si>
  <si>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</si>
  <si>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</si>
  <si>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</si>
  <si>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</si>
  <si>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</si>
  <si>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</si>
  <si>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</si>
  <si>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</si>
  <si>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</si>
  <si>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</si>
  <si>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</si>
  <si>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</si>
  <si>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</si>
  <si>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</si>
  <si>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</si>
  <si>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</si>
  <si>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</si>
  <si>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</si>
  <si>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candidate_for_submission</t>
  </si>
  <si>
    <t>submitted_to_comp</t>
  </si>
  <si>
    <t>len_lte_250</t>
  </si>
  <si>
    <t>average_pae</t>
  </si>
  <si>
    <t>average_pde</t>
  </si>
  <si>
    <t>average_plddt</t>
  </si>
  <si>
    <t>ipsae_score</t>
  </si>
  <si>
    <t>pae_score</t>
  </si>
  <si>
    <t>pde_score</t>
  </si>
  <si>
    <t>plddt_score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</si>
</sst>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Aptos Narrow"/>
      <family val="2"/>
      <charset val="1"/>
    </font>
    <font>
      <sz val="11"/>
      <color rgb="FF000000"/>
      <name val="Aptos Narrow"/>
      <family val="2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9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2"/>
  <sheetViews>
    <sheetView zoomScaleNormal="100" workbookViewId="0">
      <selection activeCell="C1" sqref="C1"/>
    </sheetView>
  </sheetViews>
  <sheetFormatPr defaultColWidth="9.140625" defaultRowHeight="15" x14ac:dyDescent="0.25"/>
  <cols>
    <col min="1" max="1" width="10.42578125" style="1" customWidth="1"/>
    <col min="2" max="2" width="14.5703125" style="1" customWidth="1"/>
    <col min="3" max="3" width="78.5703125" style="1" customWidth="1"/>
    <col min="4" max="4" width="44.140625" style="1" customWidth="1"/>
    <col min="5" max="5" width="93.28515625" style="1" customWidth="1"/>
    <col min="6" max="1024" width="9.1406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05" x14ac:dyDescent="0.25">
      <c r="A2" s="1" t="s">
        <v>5</v>
      </c>
      <c r="B2" s="1" t="s">
        <v>6</v>
      </c>
      <c r="C2" s="2" t="s">
        <v>7</v>
      </c>
      <c r="D2" s="2" t="s">
        <v>8</v>
      </c>
      <c r="E2" s="2" t="s">
        <v>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4"/>
  <sheetViews>
    <sheetView zoomScaleNormal="100" workbookViewId="0">
      <pane xSplit="1" ySplit="1" topLeftCell="H16" activePane="bottomRight" state="frozen"/>
      <selection pane="topRight" activeCell="B1" sqref="B1"/>
      <selection pane="bottomLeft" activeCell="A2" sqref="A2"/>
      <selection pane="bottomRight" activeCell="V24" sqref="V24"/>
    </sheetView>
  </sheetViews>
  <sheetFormatPr defaultColWidth="9.140625" defaultRowHeight="15" x14ac:dyDescent="0.25"/>
  <cols>
    <col min="1" max="1" width="17.85546875" style="7" customWidth="1"/>
    <col min="2" max="2" width="22.5703125" style="7" bestFit="1" customWidth="1"/>
    <col min="3" max="3" width="14.7109375" style="8" customWidth="1"/>
    <col min="4" max="4" width="11.7109375" style="12" customWidth="1"/>
    <col min="5" max="5" width="11.7109375" style="7" customWidth="1"/>
    <col min="6" max="6" width="18.42578125" style="7" bestFit="1" customWidth="1"/>
    <col min="7" max="7" width="8.7109375" style="7" bestFit="1" customWidth="1"/>
    <col min="8" max="8" width="54" style="8" customWidth="1"/>
    <col min="9" max="9" width="42.140625" style="8" customWidth="1"/>
    <col min="10" max="10" width="16" style="7" customWidth="1"/>
    <col min="11" max="11" width="71.28515625" style="8" customWidth="1"/>
    <col min="12" max="12" width="17.5703125" style="7" bestFit="1" customWidth="1"/>
    <col min="13" max="13" width="17.5703125" style="7" customWidth="1"/>
    <col min="14" max="14" width="19.85546875" style="7" bestFit="1" customWidth="1"/>
    <col min="15" max="16" width="12" style="7" bestFit="1" customWidth="1"/>
    <col min="17" max="17" width="13.42578125" style="7" bestFit="1" customWidth="1"/>
    <col min="18" max="18" width="11.5703125" style="7" bestFit="1" customWidth="1"/>
    <col min="19" max="20" width="10" style="7" bestFit="1" customWidth="1"/>
    <col min="21" max="21" width="11.28515625" style="7" bestFit="1" customWidth="1"/>
    <col min="22" max="22" width="25" style="7" bestFit="1" customWidth="1"/>
    <col min="23" max="23" width="19.140625" style="7" bestFit="1" customWidth="1"/>
    <col min="24" max="16384" width="9.140625" style="7"/>
  </cols>
  <sheetData>
    <row r="1" spans="1:23" s="10" customFormat="1" x14ac:dyDescent="0.25">
      <c r="A1" s="10" t="s">
        <v>10</v>
      </c>
      <c r="B1" s="10" t="s">
        <v>11</v>
      </c>
      <c r="C1" s="11" t="s">
        <v>12</v>
      </c>
      <c r="D1" s="10" t="s">
        <v>13</v>
      </c>
      <c r="E1" s="10" t="s">
        <v>48</v>
      </c>
      <c r="F1" s="10" t="s">
        <v>57</v>
      </c>
      <c r="G1" s="10" t="s">
        <v>104</v>
      </c>
      <c r="H1" s="11" t="s">
        <v>14</v>
      </c>
      <c r="I1" s="11" t="s">
        <v>15</v>
      </c>
      <c r="J1" s="10" t="s">
        <v>47</v>
      </c>
      <c r="K1" s="11" t="s">
        <v>16</v>
      </c>
      <c r="L1" s="10" t="s">
        <v>17</v>
      </c>
      <c r="M1" s="10" t="s">
        <v>107</v>
      </c>
      <c r="N1" s="10" t="s">
        <v>103</v>
      </c>
      <c r="O1" s="13" t="s">
        <v>108</v>
      </c>
      <c r="P1" s="13" t="s">
        <v>109</v>
      </c>
      <c r="Q1" s="13" t="s">
        <v>110</v>
      </c>
      <c r="R1" s="13" t="s">
        <v>111</v>
      </c>
      <c r="S1" s="13" t="s">
        <v>112</v>
      </c>
      <c r="T1" s="13" t="s">
        <v>113</v>
      </c>
      <c r="U1" s="13" t="s">
        <v>114</v>
      </c>
      <c r="V1" s="10" t="s">
        <v>105</v>
      </c>
      <c r="W1" s="10" t="s">
        <v>106</v>
      </c>
    </row>
    <row r="2" spans="1:23" ht="75" x14ac:dyDescent="0.25">
      <c r="A2" s="7" t="s">
        <v>18</v>
      </c>
      <c r="B2" s="7" t="s">
        <v>19</v>
      </c>
      <c r="C2" s="8" t="s">
        <v>20</v>
      </c>
      <c r="D2" s="12">
        <v>0.7</v>
      </c>
      <c r="E2" s="7" t="s">
        <v>49</v>
      </c>
      <c r="H2" s="8" t="s">
        <v>21</v>
      </c>
      <c r="I2" s="8" t="s">
        <v>22</v>
      </c>
      <c r="J2" s="7" t="b">
        <f>TRUE()</f>
        <v>1</v>
      </c>
      <c r="K2" s="8" t="str">
        <f>_xlfn.CONCAT(H2,"GGGSGGGSGGGSGGGS",I2)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L2" s="7">
        <f>LEN(K2)</f>
        <v>246</v>
      </c>
      <c r="M2" s="7" t="b">
        <f>IF(L2&lt;=250,TRUE,FALSE)</f>
        <v>1</v>
      </c>
      <c r="N2" s="7" t="b">
        <f>TRUE()</f>
        <v>1</v>
      </c>
      <c r="O2" s="7">
        <v>12.403783000000001</v>
      </c>
      <c r="P2" s="7">
        <v>4.492502</v>
      </c>
      <c r="Q2" s="7">
        <v>0.92373499999999997</v>
      </c>
      <c r="R2" s="7">
        <v>0.49246200000000001</v>
      </c>
      <c r="S2" s="7">
        <v>0.58654099999999998</v>
      </c>
      <c r="T2" s="7">
        <v>0.85024999999999995</v>
      </c>
      <c r="U2" s="7">
        <v>9.2370000000000004E-3</v>
      </c>
      <c r="V2" s="7" t="b">
        <f>TRUE()</f>
        <v>1</v>
      </c>
    </row>
    <row r="3" spans="1:23" ht="60" x14ac:dyDescent="0.25">
      <c r="A3" s="7" t="s">
        <v>23</v>
      </c>
      <c r="B3" s="7" t="s">
        <v>19</v>
      </c>
      <c r="C3" s="8" t="s">
        <v>20</v>
      </c>
      <c r="D3" s="12">
        <v>0.7</v>
      </c>
      <c r="E3" s="7" t="s">
        <v>49</v>
      </c>
      <c r="H3" s="8" t="s">
        <v>24</v>
      </c>
      <c r="I3" s="8" t="s">
        <v>25</v>
      </c>
      <c r="J3" s="7" t="b">
        <f>TRUE()</f>
        <v>1</v>
      </c>
      <c r="K3" s="8" t="str">
        <f>_xlfn.CONCAT(H3,"GGGSGGGSGGGSGGGS",I3)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L3" s="7">
        <f>LEN(K3)</f>
        <v>240</v>
      </c>
      <c r="M3" s="7" t="b">
        <f t="shared" ref="M3:M24" si="0">IF(L3&lt;=250,TRUE,FALSE)</f>
        <v>1</v>
      </c>
      <c r="N3" s="7" t="b">
        <f>TRUE()</f>
        <v>1</v>
      </c>
      <c r="O3" s="7">
        <v>13.11187</v>
      </c>
      <c r="P3" s="7">
        <v>5.1952559999999997</v>
      </c>
      <c r="Q3" s="7">
        <v>0.92223100000000002</v>
      </c>
      <c r="R3" s="7">
        <v>0.475989</v>
      </c>
      <c r="S3" s="7">
        <v>0.56293800000000005</v>
      </c>
      <c r="T3" s="7">
        <v>0.82682500000000003</v>
      </c>
      <c r="U3" s="7">
        <v>9.2219999999999993E-3</v>
      </c>
    </row>
    <row r="4" spans="1:23" ht="60" x14ac:dyDescent="0.25">
      <c r="A4" s="7" t="s">
        <v>26</v>
      </c>
      <c r="B4" s="7" t="s">
        <v>19</v>
      </c>
      <c r="C4" s="8" t="s">
        <v>20</v>
      </c>
      <c r="D4" s="12">
        <v>0.9</v>
      </c>
      <c r="E4" s="7" t="s">
        <v>49</v>
      </c>
      <c r="H4" s="8" t="s">
        <v>27</v>
      </c>
      <c r="I4" s="8" t="s">
        <v>28</v>
      </c>
      <c r="J4" s="7" t="b">
        <f>TRUE()</f>
        <v>1</v>
      </c>
      <c r="K4" s="8" t="str">
        <f>_xlfn.CONCAT(H4,"GGGSGGGSGGGSGGGS",I4)</f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L4" s="7">
        <f>LEN(K4)</f>
        <v>239</v>
      </c>
      <c r="M4" s="7" t="b">
        <f t="shared" si="0"/>
        <v>1</v>
      </c>
      <c r="N4" s="7" t="b">
        <f>TRUE()</f>
        <v>1</v>
      </c>
      <c r="O4" s="7">
        <v>5.68208</v>
      </c>
      <c r="P4" s="7">
        <v>1.471314</v>
      </c>
      <c r="Q4" s="7">
        <v>0.904497</v>
      </c>
      <c r="R4" s="7">
        <v>0.61223899999999998</v>
      </c>
      <c r="S4" s="7">
        <v>0.81059700000000001</v>
      </c>
      <c r="T4" s="7">
        <v>0.95095600000000002</v>
      </c>
      <c r="U4" s="7">
        <v>9.0449999999999992E-3</v>
      </c>
    </row>
    <row r="5" spans="1:23" ht="60" x14ac:dyDescent="0.25">
      <c r="A5" s="7" t="s">
        <v>29</v>
      </c>
      <c r="B5" s="7" t="s">
        <v>19</v>
      </c>
      <c r="C5" s="8" t="s">
        <v>20</v>
      </c>
      <c r="D5" s="12">
        <v>0.9</v>
      </c>
      <c r="E5" s="7" t="s">
        <v>49</v>
      </c>
      <c r="H5" s="8" t="s">
        <v>30</v>
      </c>
      <c r="I5" s="8" t="s">
        <v>31</v>
      </c>
      <c r="J5" s="7" t="b">
        <f>TRUE()</f>
        <v>1</v>
      </c>
      <c r="K5" s="8" t="str">
        <f>_xlfn.CONCAT(H5,"GGGSGGGSGGGSGGGS",I5)</f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L5" s="7">
        <f>LEN(K5)</f>
        <v>240</v>
      </c>
      <c r="M5" s="7" t="b">
        <f t="shared" si="0"/>
        <v>1</v>
      </c>
      <c r="N5" s="7" t="b">
        <f>TRUE()</f>
        <v>1</v>
      </c>
      <c r="O5" s="7">
        <v>6.7126570000000001</v>
      </c>
      <c r="P5" s="7">
        <v>1.9524440000000001</v>
      </c>
      <c r="Q5" s="7">
        <v>0.91164900000000004</v>
      </c>
      <c r="R5" s="7">
        <v>0.59370800000000001</v>
      </c>
      <c r="S5" s="7">
        <v>0.77624499999999996</v>
      </c>
      <c r="T5" s="7">
        <v>0.93491900000000006</v>
      </c>
      <c r="U5" s="7">
        <v>9.1160000000000008E-3</v>
      </c>
    </row>
    <row r="6" spans="1:23" ht="60" x14ac:dyDescent="0.25">
      <c r="A6" s="7" t="s">
        <v>32</v>
      </c>
      <c r="B6" s="7" t="s">
        <v>19</v>
      </c>
      <c r="C6" s="8" t="s">
        <v>20</v>
      </c>
      <c r="D6" s="12">
        <v>0.5</v>
      </c>
      <c r="E6" s="7" t="s">
        <v>49</v>
      </c>
      <c r="H6" s="8" t="s">
        <v>33</v>
      </c>
      <c r="I6" s="8" t="s">
        <v>34</v>
      </c>
      <c r="J6" s="7" t="b">
        <f>TRUE()</f>
        <v>1</v>
      </c>
      <c r="K6" s="8" t="str">
        <f>_xlfn.CONCAT(H6,"GGGSGGGSGGGSGGGS",I6)</f>
        <v>EVQLVESGGGLVQPGGSLRLSCAASGFTFSSYWMNWVRQAPGKGLEWVANINQDGGEKYYVDSVKGRFTISRDNAKNSLYLQMNSLRAEDTAIYYCARDVGGGMDVWGQGTTVTVSSGGGSGGGSGGGSGGGSQMTQSPSSLSASVGDRVTITCRASQSVSSAVAWYQQKPGKAPKLLIYSASSLYSGVPSRFSGSRSGTDFTLTISSLQPEDFATYYCQQSSSSLITFGQGTKVEIK</v>
      </c>
      <c r="L6" s="7">
        <f>LEN(K6)</f>
        <v>238</v>
      </c>
      <c r="M6" s="7" t="b">
        <f t="shared" si="0"/>
        <v>1</v>
      </c>
      <c r="N6" s="7" t="b">
        <f>TRUE()</f>
        <v>1</v>
      </c>
      <c r="O6" s="7">
        <v>13.620810000000001</v>
      </c>
      <c r="P6" s="7">
        <v>5.7309039999999998</v>
      </c>
      <c r="Q6" s="7">
        <v>0.91465700000000005</v>
      </c>
      <c r="R6" s="7">
        <v>0.46382400000000001</v>
      </c>
      <c r="S6" s="7">
        <v>0.54597300000000004</v>
      </c>
      <c r="T6" s="7">
        <v>0.80896999999999997</v>
      </c>
      <c r="U6" s="7">
        <v>9.1470000000000006E-3</v>
      </c>
    </row>
    <row r="7" spans="1:23" ht="60" x14ac:dyDescent="0.25">
      <c r="A7" s="7" t="s">
        <v>35</v>
      </c>
      <c r="B7" s="7" t="s">
        <v>19</v>
      </c>
      <c r="C7" s="8" t="s">
        <v>36</v>
      </c>
      <c r="E7" s="7" t="s">
        <v>49</v>
      </c>
      <c r="H7" s="8" t="s">
        <v>37</v>
      </c>
      <c r="I7" s="9" t="s">
        <v>38</v>
      </c>
      <c r="J7" s="7" t="b">
        <v>0</v>
      </c>
      <c r="K7" s="8" t="str">
        <f t="shared" ref="K7:K24" si="1">_xlfn.CONCAT(H7,"GGGSGGGSGGGSGGGS",I7)</f>
        <v>VGPRTTLTVSLRSGASVKMSCKASGYSFTWVRQKPGQGLEWVKISYDGLKDYTNYKFQGVKATITADKSSNTAYLQISNLTSEDTAVYFCSRRAVYYDYWGQGTTLTVSSGGGSGGGSGGGSGGGSVTVALGTVSLAPGTVSLRSCRASQSVSLSYLHWYQQKPGQAPLLVYGDNSKRPSGIPDRFSGSSSGNTASLTISGVQAEDEADYYCQSSDSSNWVFGGGTKLTVL</v>
      </c>
      <c r="L7" s="7">
        <f t="shared" ref="L7:L24" si="2">LEN(K7)</f>
        <v>231</v>
      </c>
      <c r="M7" s="7" t="b">
        <f t="shared" si="0"/>
        <v>1</v>
      </c>
      <c r="N7" s="7" t="b">
        <v>0</v>
      </c>
    </row>
    <row r="8" spans="1:23" ht="75" x14ac:dyDescent="0.25">
      <c r="A8" s="7" t="s">
        <v>39</v>
      </c>
      <c r="B8" s="7" t="s">
        <v>19</v>
      </c>
      <c r="C8" s="8" t="s">
        <v>36</v>
      </c>
      <c r="E8" s="7" t="s">
        <v>49</v>
      </c>
      <c r="H8" s="8" t="s">
        <v>40</v>
      </c>
      <c r="I8" s="9" t="s">
        <v>41</v>
      </c>
      <c r="J8" s="7" t="b">
        <v>0</v>
      </c>
      <c r="K8" s="8" t="str">
        <f t="shared" si="1"/>
        <v>DRPSLTVKTSLTVSEPGSSISCASGIGTFSSYDFIVKQPSQGFDLEWIGGISYDSTYVNYSLKHRISRTIITNWKNTLQFTISLTSLKPASVYFDVWGAGTWISPYWGQGTTLTVSSSSAVSSFYVKNKGLDVWGHVITVNGGGSGGGSGGGSGGGSDIQLTQSPFLSLSPGSTASISCSGSSYDYTSGYRYKSSGKSPKPWMQRFLYSGSKRFSGVPERFIGSGTDFALTISRVEAEDVGFCSGWIFPFTFGPGTKVDIK</v>
      </c>
      <c r="L8" s="7">
        <f t="shared" si="2"/>
        <v>261</v>
      </c>
      <c r="M8" s="7" t="b">
        <f t="shared" si="0"/>
        <v>0</v>
      </c>
      <c r="N8" s="7" t="b">
        <v>0</v>
      </c>
    </row>
    <row r="9" spans="1:23" ht="75" x14ac:dyDescent="0.25">
      <c r="A9" s="7" t="s">
        <v>44</v>
      </c>
      <c r="B9" s="7" t="s">
        <v>42</v>
      </c>
      <c r="C9" s="8" t="s">
        <v>43</v>
      </c>
      <c r="E9" s="7" t="s">
        <v>49</v>
      </c>
      <c r="H9" s="8" t="s">
        <v>45</v>
      </c>
      <c r="I9" s="8" t="s">
        <v>46</v>
      </c>
      <c r="J9" s="7" t="b">
        <v>1</v>
      </c>
      <c r="K9" s="8" t="str">
        <f t="shared" si="1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L9" s="7">
        <f t="shared" si="2"/>
        <v>247</v>
      </c>
      <c r="M9" s="7" t="b">
        <f t="shared" si="0"/>
        <v>1</v>
      </c>
      <c r="N9" s="7" t="b">
        <f>TRUE()</f>
        <v>1</v>
      </c>
      <c r="O9" s="7">
        <v>13.464549</v>
      </c>
      <c r="P9" s="7">
        <v>5.3052169999999998</v>
      </c>
      <c r="Q9" s="7">
        <v>0.93009900000000001</v>
      </c>
      <c r="R9" s="7">
        <v>0.47021099999999999</v>
      </c>
      <c r="S9" s="7">
        <v>0.55118199999999995</v>
      </c>
      <c r="T9" s="7">
        <v>0.82315899999999997</v>
      </c>
      <c r="U9" s="7">
        <v>9.3010000000000002E-3</v>
      </c>
    </row>
    <row r="10" spans="1:23" ht="75" x14ac:dyDescent="0.25">
      <c r="A10" s="7" t="s">
        <v>50</v>
      </c>
      <c r="B10" s="7" t="s">
        <v>58</v>
      </c>
      <c r="C10" s="8" t="s">
        <v>59</v>
      </c>
      <c r="D10" s="12">
        <v>0.1</v>
      </c>
      <c r="E10" s="7" t="s">
        <v>56</v>
      </c>
      <c r="F10" s="7" t="s">
        <v>18</v>
      </c>
      <c r="G10" s="7">
        <v>1</v>
      </c>
      <c r="H10" s="8" t="s">
        <v>61</v>
      </c>
      <c r="I10" s="8" t="s">
        <v>62</v>
      </c>
      <c r="J10" s="7" t="b">
        <v>1</v>
      </c>
      <c r="K10" s="8" t="str">
        <f t="shared" si="1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L10" s="7">
        <f t="shared" si="2"/>
        <v>246</v>
      </c>
      <c r="M10" s="7" t="b">
        <f t="shared" si="0"/>
        <v>1</v>
      </c>
      <c r="N10" s="7" t="b">
        <f>TRUE()</f>
        <v>1</v>
      </c>
      <c r="O10" s="7">
        <v>10.421203999999999</v>
      </c>
      <c r="P10" s="7">
        <v>3.5293600000000001</v>
      </c>
      <c r="Q10" s="7">
        <v>0.919072</v>
      </c>
      <c r="R10" s="7">
        <v>0.52851400000000004</v>
      </c>
      <c r="S10" s="7">
        <v>0.65262699999999996</v>
      </c>
      <c r="T10" s="7">
        <v>0.882355</v>
      </c>
      <c r="U10" s="7">
        <v>9.1909999999999995E-3</v>
      </c>
      <c r="V10" s="7" t="b">
        <f>TRUE()</f>
        <v>1</v>
      </c>
    </row>
    <row r="11" spans="1:23" ht="75" x14ac:dyDescent="0.25">
      <c r="A11" s="7" t="s">
        <v>51</v>
      </c>
      <c r="B11" s="7" t="s">
        <v>58</v>
      </c>
      <c r="C11" s="8" t="s">
        <v>59</v>
      </c>
      <c r="D11" s="12">
        <v>0.1</v>
      </c>
      <c r="E11" s="7" t="s">
        <v>56</v>
      </c>
      <c r="F11" s="7" t="s">
        <v>18</v>
      </c>
      <c r="G11" s="7">
        <v>1</v>
      </c>
      <c r="H11" s="8" t="s">
        <v>63</v>
      </c>
      <c r="I11" s="8" t="s">
        <v>64</v>
      </c>
      <c r="J11" s="7" t="b">
        <v>1</v>
      </c>
      <c r="K11" s="8" t="str">
        <f t="shared" si="1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L11" s="7">
        <f t="shared" si="2"/>
        <v>246</v>
      </c>
      <c r="M11" s="7" t="b">
        <f t="shared" si="0"/>
        <v>1</v>
      </c>
      <c r="N11" s="7" t="b">
        <f>TRUE()</f>
        <v>1</v>
      </c>
      <c r="O11" s="7">
        <v>13.818918999999999</v>
      </c>
      <c r="P11" s="7">
        <v>5.6661869999999999</v>
      </c>
      <c r="Q11" s="7">
        <v>0.903362</v>
      </c>
      <c r="R11" s="7">
        <v>0.46179599999999998</v>
      </c>
      <c r="S11" s="7">
        <v>0.53936899999999999</v>
      </c>
      <c r="T11" s="7">
        <v>0.81112700000000004</v>
      </c>
      <c r="U11" s="7">
        <v>9.0340000000000004E-3</v>
      </c>
      <c r="V11" s="7" t="b">
        <f>TRUE()</f>
        <v>1</v>
      </c>
    </row>
    <row r="12" spans="1:23" ht="75" x14ac:dyDescent="0.25">
      <c r="A12" s="7" t="s">
        <v>52</v>
      </c>
      <c r="B12" s="7" t="s">
        <v>58</v>
      </c>
      <c r="C12" s="8" t="s">
        <v>59</v>
      </c>
      <c r="D12" s="12">
        <v>0.1</v>
      </c>
      <c r="E12" s="7" t="s">
        <v>56</v>
      </c>
      <c r="F12" s="7" t="s">
        <v>18</v>
      </c>
      <c r="G12" s="7">
        <v>1</v>
      </c>
      <c r="H12" s="8" t="s">
        <v>65</v>
      </c>
      <c r="I12" s="8" t="s">
        <v>66</v>
      </c>
      <c r="J12" s="7" t="b">
        <v>1</v>
      </c>
      <c r="K12" s="8" t="str">
        <f t="shared" si="1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L12" s="7">
        <f t="shared" si="2"/>
        <v>246</v>
      </c>
      <c r="M12" s="7" t="b">
        <f t="shared" si="0"/>
        <v>1</v>
      </c>
      <c r="N12" s="7" t="b">
        <f>TRUE()</f>
        <v>1</v>
      </c>
      <c r="O12" s="7">
        <v>13.512441000000001</v>
      </c>
      <c r="P12" s="7">
        <v>5.0770359999999997</v>
      </c>
      <c r="Q12" s="7">
        <v>0.91817099999999996</v>
      </c>
      <c r="R12" s="7">
        <v>0.47181800000000002</v>
      </c>
      <c r="S12" s="7">
        <v>0.54958499999999999</v>
      </c>
      <c r="T12" s="7">
        <v>0.83076499999999998</v>
      </c>
      <c r="U12" s="7">
        <v>9.1819999999999992E-3</v>
      </c>
    </row>
    <row r="13" spans="1:23" ht="75" x14ac:dyDescent="0.25">
      <c r="A13" s="7" t="s">
        <v>53</v>
      </c>
      <c r="B13" s="7" t="s">
        <v>58</v>
      </c>
      <c r="C13" s="8" t="s">
        <v>59</v>
      </c>
      <c r="D13" s="12">
        <v>0.1</v>
      </c>
      <c r="E13" s="7" t="s">
        <v>56</v>
      </c>
      <c r="F13" s="7" t="s">
        <v>18</v>
      </c>
      <c r="G13" s="7">
        <v>1</v>
      </c>
      <c r="H13" s="8" t="s">
        <v>69</v>
      </c>
      <c r="I13" s="8" t="s">
        <v>70</v>
      </c>
      <c r="J13" s="7" t="b">
        <v>1</v>
      </c>
      <c r="K13" s="8" t="str">
        <f t="shared" si="1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L13" s="7">
        <f t="shared" si="2"/>
        <v>246</v>
      </c>
      <c r="M13" s="7" t="b">
        <f t="shared" si="0"/>
        <v>1</v>
      </c>
      <c r="N13" s="7" t="b">
        <f>TRUE()</f>
        <v>1</v>
      </c>
      <c r="O13" s="7">
        <v>9.0397739999999995</v>
      </c>
      <c r="P13" s="7">
        <v>2.962634</v>
      </c>
      <c r="Q13" s="7">
        <v>0.91289399999999998</v>
      </c>
      <c r="R13" s="7">
        <v>0.55258200000000002</v>
      </c>
      <c r="S13" s="7">
        <v>0.69867400000000002</v>
      </c>
      <c r="T13" s="7">
        <v>0.90124599999999999</v>
      </c>
      <c r="U13" s="7">
        <v>9.129E-3</v>
      </c>
    </row>
    <row r="14" spans="1:23" ht="75" x14ac:dyDescent="0.25">
      <c r="A14" s="7" t="s">
        <v>54</v>
      </c>
      <c r="B14" s="7" t="s">
        <v>58</v>
      </c>
      <c r="C14" s="8" t="s">
        <v>59</v>
      </c>
      <c r="D14" s="12">
        <v>0.1</v>
      </c>
      <c r="E14" s="7" t="s">
        <v>56</v>
      </c>
      <c r="F14" s="7" t="s">
        <v>18</v>
      </c>
      <c r="G14" s="7">
        <v>1</v>
      </c>
      <c r="H14" s="8" t="s">
        <v>71</v>
      </c>
      <c r="I14" s="8" t="s">
        <v>72</v>
      </c>
      <c r="J14" s="7" t="b">
        <v>1</v>
      </c>
      <c r="K14" s="8" t="str">
        <f t="shared" si="1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L14" s="7">
        <f t="shared" si="2"/>
        <v>247</v>
      </c>
      <c r="M14" s="7" t="b">
        <f t="shared" si="0"/>
        <v>1</v>
      </c>
      <c r="N14" s="7" t="b">
        <f>TRUE()</f>
        <v>1</v>
      </c>
      <c r="O14" s="7">
        <v>12.902165</v>
      </c>
      <c r="P14" s="7">
        <v>5.0798560000000004</v>
      </c>
      <c r="Q14" s="7">
        <v>0.91761400000000004</v>
      </c>
      <c r="R14" s="7">
        <v>0.47992499999999999</v>
      </c>
      <c r="S14" s="7">
        <v>0.56992799999999999</v>
      </c>
      <c r="T14" s="7">
        <v>0.83067100000000005</v>
      </c>
      <c r="U14" s="7">
        <v>9.1760000000000001E-3</v>
      </c>
    </row>
    <row r="15" spans="1:23" ht="75" x14ac:dyDescent="0.25">
      <c r="A15" s="7" t="s">
        <v>55</v>
      </c>
      <c r="B15" s="7" t="s">
        <v>58</v>
      </c>
      <c r="C15" s="8" t="s">
        <v>59</v>
      </c>
      <c r="D15" s="12">
        <v>0.1</v>
      </c>
      <c r="E15" s="7" t="s">
        <v>56</v>
      </c>
      <c r="F15" s="7" t="s">
        <v>18</v>
      </c>
      <c r="G15" s="7">
        <v>1</v>
      </c>
      <c r="H15" s="8" t="s">
        <v>73</v>
      </c>
      <c r="I15" s="8" t="s">
        <v>74</v>
      </c>
      <c r="J15" s="7" t="b">
        <v>1</v>
      </c>
      <c r="K15" s="8" t="str">
        <f t="shared" si="1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L15" s="7">
        <f t="shared" si="2"/>
        <v>246</v>
      </c>
      <c r="M15" s="7" t="b">
        <f t="shared" si="0"/>
        <v>1</v>
      </c>
      <c r="N15" s="7" t="b">
        <f>TRUE()</f>
        <v>1</v>
      </c>
      <c r="O15" s="7">
        <v>12.295652</v>
      </c>
      <c r="P15" s="7">
        <v>5.068085</v>
      </c>
      <c r="Q15" s="7">
        <v>0.91950900000000002</v>
      </c>
      <c r="R15" s="7">
        <v>0.48813600000000001</v>
      </c>
      <c r="S15" s="7">
        <v>0.59014500000000003</v>
      </c>
      <c r="T15" s="7">
        <v>0.83106400000000002</v>
      </c>
      <c r="U15" s="7">
        <v>9.195E-3</v>
      </c>
    </row>
    <row r="16" spans="1:23" ht="75" x14ac:dyDescent="0.25">
      <c r="A16" s="7" t="s">
        <v>60</v>
      </c>
      <c r="B16" s="7" t="s">
        <v>58</v>
      </c>
      <c r="C16" s="8" t="s">
        <v>59</v>
      </c>
      <c r="D16" s="12">
        <v>0.1</v>
      </c>
      <c r="E16" s="7" t="s">
        <v>56</v>
      </c>
      <c r="F16" s="7" t="s">
        <v>18</v>
      </c>
      <c r="G16" s="7">
        <v>1</v>
      </c>
      <c r="H16" s="8" t="s">
        <v>67</v>
      </c>
      <c r="I16" s="8" t="s">
        <v>68</v>
      </c>
      <c r="J16" s="7" t="b">
        <v>1</v>
      </c>
      <c r="K16" s="8" t="str">
        <f t="shared" si="1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L16" s="7">
        <f t="shared" si="2"/>
        <v>246</v>
      </c>
      <c r="M16" s="7" t="b">
        <f t="shared" si="0"/>
        <v>1</v>
      </c>
      <c r="N16" s="7" t="b">
        <f>TRUE()</f>
        <v>1</v>
      </c>
      <c r="O16" s="7">
        <v>10.440493999999999</v>
      </c>
      <c r="P16" s="7">
        <v>3.5942219999999998</v>
      </c>
      <c r="Q16" s="7">
        <v>0.90822599999999998</v>
      </c>
      <c r="R16" s="7">
        <v>0.52757600000000004</v>
      </c>
      <c r="S16" s="7">
        <v>0.65198400000000001</v>
      </c>
      <c r="T16" s="7">
        <v>0.880193</v>
      </c>
      <c r="U16" s="7">
        <v>9.0819999999999998E-3</v>
      </c>
      <c r="V16" s="7" t="b">
        <f>TRUE()</f>
        <v>1</v>
      </c>
    </row>
    <row r="17" spans="1:22" ht="75" x14ac:dyDescent="0.25">
      <c r="A17" s="7" t="s">
        <v>76</v>
      </c>
      <c r="B17" s="7" t="s">
        <v>58</v>
      </c>
      <c r="C17" s="8" t="s">
        <v>75</v>
      </c>
      <c r="D17" s="12">
        <v>0.15</v>
      </c>
      <c r="E17" s="7" t="s">
        <v>56</v>
      </c>
      <c r="F17" s="7" t="s">
        <v>18</v>
      </c>
      <c r="G17" s="7">
        <v>1</v>
      </c>
      <c r="H17" s="8" t="s">
        <v>84</v>
      </c>
      <c r="I17" s="8" t="s">
        <v>85</v>
      </c>
      <c r="J17" s="7" t="b">
        <v>1</v>
      </c>
      <c r="K17" s="8" t="str">
        <f t="shared" si="1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L17" s="7">
        <f t="shared" si="2"/>
        <v>247</v>
      </c>
      <c r="M17" s="7" t="b">
        <f t="shared" si="0"/>
        <v>1</v>
      </c>
      <c r="N17" s="7" t="b">
        <f>TRUE()</f>
        <v>1</v>
      </c>
      <c r="O17" s="7">
        <v>13.850232</v>
      </c>
      <c r="P17" s="7">
        <v>5.5440639999999997</v>
      </c>
      <c r="Q17" s="7">
        <v>0.91428100000000001</v>
      </c>
      <c r="R17" s="7">
        <v>0.46263199999999999</v>
      </c>
      <c r="S17" s="7">
        <v>0.53832599999999997</v>
      </c>
      <c r="T17" s="7">
        <v>0.81519799999999998</v>
      </c>
      <c r="U17" s="7">
        <v>9.1430000000000001E-3</v>
      </c>
    </row>
    <row r="18" spans="1:22" ht="75" x14ac:dyDescent="0.25">
      <c r="A18" s="7" t="s">
        <v>77</v>
      </c>
      <c r="B18" s="7" t="s">
        <v>58</v>
      </c>
      <c r="C18" s="8" t="s">
        <v>75</v>
      </c>
      <c r="D18" s="12">
        <v>0.15</v>
      </c>
      <c r="E18" s="7" t="s">
        <v>56</v>
      </c>
      <c r="F18" s="7" t="s">
        <v>18</v>
      </c>
      <c r="G18" s="7">
        <v>1</v>
      </c>
      <c r="H18" s="8" t="s">
        <v>86</v>
      </c>
      <c r="I18" s="8" t="s">
        <v>87</v>
      </c>
      <c r="J18" s="7" t="b">
        <v>1</v>
      </c>
      <c r="K18" s="8" t="str">
        <f t="shared" si="1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L18" s="7">
        <f t="shared" si="2"/>
        <v>246</v>
      </c>
      <c r="M18" s="7" t="b">
        <f t="shared" si="0"/>
        <v>1</v>
      </c>
      <c r="N18" s="7" t="b">
        <f>TRUE()</f>
        <v>1</v>
      </c>
      <c r="O18" s="7">
        <v>12.388191000000001</v>
      </c>
      <c r="P18" s="7">
        <v>4.3815280000000003</v>
      </c>
      <c r="Q18" s="7">
        <v>0.914825</v>
      </c>
      <c r="R18" s="7">
        <v>0.493753</v>
      </c>
      <c r="S18" s="7">
        <v>0.58706000000000003</v>
      </c>
      <c r="T18" s="7">
        <v>0.85394899999999996</v>
      </c>
      <c r="U18" s="7">
        <v>9.1479999999999999E-3</v>
      </c>
      <c r="V18" s="7" t="b">
        <f>TRUE()</f>
        <v>1</v>
      </c>
    </row>
    <row r="19" spans="1:22" ht="75" x14ac:dyDescent="0.25">
      <c r="A19" s="7" t="s">
        <v>78</v>
      </c>
      <c r="B19" s="7" t="s">
        <v>58</v>
      </c>
      <c r="C19" s="8" t="s">
        <v>75</v>
      </c>
      <c r="D19" s="12">
        <v>0.15</v>
      </c>
      <c r="E19" s="7" t="s">
        <v>56</v>
      </c>
      <c r="F19" s="7" t="s">
        <v>18</v>
      </c>
      <c r="G19" s="7">
        <v>1</v>
      </c>
      <c r="H19" s="8" t="s">
        <v>88</v>
      </c>
      <c r="I19" s="8" t="s">
        <v>89</v>
      </c>
      <c r="J19" s="7" t="b">
        <v>1</v>
      </c>
      <c r="K19" s="8" t="str">
        <f t="shared" si="1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L19" s="7">
        <f t="shared" si="2"/>
        <v>246</v>
      </c>
      <c r="M19" s="7" t="b">
        <f t="shared" si="0"/>
        <v>1</v>
      </c>
      <c r="N19" s="7" t="b">
        <f>TRUE()</f>
        <v>1</v>
      </c>
      <c r="O19" s="7">
        <v>13.144735000000001</v>
      </c>
      <c r="P19" s="7">
        <v>4.9212369999999996</v>
      </c>
      <c r="Q19" s="7">
        <v>0.90124400000000005</v>
      </c>
      <c r="R19" s="7">
        <v>0.47822799999999999</v>
      </c>
      <c r="S19" s="7">
        <v>0.56184199999999995</v>
      </c>
      <c r="T19" s="7">
        <v>0.83595900000000001</v>
      </c>
      <c r="U19" s="7">
        <v>9.0119999999999992E-3</v>
      </c>
    </row>
    <row r="20" spans="1:22" ht="75" x14ac:dyDescent="0.25">
      <c r="A20" s="7" t="s">
        <v>79</v>
      </c>
      <c r="B20" s="7" t="s">
        <v>58</v>
      </c>
      <c r="C20" s="8" t="s">
        <v>75</v>
      </c>
      <c r="D20" s="12">
        <v>0.15</v>
      </c>
      <c r="E20" s="7" t="s">
        <v>56</v>
      </c>
      <c r="F20" s="7" t="s">
        <v>18</v>
      </c>
      <c r="G20" s="7">
        <v>1</v>
      </c>
      <c r="H20" s="8" t="s">
        <v>90</v>
      </c>
      <c r="I20" s="8" t="s">
        <v>91</v>
      </c>
      <c r="J20" s="7" t="b">
        <v>1</v>
      </c>
      <c r="K20" s="8" t="str">
        <f t="shared" si="1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L20" s="7">
        <f t="shared" si="2"/>
        <v>246</v>
      </c>
      <c r="M20" s="7" t="b">
        <f t="shared" si="0"/>
        <v>1</v>
      </c>
      <c r="N20" s="7" t="b">
        <f>TRUE()</f>
        <v>1</v>
      </c>
      <c r="O20" s="7">
        <v>12.468555</v>
      </c>
      <c r="P20" s="7">
        <v>4.6081789999999998</v>
      </c>
      <c r="Q20" s="7">
        <v>0.91461000000000003</v>
      </c>
      <c r="R20" s="7">
        <v>0.49041499999999999</v>
      </c>
      <c r="S20" s="7">
        <v>0.58438100000000004</v>
      </c>
      <c r="T20" s="7">
        <v>0.84639399999999998</v>
      </c>
      <c r="U20" s="7">
        <v>9.1459999999999996E-3</v>
      </c>
      <c r="V20" s="7" t="b">
        <f>TRUE()</f>
        <v>1</v>
      </c>
    </row>
    <row r="21" spans="1:22" ht="75" x14ac:dyDescent="0.25">
      <c r="A21" s="7" t="s">
        <v>80</v>
      </c>
      <c r="B21" s="7" t="s">
        <v>58</v>
      </c>
      <c r="C21" s="8" t="s">
        <v>75</v>
      </c>
      <c r="D21" s="12">
        <v>0.15</v>
      </c>
      <c r="E21" s="7" t="s">
        <v>56</v>
      </c>
      <c r="F21" s="7" t="s">
        <v>18</v>
      </c>
      <c r="G21" s="7">
        <v>1</v>
      </c>
      <c r="H21" s="8" t="s">
        <v>92</v>
      </c>
      <c r="I21" s="8" t="s">
        <v>93</v>
      </c>
      <c r="J21" s="7" t="b">
        <v>1</v>
      </c>
      <c r="K21" s="8" t="str">
        <f t="shared" si="1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L21" s="7">
        <f t="shared" si="2"/>
        <v>246</v>
      </c>
      <c r="M21" s="7" t="b">
        <f t="shared" si="0"/>
        <v>1</v>
      </c>
      <c r="N21" s="7" t="b">
        <f>TRUE()</f>
        <v>1</v>
      </c>
      <c r="O21" s="7">
        <v>12.596812999999999</v>
      </c>
      <c r="P21" s="7">
        <v>4.4891050000000003</v>
      </c>
      <c r="Q21" s="7">
        <v>0.91376999999999997</v>
      </c>
      <c r="R21" s="7">
        <v>0.48989300000000002</v>
      </c>
      <c r="S21" s="7">
        <v>0.58010600000000001</v>
      </c>
      <c r="T21" s="7">
        <v>0.85036299999999998</v>
      </c>
      <c r="U21" s="7">
        <v>9.1380000000000003E-3</v>
      </c>
    </row>
    <row r="22" spans="1:22" ht="75" x14ac:dyDescent="0.25">
      <c r="A22" s="7" t="s">
        <v>81</v>
      </c>
      <c r="B22" s="7" t="s">
        <v>58</v>
      </c>
      <c r="C22" s="8" t="s">
        <v>75</v>
      </c>
      <c r="D22" s="12">
        <v>0.15</v>
      </c>
      <c r="E22" s="7" t="s">
        <v>56</v>
      </c>
      <c r="F22" s="7" t="s">
        <v>18</v>
      </c>
      <c r="G22" s="7">
        <v>1</v>
      </c>
      <c r="H22" s="8" t="s">
        <v>94</v>
      </c>
      <c r="I22" s="8" t="s">
        <v>95</v>
      </c>
      <c r="J22" s="7" t="b">
        <v>1</v>
      </c>
      <c r="K22" s="8" t="str">
        <f t="shared" si="1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L22" s="7">
        <f t="shared" si="2"/>
        <v>246</v>
      </c>
      <c r="M22" s="7" t="b">
        <f t="shared" si="0"/>
        <v>1</v>
      </c>
      <c r="N22" s="7" t="b">
        <f>TRUE()</f>
        <v>1</v>
      </c>
      <c r="O22" s="7">
        <v>13.056381999999999</v>
      </c>
      <c r="P22" s="7">
        <v>4.9774649999999996</v>
      </c>
      <c r="Q22" s="7">
        <v>0.90879799999999999</v>
      </c>
      <c r="R22" s="7">
        <v>0.47886699999999999</v>
      </c>
      <c r="S22" s="7">
        <v>0.56478700000000004</v>
      </c>
      <c r="T22" s="7">
        <v>0.83408400000000005</v>
      </c>
      <c r="U22" s="7">
        <v>9.0880000000000006E-3</v>
      </c>
      <c r="V22" s="7" t="b">
        <f>TRUE()</f>
        <v>1</v>
      </c>
    </row>
    <row r="23" spans="1:22" ht="75" x14ac:dyDescent="0.25">
      <c r="A23" s="7" t="s">
        <v>82</v>
      </c>
      <c r="B23" s="7" t="s">
        <v>58</v>
      </c>
      <c r="C23" s="8" t="s">
        <v>75</v>
      </c>
      <c r="D23" s="12">
        <v>0.15</v>
      </c>
      <c r="E23" s="7" t="s">
        <v>56</v>
      </c>
      <c r="F23" s="7" t="s">
        <v>18</v>
      </c>
      <c r="G23" s="7">
        <v>1</v>
      </c>
      <c r="H23" s="8" t="s">
        <v>96</v>
      </c>
      <c r="I23" s="8" t="s">
        <v>97</v>
      </c>
      <c r="J23" s="7" t="b">
        <v>1</v>
      </c>
      <c r="K23" s="8" t="str">
        <f t="shared" si="1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L23" s="7">
        <f t="shared" si="2"/>
        <v>246</v>
      </c>
      <c r="M23" s="7" t="b">
        <f t="shared" si="0"/>
        <v>1</v>
      </c>
      <c r="N23" s="7" t="b">
        <f>TRUE()</f>
        <v>1</v>
      </c>
      <c r="O23" s="7">
        <v>8.0418699999999994</v>
      </c>
      <c r="P23" s="7">
        <v>2.5753710000000001</v>
      </c>
      <c r="Q23" s="7">
        <v>0.90690199999999999</v>
      </c>
      <c r="R23" s="7">
        <v>0.56974199999999997</v>
      </c>
      <c r="S23" s="7">
        <v>0.73193799999999998</v>
      </c>
      <c r="T23" s="7">
        <v>0.91415400000000002</v>
      </c>
      <c r="U23" s="7">
        <v>9.0690000000000007E-3</v>
      </c>
      <c r="V23" s="7" t="b">
        <f>TRUE()</f>
        <v>1</v>
      </c>
    </row>
    <row r="24" spans="1:22" ht="75" x14ac:dyDescent="0.25">
      <c r="A24" s="7" t="s">
        <v>83</v>
      </c>
      <c r="B24" s="7" t="s">
        <v>58</v>
      </c>
      <c r="C24" s="8" t="s">
        <v>75</v>
      </c>
      <c r="D24" s="12">
        <v>0.15</v>
      </c>
      <c r="E24" s="7" t="s">
        <v>56</v>
      </c>
      <c r="F24" s="7" t="s">
        <v>18</v>
      </c>
      <c r="G24" s="7">
        <v>1</v>
      </c>
      <c r="H24" s="8" t="s">
        <v>98</v>
      </c>
      <c r="I24" s="8" t="s">
        <v>99</v>
      </c>
      <c r="J24" s="7" t="b">
        <v>1</v>
      </c>
      <c r="K24" s="8" t="str">
        <f t="shared" si="1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L24" s="7">
        <f t="shared" si="2"/>
        <v>246</v>
      </c>
      <c r="M24" s="7" t="b">
        <f t="shared" si="0"/>
        <v>1</v>
      </c>
      <c r="N24" s="7" t="b">
        <f>TRUE()</f>
        <v>1</v>
      </c>
      <c r="O24" s="7">
        <v>12.82887</v>
      </c>
      <c r="P24" s="7">
        <v>4.7956110000000001</v>
      </c>
      <c r="Q24" s="7">
        <v>0.915072</v>
      </c>
      <c r="R24" s="7">
        <v>0.483738</v>
      </c>
      <c r="S24" s="7">
        <v>0.57237099999999996</v>
      </c>
      <c r="T24" s="7">
        <v>0.84014599999999995</v>
      </c>
      <c r="U24" s="7">
        <v>9.1509999999999994E-3</v>
      </c>
    </row>
  </sheetData>
  <phoneticPr fontId="2" type="noConversion"/>
  <conditionalFormatting sqref="J1:J1048576">
    <cfRule type="cellIs" dxfId="8" priority="8" operator="equal">
      <formula>TRUE</formula>
    </cfRule>
    <cfRule type="cellIs" dxfId="7" priority="9" operator="equal">
      <formula>FALSE</formula>
    </cfRule>
    <cfRule type="containsBlanks" dxfId="6" priority="9">
      <formula>LEN(TRIM(J1))=0</formula>
    </cfRule>
  </conditionalFormatting>
  <conditionalFormatting sqref="N2:V24">
    <cfRule type="containsBlanks" dxfId="5" priority="-1">
      <formula>LEN(TRIM(N2))=0</formula>
    </cfRule>
    <cfRule type="cellIs" dxfId="4" priority="4" operator="equal">
      <formula>TRUE</formula>
    </cfRule>
    <cfRule type="cellIs" dxfId="3" priority="5" operator="equal">
      <formula>FALSE</formula>
    </cfRule>
  </conditionalFormatting>
  <conditionalFormatting sqref="M2:M24">
    <cfRule type="containsBlanks" dxfId="2" priority="1">
      <formula>LEN(TRIM(M2))=0</formula>
    </cfRule>
    <cfRule type="cellIs" dxfId="1" priority="1" operator="equal">
      <formula>TRUE</formula>
    </cfRule>
    <cfRule type="cellIs" dxfId="0" priority="2" operator="equal">
      <formula>FALSE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2"/>
  <sheetViews>
    <sheetView tabSelected="1" workbookViewId="0">
      <selection activeCell="K25" sqref="K25"/>
    </sheetView>
  </sheetViews>
  <sheetFormatPr defaultRowHeight="15" x14ac:dyDescent="0.25"/>
  <cols>
    <col min="1" max="1" width="9.140625" style="5"/>
    <col min="2" max="2" width="53" style="3" customWidth="1"/>
  </cols>
  <sheetData>
    <row r="1" spans="1:2" x14ac:dyDescent="0.25">
      <c r="A1" s="4" t="s">
        <v>101</v>
      </c>
      <c r="B1" s="6" t="s">
        <v>102</v>
      </c>
    </row>
    <row r="2" spans="1:2" ht="60" x14ac:dyDescent="0.25">
      <c r="A2" s="5">
        <v>1</v>
      </c>
      <c r="B2" s="3" t="s"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Antigens</vt:lpstr>
      <vt:lpstr>Antibody Candidates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2025-11-05T19:18:49Z</dcterms:modified>
  <dc:language>en-US</dc:language>
</cp:coreProperties>
</file>