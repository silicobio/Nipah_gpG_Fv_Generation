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tigens" sheetId="1" state="visible" r:id="rId2"/>
    <sheet name="Antibody Candidat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<sst xmlns="http://schemas.openxmlformats.org/spreadsheetml/2006/main" count="58" uniqueCount="46">
  <si>
    <t xml:space="preserve">antigen_id</t>
  </si>
  <si>
    <t xml:space="preserve">antigen_pdb_id</t>
  </si>
  <si>
    <t xml:space="preserve">antigen_sequence</t>
  </si>
  <si>
    <t xml:space="preserve">epitope_res_ids</t>
  </si>
  <si>
    <t xml:space="preserve">antigen_sequence_annotated</t>
  </si>
  <si>
    <t xml:space="preserve">nipah_gpG</t>
  </si>
  <si>
    <t xml:space="preserve">2vsm_A</t>
  </si>
  <si>
    <t xml:space="preserve"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</si>
  <si>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 xml:space="preserve">`239,240,241,242,305,388,389,401,402,458,488,489,490,491,492,501,504,505,506,507,530,531,532,533,555,557,558,559,579,580,581,583,588</t>
  </si>
  <si>
    <t xml:space="preserve"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</si>
  <si>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 xml:space="preserve">antibody_id</t>
  </si>
  <si>
    <t xml:space="preserve">method</t>
  </si>
  <si>
    <t xml:space="preserve">model_version</t>
  </si>
  <si>
    <t xml:space="preserve">temperature</t>
  </si>
  <si>
    <t xml:space="preserve">h_chain</t>
  </si>
  <si>
    <t xml:space="preserve">l_chain</t>
  </si>
  <si>
    <t xml:space="preserve">test_abysis_pass</t>
  </si>
  <si>
    <t xml:space="preserve">franken_chain</t>
  </si>
  <si>
    <t xml:space="preserve">len_franken_chain</t>
  </si>
  <si>
    <t xml:space="preserve">sbio-nipahgpg-001</t>
  </si>
  <si>
    <t xml:space="preserve">peleke-1</t>
  </si>
  <si>
    <t xml:space="preserve">peleke-phi-4</t>
  </si>
  <si>
    <t xml:space="preserve">QVQLVESGGGVVQPGRSLRLSCAASGFTFSSYGMHWVRQAPGKGLEWVAVISYDGSKKYYADSVKGRFTISRDNSKNTLYLQMNSLRAEDTAVYYCARSPFYDSSGYYAMDYWGQGTLVTVSS</t>
  </si>
  <si>
    <t xml:space="preserve">DIQLTQSPSSLSASVGDRVTITCRASQGISSYLAWYQQKPGKAPKLLIYAASTLQSGVPSRFSGSGSGTDFTLTISSLQPEDFATYYCQQANSFPPTFGQGTKVEIK</t>
  </si>
  <si>
    <t xml:space="preserve">sbio-nipahgpg-002</t>
  </si>
  <si>
    <t xml:space="preserve">QVQLVESGGGVVQPGKSLRLSCAASGFTFSSYAMSWVRQAPGKGPEWVAFISYDGSNNYYADSVKGRFTISRDNPKNTLYLQMKSLRAEDTAVYYCARWRQRFDMYWGRGTLVTVSS</t>
  </si>
  <si>
    <t xml:space="preserve">DIQMTQSPSSLSASVGDRVTITCRASQSISSYLNWYQQKPGKAPKLLIYAASSLQSGVPSRFSGSGSGTDFTLTISSLQPEDFATYYCQQSYSTPYTFGQGTKVEIK</t>
  </si>
  <si>
    <t xml:space="preserve">sbio-nipahgpg-003</t>
  </si>
  <si>
    <t xml:space="preserve">QVQLQESGPGLVKPSETLSLTCTVSGASIRGYYWSWIRQFPGKELEWIGYVYSGSTENYNPSLKSRVTVTLTDTKNSFSLKLNSVTSEDTAVYYCARGGALIYYDVWGTGTTVTVSS</t>
  </si>
  <si>
    <t xml:space="preserve">DIQVTQSPVSLSASVGDRVTITCRASQGIDSLNWFQQRPGKAPKLLIYAASQLTGIAPRFRSGSGSGTDFTLTISSLQPEDFATYYCQQYNIYPATFGQGTKVEIK</t>
  </si>
  <si>
    <t xml:space="preserve">sbio-nipahgpg-004</t>
  </si>
  <si>
    <t xml:space="preserve">EVQLVQSGAEVKKPGESLKISCKGSGYTFSYYWIGWVRQMPGKGLEWMGIIYPGDSDTRYSPSFQGQVTISADKSISTAYLQWSSLKASDTAMYYCARGEGVFDYWGQGTLVTVSS</t>
  </si>
  <si>
    <t xml:space="preserve">YTLTQAPSVSASGQSVTISCTGTSRDVGTYWYQQIPGRAPKLLIHDKSENQGKTPGIPDRFSGSKSGNTASLVIIRGLQADDEADYYCNSYHGSGSNIFGGGTKLTVD</t>
  </si>
  <si>
    <t xml:space="preserve">sbio-nipahgpg-005</t>
  </si>
  <si>
    <t xml:space="preserve">EVQLVESGGGLVQPGGSLRLSCAASGFTFSSYWMNWVRQAPGKGLEWVANINQDGGEKYYVDSVKGRFTISRDNAKNSLYLQMNSLRAEDTAIYYCARDVGGGMDVWGQGTTVTVSS</t>
  </si>
  <si>
    <t xml:space="preserve">QMTQSPSSLSASVGDRVTITCRASQSVSSAVAWYQQKPGKAPKLLIYSASSLYSGVPSRFSGSRSGTDFTLTISSLQPEDFATYYCQQSSSSLITFGQGTKVEIK</t>
  </si>
  <si>
    <t xml:space="preserve">sbio-nipahgpg-006</t>
  </si>
  <si>
    <t xml:space="preserve">peleke-mistral-7b-instruct-v0.2</t>
  </si>
  <si>
    <t xml:space="preserve">VGPRTTLTVSLRSGASVKMSCKASGYSFTWVRQKPGQGLEWVKISYDGLKDYTNYKFQGVKATITADKSSNTAYLQISNLTSEDTAVYFCSRRAVYYDYWGQGTTLTVSS</t>
  </si>
  <si>
    <t xml:space="preserve">VTVALGTVSLAPGTVSLRSCRASQSVSLSYLHWYQQKPGQAPLLVYGDNSKRPSGIPDRFSGSSSGNTASLTISGVQAEDEADYYCQSSDSSNWVFGGGTKLTVL</t>
  </si>
  <si>
    <t xml:space="preserve">sbio-nipahgpg-007</t>
  </si>
  <si>
    <t xml:space="preserve">DRPSLTVKTSLTVSEPGSSISCASGIGTFSSYDFIVKQPSQGFDLEWIGGISYDSTYVNYSLKHRISRTIITNWKNTLQFTISLTSLKPASVYFDVWGAGTWISPYWGQGTTLTVSSSSAVSSFYVKNKGLDVWGHVITVN</t>
  </si>
  <si>
    <t xml:space="preserve">DIQLTQSPFLSLSPGSTASISCSGSSYDYTSGYRYKSSGKSPKPWMQRFLYSGSKRFSGVPERFIGSGTDFALTISRVEAEDVGFCSGWIFPFTFGPGTKVDIK</t>
  </si>
  <si>
    <t xml:space="preserve">sbio-nipahgpg-008</t>
  </si>
  <si>
    <t xml:space="preserve">sbio-nipahgpg-009</t>
  </si>
  <si>
    <t xml:space="preserve">sbio-nipahgpg-010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</si>
</sst>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4.57"/>
    <col collapsed="false" customWidth="true" hidden="false" outlineLevel="0" max="3" min="3" style="1" width="78.57"/>
    <col collapsed="false" customWidth="true" hidden="false" outlineLevel="0" max="4" min="4" style="1" width="44.14"/>
    <col collapsed="false" customWidth="true" hidden="false" outlineLevel="0" max="5" min="5" style="1" width="93.29"/>
    <col collapsed="false" customWidth="false" hidden="false" outlineLevel="0" max="1024" min="6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05" hidden="false" customHeight="false" outlineLevel="0" collapsed="false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F8" activeCellId="0" sqref="F8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7.85"/>
    <col collapsed="false" customWidth="true" hidden="false" outlineLevel="0" max="2" min="2" style="1" width="8.43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5" min="5" style="2" width="54"/>
    <col collapsed="false" customWidth="true" hidden="false" outlineLevel="0" max="6" min="6" style="2" width="42.14"/>
    <col collapsed="false" customWidth="true" hidden="false" outlineLevel="0" max="7" min="7" style="1" width="16"/>
    <col collapsed="false" customWidth="true" hidden="false" outlineLevel="0" max="8" min="8" style="2" width="71.28"/>
    <col collapsed="false" customWidth="true" hidden="false" outlineLevel="0" max="9" min="9" style="1" width="17.43"/>
    <col collapsed="false" customWidth="false" hidden="false" outlineLevel="0" max="1024" min="10" style="1" width="9.14"/>
  </cols>
  <sheetData>
    <row r="1" customFormat="false" ht="15" hidden="false" customHeight="false" outlineLevel="0" collapsed="false">
      <c r="A1" s="1" t="s">
        <v>10</v>
      </c>
      <c r="B1" s="1" t="s">
        <v>11</v>
      </c>
      <c r="C1" s="1" t="s">
        <v>12</v>
      </c>
      <c r="D1" s="1" t="s">
        <v>13</v>
      </c>
      <c r="E1" s="2" t="s">
        <v>14</v>
      </c>
      <c r="F1" s="2" t="s">
        <v>15</v>
      </c>
      <c r="G1" s="1" t="s">
        <v>16</v>
      </c>
      <c r="H1" s="2" t="s">
        <v>17</v>
      </c>
      <c r="I1" s="1" t="s">
        <v>18</v>
      </c>
    </row>
    <row r="2" customFormat="false" ht="75" hidden="false" customHeight="false" outlineLevel="0" collapsed="false">
      <c r="A2" s="1" t="s">
        <v>19</v>
      </c>
      <c r="B2" s="1" t="s">
        <v>20</v>
      </c>
      <c r="C2" s="1" t="s">
        <v>21</v>
      </c>
      <c r="D2" s="1" t="n">
        <v>0.7</v>
      </c>
      <c r="E2" s="2" t="s">
        <v>22</v>
      </c>
      <c r="F2" s="2" t="s">
        <v>23</v>
      </c>
      <c r="G2" s="3" t="b">
        <f aca="false">TRUE()</f>
        <v>1</v>
      </c>
      <c r="H2" s="2" t="str">
        <f aca="false">_xlfn.CONCAT(E2,"GGGSGGGSGGGSGGGS",F2)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I2" s="1" t="n">
        <f aca="false">LEN(H2)</f>
        <v>246</v>
      </c>
    </row>
    <row r="3" customFormat="false" ht="60" hidden="false" customHeight="false" outlineLevel="0" collapsed="false">
      <c r="A3" s="1" t="s">
        <v>24</v>
      </c>
      <c r="B3" s="1" t="s">
        <v>20</v>
      </c>
      <c r="C3" s="1" t="s">
        <v>21</v>
      </c>
      <c r="D3" s="1" t="n">
        <v>0.7</v>
      </c>
      <c r="E3" s="2" t="s">
        <v>25</v>
      </c>
      <c r="F3" s="2" t="s">
        <v>26</v>
      </c>
      <c r="G3" s="3" t="b">
        <f aca="false">TRUE()</f>
        <v>1</v>
      </c>
      <c r="H3" s="2" t="str">
        <f aca="false">_xlfn.CONCAT(E3,"GGGSGGGSGGGSGGGS",F3)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I3" s="1" t="n">
        <f aca="false">LEN(H3)</f>
        <v>240</v>
      </c>
    </row>
    <row r="4" customFormat="false" ht="60" hidden="false" customHeight="false" outlineLevel="0" collapsed="false">
      <c r="A4" s="1" t="s">
        <v>27</v>
      </c>
      <c r="B4" s="1" t="s">
        <v>20</v>
      </c>
      <c r="C4" s="1" t="s">
        <v>21</v>
      </c>
      <c r="D4" s="1" t="n">
        <v>0.9</v>
      </c>
      <c r="E4" s="2" t="s">
        <v>28</v>
      </c>
      <c r="F4" s="2" t="s">
        <v>29</v>
      </c>
      <c r="G4" s="3" t="b">
        <f aca="false">TRUE()</f>
        <v>1</v>
      </c>
      <c r="H4" s="2" t="str">
        <f aca="false">_xlfn.CONCAT(E4,"GGGSGGGSGGGSGGGS",F4)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I4" s="1" t="n">
        <f aca="false">LEN(H4)</f>
        <v>239</v>
      </c>
    </row>
    <row r="5" customFormat="false" ht="60" hidden="false" customHeight="false" outlineLevel="0" collapsed="false">
      <c r="A5" s="1" t="s">
        <v>30</v>
      </c>
      <c r="B5" s="1" t="s">
        <v>20</v>
      </c>
      <c r="C5" s="1" t="s">
        <v>21</v>
      </c>
      <c r="D5" s="1" t="n">
        <v>0.9</v>
      </c>
      <c r="E5" s="2" t="s">
        <v>31</v>
      </c>
      <c r="F5" s="2" t="s">
        <v>32</v>
      </c>
      <c r="G5" s="3" t="b">
        <f aca="false">TRUE()</f>
        <v>1</v>
      </c>
      <c r="H5" s="2" t="str">
        <f aca="false">_xlfn.CONCAT(E5,"GGGSGGGSGGGSGGGS",F5)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I5" s="1" t="n">
        <f aca="false">LEN(H5)</f>
        <v>240</v>
      </c>
    </row>
    <row r="6" customFormat="false" ht="60" hidden="false" customHeight="false" outlineLevel="0" collapsed="false">
      <c r="A6" s="1" t="s">
        <v>33</v>
      </c>
      <c r="B6" s="1" t="s">
        <v>20</v>
      </c>
      <c r="C6" s="1" t="s">
        <v>21</v>
      </c>
      <c r="D6" s="1" t="n">
        <v>0.5</v>
      </c>
      <c r="E6" s="2" t="s">
        <v>34</v>
      </c>
      <c r="F6" s="2" t="s">
        <v>35</v>
      </c>
      <c r="G6" s="1" t="b">
        <f aca="false">TRUE()</f>
        <v>1</v>
      </c>
      <c r="H6" s="2" t="str">
        <f aca="false">_xlfn.CONCAT(E6,"GGGSGGGSGGGSGGGS",F6)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I6" s="1" t="n">
        <f aca="false">LEN(H6)</f>
        <v>238</v>
      </c>
    </row>
    <row r="7" customFormat="false" ht="41.3" hidden="false" customHeight="false" outlineLevel="0" collapsed="false">
      <c r="A7" s="1" t="s">
        <v>36</v>
      </c>
      <c r="C7" s="4" t="s">
        <v>37</v>
      </c>
      <c r="E7" s="4" t="s">
        <v>38</v>
      </c>
      <c r="F7" s="5" t="s">
        <v>39</v>
      </c>
    </row>
    <row r="8" customFormat="false" ht="41.3" hidden="false" customHeight="false" outlineLevel="0" collapsed="false">
      <c r="A8" s="1" t="s">
        <v>40</v>
      </c>
      <c r="C8" s="4" t="s">
        <v>37</v>
      </c>
      <c r="E8" s="4" t="s">
        <v>41</v>
      </c>
      <c r="F8" s="5" t="s">
        <v>42</v>
      </c>
    </row>
    <row r="9" customFormat="false" ht="28.35" hidden="false" customHeight="false" outlineLevel="0" collapsed="false">
      <c r="A9" s="1" t="s">
        <v>43</v>
      </c>
      <c r="C9" s="4" t="s">
        <v>37</v>
      </c>
    </row>
    <row r="10" customFormat="false" ht="28.35" hidden="false" customHeight="false" outlineLevel="0" collapsed="false">
      <c r="A10" s="1" t="s">
        <v>44</v>
      </c>
      <c r="C10" s="4" t="s">
        <v>37</v>
      </c>
    </row>
    <row r="11" customFormat="false" ht="28.35" hidden="false" customHeight="false" outlineLevel="0" collapsed="false">
      <c r="A11" s="1" t="s">
        <v>45</v>
      </c>
      <c r="C11" s="4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2025-10-28T14:23:07Z</dcterms:created>
  <dc:creator>Colby Ford</dc:creator>
  <dc:description/>
  <dc:language>en-US</dc:language>
  <cp:lastModifiedBy/>
  <dcterms:modified xsi:type="dcterms:W3CDTF">2025-10-30T15:21:40Z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