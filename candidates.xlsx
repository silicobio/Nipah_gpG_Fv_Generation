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C3D5896F-FD7C-464E-AEED-D5678376B0B6}" xr6:coauthVersionLast="47" xr6:coauthVersionMax="47" xr10:uidLastSave="{00000000-0000-0000-0000-000000000000}"/>
  <bookViews>
    <workbookView xWindow="38280" yWindow="-120" windowWidth="38640" windowHeight="21240" tabRatio="500" xr2:uid="{00000000-000D-0000-FFFF-FFFF00000000}"/>
  </bookViews>
  <sheets>
    <sheet name="Antibody Candidates" sheetId="2" r:id="rId1"/>
    <sheet name="Antigens" sheetId="1" r:id="rId2"/>
    <sheet name="Notes" sheetId="3" r:id="rId3"/>
    <sheet name="20251107 Submission FASTA" sheetId="4" r:id="rId4"/>
    <sheet name="20251108 Submission FASTA" sheetId="5" r:id="rId5"/>
    <sheet name="20251109 Submission FASTA" sheetId="6" r:id="rId6"/>
    <sheet name="20251110 Submission FASTA" sheetId="7" r:id="rId7"/>
    <sheet name="20251111 Submission FASTA" sheetId="8" r:id="rId8"/>
  </sheets>
  <definedNames>
    <definedName name="_xlnm._FilterDatabase" localSheetId="0" hidden="1">'Antibody Candidates'!$A$1:$V$50</definedName>
  </definedNames>
  <calcPr calcId="191029" iterateDelta="1E-4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8" l="1"/>
  <c r="A30" i="8"/>
  <c r="A29" i="8"/>
  <c r="A28" i="8"/>
  <c r="A27" i="8"/>
  <c r="A26" i="8"/>
  <c r="A25" i="8"/>
  <c r="A24" i="8"/>
  <c r="A23" i="8"/>
  <c r="A22" i="8"/>
  <c r="A31" i="7"/>
  <c r="A30" i="7"/>
  <c r="A29" i="7"/>
  <c r="A28" i="7"/>
  <c r="A27" i="7"/>
  <c r="A26" i="7"/>
  <c r="A25" i="7"/>
  <c r="A24" i="7"/>
  <c r="A23" i="7"/>
  <c r="A22" i="7"/>
  <c r="M25" i="2" l="1"/>
  <c r="N25" i="2" s="1"/>
  <c r="O25" i="2" s="1"/>
  <c r="A31" i="6"/>
  <c r="A30" i="6"/>
  <c r="A29" i="6"/>
  <c r="A28" i="6"/>
  <c r="A27" i="6"/>
  <c r="A26" i="6"/>
  <c r="A25" i="6"/>
  <c r="A24" i="6"/>
  <c r="A23" i="6"/>
  <c r="A22" i="6"/>
  <c r="A23" i="5"/>
  <c r="A24" i="5"/>
  <c r="A25" i="5"/>
  <c r="A26" i="5"/>
  <c r="A27" i="5"/>
  <c r="A28" i="5"/>
  <c r="A29" i="5"/>
  <c r="A30" i="5"/>
  <c r="A31" i="5"/>
  <c r="A22" i="5"/>
  <c r="A23" i="4"/>
  <c r="A24" i="4"/>
  <c r="A25" i="4"/>
  <c r="A26" i="4"/>
  <c r="A27" i="4"/>
  <c r="A28" i="4"/>
  <c r="A29" i="4"/>
  <c r="A30" i="4"/>
  <c r="A31" i="4"/>
  <c r="A22" i="4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<sst xmlns="http://schemas.openxmlformats.org/spreadsheetml/2006/main" count="660" uniqueCount="296">
  <si>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</si>
  <si>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</si>
  <si>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</si>
  <si>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</si>
  <si>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</si>
  <si>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</si>
  <si>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</si>
  <si>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</si>
  <si>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</si>
  <si>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</si>
  <si>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</si>
  <si>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</si>
  <si>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</si>
  <si>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</si>
  <si>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</si>
  <si>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</si>
  <si>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</si>
  <si>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</si>
  <si>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</si>
  <si>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</si>
  <si>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</si>
  <si>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</si>
  <si>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</si>
  <si>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</si>
  <si>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</si>
  <si>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</si>
  <si>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</si>
  <si>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</si>
  <si>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</si>
  <si>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</si>
  <si>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</si>
  <si>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</si>
  <si>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</si>
  <si>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</si>
  <si>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</si>
  <si>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</si>
  <si>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</si>
  <si>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</si>
  <si>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</si>
  <si>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</si>
  <si>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</si>
  <si>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</si>
  <si>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</si>
  <si>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</si>
  <si>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</si>
  <si>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</si>
  <si>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</si>
  <si>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</si>
  <si>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</si>
  <si>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</si>
  <si>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</si>
  <si>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</si>
  <si>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</si>
  <si>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</si>
  <si>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</si>
  <si>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</si>
  <si>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</si>
  <si>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</si>
  <si>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</si>
  <si>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</si>
  <si>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</si>
  <si>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</si>
  <si>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</si>
  <si>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</si>
  <si>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</si>
  <si>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</si>
  <si>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</si>
  <si>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</si>
  <si>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</si>
  <si>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</si>
  <si>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</si>
  <si>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</si>
  <si>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</si>
  <si>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</si>
  <si>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</si>
  <si>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</si>
  <si>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</si>
  <si>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</si>
  <si>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</si>
  <si>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</si>
  <si>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</si>
  <si>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</si>
  <si>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</si>
  <si>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</si>
  <si>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</si>
  <si>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</si>
  <si>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</si>
  <si>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</si>
  <si>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</si>
  <si>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</si>
  <si>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</si>
  <si>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</si>
  <si>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</si>
  <si>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</si>
  <si>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</si>
  <si>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</si>
  <si>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</si>
  <si>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</si>
  <si>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</si>
  <si>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</si>
  <si>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</si>
  <si>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</si>
  <si>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</si>
  <si>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</si>
  <si>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</si>
  <si>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</si>
  <si>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</si>
  <si>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</si>
  <si>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</si>
  <si>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</si>
  <si>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</si>
  <si>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</si>
  <si>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</si>
  <si>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</si>
  <si>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</si>
  <si>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</si>
  <si>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</si>
  <si>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</si>
  <si>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</si>
  <si>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</si>
  <si>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</si>
  <si>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</si>
  <si>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</si>
  <si>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</si>
  <si>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</si>
  <si>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</si>
  <si>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</si>
  <si>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</si>
  <si>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</si>
  <si>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</si>
  <si>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</si>
  <si>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</si>
  <si>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</si>
  <si>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</si>
  <si>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QVQLVESGGGVVQPGRSLRLSCAASGFTFSSYGMHWVRQAPGKGLEWVAVISYDGSKKYYADSVKGRFTISRDNSKNTLYLQMNSLRAEDTAVYYCARSPFYDSSGYYAMDYWGQGTLVTVSSGGGSGGGSGGGSGGGSDIQLTQSPSSLSASVGDRVTITCRASQGISSYLAWYQQKPGKAPKLLIYAASTLQSGVPSRFSGSGSGTDFTLTISSLQPEDFATYYCQQANSFPPTFGQGTKVEIK</t>
  </si>
  <si>
    <t>AVSLVESGGGTVKPGESVTLSCQASGFNFSKYQWVWVRQAPGKGLEWVGQISPDGSKTRYHPSVAGRFTISRDNSNSTLYLHMSNLRPEDTAVYYCGIIPQDNVHGDYSISHWGQGTLLTVSAGGGSGGGSGGGSGGGSAIKLTQSPKSLSASVGDTVTINCTASRPIGDLLSWYKQKPGKPPQLLIYRSSTLASGVSSRYSGSGSDTNFTLTISSLQSSDFATYYCRQTSRFPITFGEGTTINKK</t>
  </si>
  <si>
    <t>SISLVESGGGTVAPGSSVTLSCQASGFNFSKYSKAWVRQPPGQPLEWVSRISPDGSTKYYHPDVAGRFTISKDNSKSTVYLAMSNLTAADTATYYCGIIPGDNTHGDYAMSHWGQGTLLTVSAGGGSGGGSGGGSGGGSAITLTQSPSSLSASVGDTVTISCTASRPIGDKLSWYKQKPGQPPQLLIYNASTLAPGVSSRYSGSGSDTSFTLTISSLQEDDFATYYCQQTYTLPITFGQGTTISKK</t>
  </si>
  <si>
    <t>GVSLTESGGGTVAPGSSVTLSCKASGFNFSKYSHAWVRQAPGQGLTWVGEISPDGSKTRYASSVAGRFTISRDNSNSTVYLQMSSLTPSDTATYYCGIIPGDSVHGERSMSHWGQGTLLTVSAGGGSGGGSGGGSGGGSAITLTQSPSSLSASVGDTVTLNCTASRPIGDRLSWYKQKPGQAPQLLIYRASTLAPGVSSRYSGSGSDTQFTLTISSLQSDDFATYYCQQTSSYPVTFGQGTTITKK</t>
  </si>
  <si>
    <t>GISLVESGGGTVKPGESVTLSCKASGFVFSKYSHAWVRQPPGGPLEWVSQISSDGSVTRYASSVSGRFTISRDNSNSTVYLQMNNLRPSDTATYYCGIIPQDNVHGDYAISHWGQGTLLTVTAGGGSGGGSGGGSGGGSAITLTQSPASLSAKVGDTVTLSCTASRPIGDLLSWYKQKPGQPPQLLIYRASTLAPGVDSRYSGSGSDTSFTLTISSLQPEDFATYYCQQTSRFPITFGQGTTIKQA</t>
  </si>
  <si>
    <t>SIKLTESGGGTVKPGSSVTLSCQASGFNFSKYEVVWVMQKPGQPLQWVGSISPDGSKVRLHPKVKGRFTLSKDNSKNTAYLTMKNLQPEDTATYYCGIIPGGSVHGDRSITHWGQGVELKVVAGGGSGGGSGGGSGGGSMIKLTQSPKSVKAKVGDTVTITCTASEPVDDLVSWYQQKPGQPLRLLIYRSSTLAPGVSSRFSGSGSDTNFTLTISSLQEEDFATYYCMQTSKYPYTFGQGTTLSRA</t>
  </si>
  <si>
    <t>GVKLVQSGDLTVKPGGSVTLSCKSEGGSFGNSSVAWVRQRPGGPYEYIGSIIPAYGVSRVSPEYEGRVTISADVANNTAYLTISNLTPEDTATYYCALGPGEVVYAASPFDEKLLTGALSVWGEGTLVTVTGGGSGGGSGGGSITVTQSPSSPSLSVGDTATLTCTLSSSVATSNVAWYKQLPGQPPELLISGGSTRAPGVPSRYSGSGSGTTFTLTISSLQASDFATYYCQVYGENPSFGQGTTLTLK</t>
  </si>
  <si>
    <t>AVKLVQSGDQTVAPGGSVTLSCTSSGGSFGNSSVAWVRQRPGGPFEFIGSIIPSLGISRYNSKYKGRVTISSDAANNTAYLTISNLTAADTATYYCALGPGESVFASHPFKEKLLTGALSVWGEGTLVTVSGGGSGGGSGGGSITVTQSPSSPSKSVGDTVTLTCTLSSSVPVSQVAWYKQHPGQPPELLIYGGSTRASGVPSRYSGSGSGTTFTLTISSLQPEDFATYYCQVYGEEPSFGQGTTVTLA</t>
  </si>
  <si>
    <t>SISLVQSSDQTVAPGGSVTLSCTSSGGSFGNSGVAWVRQAPGGPPVYIGGIIPATGVSTYNAAFKGRVTISSDSSNNTAYLTISGLTAADTATYYCALGPAENVFASHPFAEDVNLGALSVWGQGTLVTVTGGGSGGGSGGGSITVTESPSSPELSVGETAVLSCTLSSSVPQSNVAWYKQKPGQPPELLIYGGSTRASGVPSRYSGSGSGTTFYLTISSLEPEDFATYYCQVYGTSPSFGQGTTLKLK</t>
  </si>
  <si>
    <t>AVSLVESGDQTVAPGGSVTLSCTSSGGSFGNSGVAWVRQAPGGPLEFLGFIIPALGVSKVNSKYEGRVTISSDPANNTAYLTISNLTAADTATYYCGLGTGESVFASSPFDEKLLLGALSVWGQGTKVTVTGGGSGGGSGGGSITVTQSPASPEKKVGETATLTCTLSSAVPKSNVAWYKQKPGQPPELLIYGGSTRASGVPSRYSGSGSGTTFYLTISSLQPEDFATYYCRVYGEEPSFGQGTTLKLK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</si>
  <si>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</si>
  <si>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</si>
  <si>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</si>
  <si>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</si>
  <si>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</si>
  <si>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</si>
  <si>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</si>
  <si>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</si>
  <si>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</si>
  <si>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</si>
  <si>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</si>
  <si>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</si>
  <si>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</si>
  <si>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</si>
  <si>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</si>
  <si>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</si>
  <si>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</si>
  <si>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</si>
  <si>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</si>
  <si>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</si>
  <si>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</si>
  <si>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</si>
  <si>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</si>
  <si>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</si>
  <si>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</si>
  <si>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</si>
  <si>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</si>
  <si>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</si>
  <si>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</si>
  <si>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</si>
  <si>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</si>
  <si>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</si>
  <si>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</si>
  <si>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</si>
  <si>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</si>
  <si>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</si>
  <si>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</si>
  <si>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</si>
  <si>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</si>
  <si>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</si>
  <si>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</si>
  <si>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</si>
  <si>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</si>
  <si>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</si>
  <si>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</si>
  <si>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</si>
  <si>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</si>
  <si>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</si>
  <si>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</si>
  <si>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</si>
  <si>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</si>
  <si>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</si>
  <si>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</si>
  <si>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</si>
  <si>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</si>
  <si>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</si>
  <si>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</si>
  <si>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</si>
  <si>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</si>
  <si>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</si>
  <si>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QVQLVESGGGVVQPGKSLRLSCAASGFTFSSYAMSWVRQAPGKGPEWVAFISYDGSNNYYADSVKGRFTISRDNPKNTLYLQMKSLRAEDTAVYYCARWRQRFDMYWGRGTLVTVSSGGGSGGGSGGGSGGGSDIQMTQSPSSLSASVGDRVTITCRASQSISSYLNWYQQKPGKAPKLLIYAASSLQSGVPSRFSGSGSGTDFTLTISSLQPEDFATYYCQQSYSTPYTFGQGTKVEIK</t>
  </si>
  <si>
    <t>QVQLQESGPGLVKPSETLSLTCTVSGASIRGYYWSWIRQFPGKELEWIGYVYSGSTENYNPSLKSRVTVTLTDTKNSFSLKLNSVTSEDTAVYYCARGGALIYYDVWGTGTTVTVSSGGGSGGGSGGGSGGGSDIQVTQSPVSLSASVGDRVTITCRASQGIDSLNWFQQRPGKAPKLLIYAASQLTGIAPRFRSGSGSGTDFTLTISSLQPEDFATYYCQQYNIYPATFGQGTKVEIK</t>
  </si>
  <si>
    <t>EVQLVQSGAEVKKPGESLKISCKGSGYTFSYYWIGWVRQMPGKGLEWMGIIYPGDSDTRYSPSFQGQVTISADKSISTAYLQWSSLKASDTAMYYCARGEGVFDYWGQGTLVTVSSGGGSGGGSGGGSGGGSYTLTQAPSVSASGQSVTISCTGTSRDVGTYWYQQIPGRAPKLLIHDKSENQGKTPGIPDRFSGSKSGNTASLVIIRGLQADDEADYYCNSYHGSGSNIFGGGTKLTVD</t>
  </si>
  <si>
    <t>EVQLVESGGGLVQPGGSLRLSCAASGFTFSSYWMNWVRQAPGKGLEWVANINQDGGEKYYVDSVKGRFTISRDNAKNSLYLQMNSLRAEDTAIYYCARDVGGGMDVWGQGTTVTVSSGGGSGGGSGGGSGGGSQMTQSPSSLSASVGDRVTITCRASQSVSSAVAWYQQKPGKAPKLLIYSASSLYSGVPSRFSGSRSGTDFTLTISSLQPEDFATYYCQQSSSSLITFGQGTKVEIK</t>
  </si>
  <si>
    <t>QVQLVESGGGVVQPGRSLRLSCAASGFTFSSYAMSWVRQAPGKGLEWVSAIWSNGGSTYYADSVKGRFTISRDNAKNSLYLQMNSLRAEDTAVYYCARDYGSYGYFDYWGQGTLVTVSSGGGSGGGSGGGSGGGSDIVMTQSPLSLPVTPGEPASISCRSSQSLLYSNGNTYLEWYLQKPGQSPQLLIYLVSKLDSGVPDRFSGSGSGTDFTLKISRVEAEDLGIYYCQQSKEVPYTFGAGTKLEIK</t>
  </si>
  <si>
    <t>AVSITESGGGTKAPGSSVTLSCKVSGFVFSKYSIAWVRQAPGQGLEWVSQISPDGSTTRYNPAVAGRFTISRDNSNSTAYLQMSNLTPSDTATYYCAIIPQDNEHGDYSLSHWGQGTQLTVSAGGGSGGGSGGGSGGGSAIKLTQSPKSLSAKVGDTVTINCTASAPIGDFLSWYKQKPGQPPQLLIYKSSTLAPGVSSRYSGSGSDTNFTLTISSLQEEDFATYYCQQTATLPITFGEGTTINKK</t>
  </si>
  <si>
    <t xml:space="preserve">EVSLVESGGGTVKPGESVTLSCQASGFNFSKYRLAWVRQPPGQGLVWVSEISPDGTEVKYHPDVKGRFTASRDNSNSTAYLKMNNLQPSDTATYYCGIIPQDSSHGDYSISHWGQGTQLTVSAGGGSGGGSGGGSGGGSTITLTQSPSSLSASVGDTVTINCTASRPIGDFLSWYKQKPGQPPQLLIYRSSTLASGVSSRYSGSGSDTNFTLTISSLQSDDFATYYCQQTYTLPITFGQGTTLTKK </t>
  </si>
  <si>
    <t>AVSLVESGGGTYAPGSSVTLSCQGSGFNFSKVRKVWVRQPPGGPLEYVAEISPDGSTTTYASSVAGRFTISKDNSNSTLYLSMSNLTPADTATYYCGLIPGDSEHGDRSISHWGQGTLVTVSAGGGSGGGSGGGSGGGSAITLTQSPSSLSASVGDTVTINCTASQPIGNFLSWYKQKPGQPPQLLIYNASTLAPGVSSRYSGSGSDTNFTLTISSLQSEDFATYYCQQTSRLPVTFGQGTTINKK</t>
  </si>
  <si>
    <t xml:space="preserve">PVSLVESGGGTVAPGSSVTLTCQASGFNFSKYIVAWVRQPPGQPLRFVAMITPDGSKVWLHPEVEGRFTPSKDNSKNTSYLQLKDLQPEDTATYYCGIIPQGSTHGDYSITHWGQGVVLTVTAGGGSGGGSGGGSGGGSMVTLTQSPSSLSASVGDTVTITCTASSPVDNLMSWYQQPPGQPLRLLIYNASTRAPGVSSRFSGSGSDTNFTLTISSLQASDFATYYCQQTYRLPVTFGQGTTLSAA </t>
  </si>
  <si>
    <t>AITLTESGGGVVAPGSSVTLTCTASGFNFSKYSMVWVRQPPGGPLQWVAQISPDNSTVRYHPAVEGRFTASKDNSKNTAYLAMSDLEPSDTATYYCGIIPQGSTHNDYSIVHWGQGTELRVVAGGGSGGGSGGGSGGGSMIKLTQSPSSLSAKVGDKVTITCTASSPVDNLVSWYKQPPGGPLQLLIYNSSTRAPGVSSRFKGSGSDTNFTLTIESLQEEDFATYYCQQTYKFPITFGQGTKLTRA</t>
  </si>
  <si>
    <t>SISLTESGGGTVAPGSSVTLTCTASGFNFSKYSVAWVRQPPGQPLQWVALISPDGSKKWYHPDVKGRATISKDNSKNTSYLTLSNLQPSDTATYYCGIIPGGNIHGDYSMTHWGQGTQLTVVAGGGSGGGSGGGSGGGSMITLTQSPLSLSAKVGDTVTITCTASSPVDDLVSWYQQKPGQPLRLLIRNASERAPGVSSRFSGSGSDTTFTLTISSVQEEDFATYYCQQTSKLPYTFGQGTTLSRA</t>
  </si>
  <si>
    <t>AVTLTESGGGTVAPGSSVTLTCTASGFNFSKYILAWVRQAPGQPLEWVASISPDGSKTRYHPAVKGRATASKDNSKNTAYLELKDLRPEDTATYYCGIIPQGSVHGDYSMTHWGQGTELRVEAGGGSGGGSGGGSGGGSPVVLTQSPLSLSAKVGDTVTITCTASSPVDNLVSWYKQAPGQPLQLLIYNATTRAPGVPSRFTGSGSDTTFTLTISSLQPEDFAVYYCQQTYKFPITFGQGTRLTPA</t>
  </si>
  <si>
    <t>PVKLVESGGGTVAPGSSVTLTCKASGFNFSKYMVQWVRQAPGGAFQWVGLISPDGSTKWYHPDVEGRFTISKDNSKNTAYLEMRNLTPADTAVYYCGIVPQGSVHGDYSITHWGQGVTLTVTAGGGSGGGSGGGSGGGSVVQLTQSPPELSAKVGEKVTITCTASSPVDNLVSWYQQKPGGAPKLLIYNATTLAPGVPSRFSGSGSDTVFTLTIDSLQAEDFATYYCQQTSRLPFTFGQGTVLRPA</t>
  </si>
  <si>
    <t>AIKLTESGGGTVKPGSSVTLTCQASGFNFSKYIMAWVRQAPGQPLQWVAQISPDNSVKRYHPEVEGRFTASKDNSKNTAYLEMKNLTPADTATYYCAIIPQGSTQGDYSMVHWGQGVELKVVAGGGSGGGSGGGSGGGSPVVLTQSPASLKAAVGDTVTITCTASAPVDNLVSWYKQAPGQPPQLLIYNASTLAPGVPSRFTGSGSDTSFTLTISSLQEEDFATYYCQETSKFPITFGQGTKLEKK</t>
  </si>
  <si>
    <t>SIKLTESGGGVVAPGESVTLTCTASGFNFSKYEMAWVRQAPGGPLEFVAVISPDGSTTRYHPRVEGRATISRDNSKNTAYLTLRDLTPADTAVYYCGIIPGGSVHGDRALSHWGQGVRLEVRAGGGSGGGSGGGSGGGSMVTLTQSPSSLSAKVGDKVTISCTASEPVDDLVSWYKQAPGGPPQLLISRASTRAPGVPSRFSGSGSDTNFTLTIESLQSSDFATYYCQQTYKFPDTFGQGTTLSEA</t>
  </si>
  <si>
    <t xml:space="preserve">SVTLVESGDQTVAPGGSVTLSCTSSGGSFGNSGVSWVKQQPGGPLQWIGGIIPSLGISKVSPEYAGRVTISSDSSNNTAYLTISNLTAADTATYYCALGEGEDVFASSPFASNVNLGALSVWGQGTKVTVSGGGSGGGSGGGSITVTQSPSSPSLKVGETATLTCTLSAPVPRSNVAWYKQQPGQPPTLLIYGGSTRAPGVPSRYSGSGSGTTFTLTITALKPEDFATYYCQVYGENPSFGQGTTLKLK </t>
  </si>
  <si>
    <t>SITLVQSGDVTVAPGGSVTLTCTSSGGSFGNKAVAWVRQRPGGPYEWLGFIIPAYGVSRYNPAYEGRVTISVDSASNTASLTISNLTAADTATYYCALGEGEIVYAASPFDENYKLGALYIWGQGTKVTVSGGGSGGGSGGGSITLTQSPSSPSLSVGETATLTCTASAPVPKSNVAWYKQLPGQPPELLIYGGSTRASGVPSRYSGSGSGTTFTLTISSLTADDFATYYCQVYGENPSFGEGTTLTLK</t>
  </si>
  <si>
    <t>SVTLVQSGDQTVPIGGSVTLSCTANGGSFGNKGVAWVRQRPGGPYEFLGFIKPAIGESRYHPKYKGRVTISSDVSSNTAYLTISNLTPEDTAVYYCALGEAEDVFAAHPFKTDLLLGALSIWGQGTRVTVTGGGSGGGSGGGSITVTQSPSSPSLSVGETAVLTCTLSQPVPQSQVAWYKQLPGQPPTLLISGGSTRASGVPSRYSGSGSGTTFTLTISSLLPEDFATYYCQVVGKEPSFGQGTTLTLK</t>
  </si>
  <si>
    <t>SVKLVQSGDQTVPVGGSVTLSCTASGGSFGNYGVAWVRQRPGGPLEYIGSIIPAYGISTVNPKYEGRVTISADPTNNTAYLTISNLTPEDTATYYCALGPGEVVFASSPFDIDVLTGALWVWGEGTKVTVTGGGSGGGSGGGSITVTQSPSSPSLKVGETATLTCTLSAPVAKSNVAWYKQLPGQPPELLIYGGSTRASGVPSRYSGSGSGTTFTLTISSLQPEDFATYYCQVVGKNPSFGQGTLLKLK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</si>
  <si>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</si>
  <si>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</si>
  <si>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</si>
  <si>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</si>
  <si>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</si>
  <si>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</si>
  <si>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</si>
  <si>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</si>
  <si>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</si>
  <si>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</si>
  <si>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</si>
  <si>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</si>
  <si>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</si>
  <si>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</si>
  <si>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</si>
  <si>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</si>
  <si>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</si>
  <si>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</si>
  <si>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</si>
  <si>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</si>
  <si>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</si>
  <si>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</si>
  <si>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</si>
  <si>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</si>
  <si>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</si>
  <si>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</si>
  <si>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</si>
  <si>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</si>
  <si>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</si>
  <si>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</si>
  <si>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</si>
  <si>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</si>
  <si>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</si>
  <si>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</si>
  <si>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</si>
  <si>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</si>
  <si>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</si>
  <si>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VQLQESGPGLVKPSQSLSLTCTVTGYSITTGYAWNWIRQFPGNKLEWMGYISYSGSTYYPSLKSRISITRDTSKNQFFLQLSIVTTEDTATYYCARGTTLPDYVDFWGQGTSVTVSSGGGSGGGSGGGSGGGSDIQLTQSPSSLSASVGDRVTITCRASQTISTYLNWYQQKPGKAPKLLIYAASTLQSGVPSRFSGSGSGTDFTLTISSLQPEDFATYFCLQHFWTPPITFGQGTRLEIK</t>
  </si>
  <si>
    <t>QVQLQESGPGLVKPSETLSVTCTVSGGSIGSNNYWSWIRQPAGKGLEWIGYIYYSGSTNYNPSLKSRVTMSVDTSKNQFSLKLSSVTAADTAVYYCVRNYYDSSDSSGYYFMDVWGQGTTVTVSSGGGSGGGSGGGSDIVMTQSPLSLSVTPGEPASISCRSSQSLLHSNGYNYLDWYLQKPGQSPQLLIYLGSNRASGVPDRFSGSGSGTDFTLKISRVEAEDVGVYYCMQALQTPTFGQGTRLEIK</t>
  </si>
  <si>
    <t>QVQLVQSGAEVKKPGESLKISCKGSGYRFSSYWIGWVRQMPGKGLEWMGIIYPGDSDTRYSPSFQGQVTISADKSISTAYLQWSSLKASDTAMYYCARQGPDYYYGMDVWGQGTTVTVSSGGGSGGGSGGGSGGGSDIQMTQSPSTLSASVGDRVTITCRASQSISSWLAWYQQKPGKAPKLLIYKASELQSGVPSRFSGSGSGTEFTLTISSLQPDDFATYYCQQYINSYTFGQGTKVEIK</t>
  </si>
  <si>
    <t>QVQLQQSGPELVKPGASVKLSCKASGYTFTDYYMHWVKQRPGQGLEWIGEINPNSGGTNTYDQKFKGRATLTVDKSSSTAYLQLSSLTSEDSAVYYCARSPPWYFDYWGQGTTLTVSGGGSGGGSGGGSGGGSDIVMTQSPSSMFASVGETVTITCRASENIYSNLAWYQQKPGQSPKLLIYWASTRHTGVPDRFTGSGSGTDFTLTISSVQAEDLALYYCQHYGSYSFTFGSGTKLEIK</t>
  </si>
  <si>
    <t>EVQLVESGGGLVQPGGSLRLSCAASGFNVSYSSIHWVRQAPGKGLEWVASISSYYGYTYYADSVKGRFTISADTSKNTAYLQMNSLRAEDTAVYYCARSRNYVYSSGYLDFWGQGTLVTVSSGGGSGGGSGGGSGGGSDIQMTQSPSSLSASVGDRVTITCRASQSVSSAVAWYQQKPGKAPKLLIYSASSLYSGVPSRFSGSRSGTDFTLTISSLQPEDFATYYCQQSSYSSPPTFGQGTKVEIK</t>
  </si>
  <si>
    <t>EVQLVESGGGLVQPGGSLRLSCAASGFNIYYSSIHWVRQAPGKGLEWVASISPYYGSTSYADSVKGRFTISADTSKNTAYLQMNSLRAEDTAVYYCARDYGHYYYAMDYWGQGTLVTVSSGGGSGGGSGGGSGGGSEIVMTQSPATLSVSPGERATLSCRASQSVSSYLAWYQQKPGQAPRLLIYGASTRATGIPARFSGSGSGTEFTLTISSLQSEDSAVYYCQQYNNWPPITFGQGTRLEIK</t>
  </si>
  <si>
    <t>QVQLQESGPGLVKPSETLSLSCVVSGDSSSTNYYWGWIRQPPGKGLEWIGYIYGSGDTAYNPSLKSRVTISVDTSKNQFSLKLSSVTAADTAVYYCARRSWGYGYNGYSTYYYYYYFDQGYFDVWGPGTLVTGGGSGGGSGGGSDIQMTQSPSSLSASVGDRVTITCRASQSIGSYLNWYQQKPGKAPKLLIYAASTLQSGVPSRFSGSGSGTEFTLTISSLQPEDFATYYCQQSYSWGQGTKVEIK</t>
  </si>
  <si>
    <t>QVQLVQSGAEVKKPGASVKVSCKASGYTFTSYGISWVRQAPGQGLEWMGWISAHNGDTNYAQKFQGRVTMTRDTSITTAYMELRSDDTAVYYCARDGSVGGFYWGQGTLVTVSSGGGSGGGSGGGSGGGSEIVLTQSPGTLSLSPGERATLSCRASQSVSSYLAWYQQKPGQAPRLLIYGASSRATGIPDRFSGSGSGTDFTLTISRLEPEDFAVYYCQQYGSSPITFGQGTRLEIK</t>
  </si>
  <si>
    <t>EVQLLESGGGLVQPGGSLRLSCAASGFNVSYSSIHWVRQAPGKGLEWVASISPYYGSTSYADSVKGRFTISADTSKNTAYLQMNSLRAEDTAVYYCARSYYWYWSGWGTLVTVSSGGGSGGGSGGGSGGGSDIQMTQSPSSLSASVGDRVTITCRASQSVSSAVAWYQQKPGKAPKLLIYSASSLYSGVPSRFSGSRSGTDFTLTISSLQPEDFATYYCQQSYGSPPTFGQGTKVEIK</t>
  </si>
  <si>
    <t>QVQLQESGPGLVKPSQTLSLTCTVSGGSISSGHYAWWIRQPPGKGLEWIACIYSSSGSTYYNPSLKSRITISVDTSKNQFSLKLSSVTAADTAVYYCARRQRGYDYDYYYGMDVWGQGTTVTVSSGGGSGGGSGGGSGGGSDIQLTQSPSSLSASVGDRVTITCRASQGISRNLAWYQQKPGKAPKLLIYAASSLQSGVPSRFSGSGSGTDFTLTISSLQPEDFATYYCQQSNNWPITFGQGTKVEIK</t>
  </si>
  <si>
    <t>EVQLVESGGGLVQPGGSLRLSCAASGFNIYYSSIHWVRQAPGKGLEWVASIYSYYSSTSYADSVKGRFTISADTSKNTAYLQMNSLRAEDTAVYYCARVYGYLSYSYFYWGLDVWGQGTLVTVSGGGSGGGSGGGSGGGSDIQMTQSPSSLSASVGDRVTITCRASQSVSSAVAWYQQKPGKAPKLLIYSASSLYSGVPSRFSGSRSGTDFTLTISSLQPEDFATYYCQQYKYVPVTFGQGTKVEI</t>
  </si>
  <si>
    <t>EVQLQQSGAELVKPGASVKLSCTASGFNIKDTYVHWVKQRPEQGLEWIGRIDPANGYTKYDPKFQGKATITADTSSNTAYLQLSSLTSEDTAVYYCVRPLYDYYAMDYWGQGTTLTVSSGGGSGGGSGGGSGGGSDIVMTQSPSSLAMSAGRVSITCRTSQSISSYLNWVQQKPGKSPKLLIYWASTRESGVPDRFTGSGSGTDFTLTISRVEAEDLGVYYCMQGTHVPYTFGGGTKLEIK</t>
  </si>
  <si>
    <t>EVQLVESGGGLVKPGGSLRLSCAASGFTFSSYAMHWVRQAPGKGLEWVSAISGGGGSTYYADSVKGRFTISRDNSKNTLYLQMRAEDTAVYYCAKDDADWGQGTLVTVSSGGGSGGGSGGGSGGGSDIQMTQSPSSLSASVGDRVTITCRASQSVSSAVAWYQQKPGKAPKLLIYSASSLYSGVPSRFSGSRSGTDFTLTISSLQPEDFATYYCQQYKYVPFTFGQGTKVEIK</t>
  </si>
  <si>
    <t>QVQLQESGPGLVKPSQTLSLTCTVSGGSISSGSYYWIRQSPGKGLEWIGYIYYSGSTNYNPSLKSRVTISVDTSKNQFSLKLSSVTAADTAVYYCARHRYYDRGQGTLVTVSSGGGSGGGSGGGSGGGSDIQMTQSPASLSASVGETVTITCRASENIYSNLAWYQQKQGKSPQLLVYAATDLADGVPSRFSGSGSGTQFSLKINSLQPEDFGSYYCQHFWDTPWTFGQGTRVE</t>
  </si>
  <si>
    <t>EVQLVESGGGLVQPGGSLRLSCAASGFNLYSSSIHWVRQAPGKGLEWVAYISSSGTHYADSVKGRFTISADTSKNTAYLQMRAEDTAVYYCARVGHYYSSGGYYYAMDYWGQGTLVTVSSGGGSGGGSGGGSGGGSDIQMTQSPSSLSASVGDRVTITCRASQSVSSAVAWYQQKPGKAPKLLIYSASSLYSGVPSRFSGSRSGTDFTLTISSLQPEDFATYYCQQYSSYWTFGQGTKVEIK</t>
  </si>
  <si>
    <t>EVQLVESGGGLVQPGGSLRLSCAASGFNVVDSGISWVRQAPGKGLEWVSYISSSSGSTYYADSVKGRFTISADTSKNTAYLQMNSLRAEDTAVYYCARAHYYGSYFGSVVYYYGLDVWGQGTLVTVSSGGGSGGGSGGGSDIQMTQSPSSLSASVGDRVTITCRASQSVSSAVAWYQQKPGKAPKLLIYSASSLYSGVPSRFSGSRSGTDFTLTISSLQPEDFATYYCQQYDTYPITFGQGTKVEIK</t>
  </si>
  <si>
    <t>EVQLVESGGGLVQPGGSLRLSCAASGFNVYSSSIHWVRQAPGKGLEWVASISSYYGYTYYADSVKGRFTISADTSKNTAYLQMNSLRAEDTAVYYCARSYSTYYYGYWYFDVWGQGTLVTVSSGGGSGGGSGGGSGGGSDIQMTQSPSSLSAAVGDRVTITCRASQSVSSAVAWYQQKPGKAPKLLIYSASSLYSGVPSRFSGSRSGTDFTLTISSLQPEDFATYYCQQYNYYWLITFGQGTKVEIK</t>
  </si>
  <si>
    <t>QVQLQQPGAELVKPGASVKLSCKASGYTFTSDWIHWVKQRPGHGLEWIGEIIPSYGRANYNEKIQKKATLTADKSSSTAFMHLSSLTSEDSAVYYCARERGDGYFAVWGAGTTVTVSSGGGSGGGSGGGSGGGSDILLTQSPAILSVSPGERVSFSCRASQSIGTDIHWYQQRTNGSPRLLIKYASESISGIPSRFSGSGSGTDFTLSINSVESEDIANYYCQQSNRWPFTFGSGTKLEIK</t>
  </si>
  <si>
    <t>VRLLESGGGLVQPGGSLKLSCAASGFDYSRYWMSWVRQAPGKGLKWIGEINPVSSTINYTPSLKDKFIISRDNAKDTLYLQISKVRSEDTALYYCARLYYGYGYWYFDVWGAGTTVTVSSGGGSGGGSGGGSGGGSDIVLTQSPAIMSAAPGDKVTMTCSASSSVSYIHWYQQKSGTSPKRWIYDTSKLTSGVPVRFSGSGSGTSYSLTINTMEAEDAATYYCQQWSSHPQTFGGGTKLEIl</t>
  </si>
  <si>
    <t>QVQLQESGPGLVQPSQSLSLTCTVSGFSLTSYGVHWVRQSPGKGLEWLGVIWAGGSTDYNSALKSRLSISRDTSKNQVFLKMNSLQTDDTAMYYCAKHGSSNGDYWGQGTSVTVSSGGGSGGGSGGGSGGGSDIVMTQSPDSLAVSLGERATINCKSSQSVLYSSNNKNYLAWYQQKPEGQPPNLLIYWASTRESGVPDRFSGSGSGTDFTLTISSLQAEDVAVYYCQQYYSAPTFGQGTKLEIK</t>
  </si>
  <si>
    <t>antigen_source</t>
  </si>
  <si>
    <t>proteinbase</t>
  </si>
  <si>
    <t>nipah_gpG_comp</t>
  </si>
  <si>
    <t>A</t>
  </si>
  <si>
    <t>B</t>
  </si>
  <si>
    <t>From Protein Data Bank entry</t>
  </si>
  <si>
    <t>From Proteinbase competition evaluation logic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</si>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</sst>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" refreshedDate="45971.564090046297" createdVersion="8" refreshedVersion="8" minRefreshableVersion="3" recordCount="50" xr:uid="{C69715DE-2A16-4198-9FD9-FAE4F60B2265}">
  <cacheSource type="worksheet">
    <worksheetSource ref="A1:T3000" sheet="Antibody Candidates"/>
  </cacheSource>
  <cacheFields count="19">
    <cacheField name="antibody_id" numFmtId="0">
      <sharedItems containsBlank="1" count="50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m/>
      </sharedItems>
    </cacheField>
    <cacheField name="method" numFmtId="0">
      <sharedItems containsBlank="1" count="5">
        <s v="peleke-1"/>
        <s v="General LLM"/>
        <s v="peleke-1 + ProteinMPNN"/>
        <s v="ProteinMPNN"/>
        <m/>
      </sharedItems>
    </cacheField>
    <cacheField name="model_version" numFmtId="0">
      <sharedItems containsBlank="1"/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note_ids" numFmtId="0">
      <sharedItems containsString="0" containsBlank="1" containsNumber="1" containsInteger="1" minValue="1" maxValue="2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50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m/>
      </sharedItems>
    </cacheField>
    <cacheField name="len_franken_chain" numFmtId="0">
      <sharedItems containsString="0" containsBlank="1" containsNumber="1" containsInteger="1" minValue="233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5-11-07T00:00:00" maxDate="2025-11-12T00:00:00" count="6">
        <d v="2025-11-07T00:00:00"/>
        <d v="2025-11-08T00:00:00"/>
        <d v="2025-11-09T00:00:00"/>
        <d v="2025-11-10T00:00:00"/>
        <d v="2025-11-11T00:00:0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x v="0"/>
    <s v="peleke-phi-4"/>
    <n v="0.7"/>
    <s v="base"/>
    <m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x v="0"/>
    <s v="peleke-phi-4"/>
    <n v="0.7"/>
    <s v="base"/>
    <m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x v="0"/>
    <s v="peleke-phi-4"/>
    <n v="0.9"/>
    <s v="base"/>
    <m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x v="0"/>
    <s v="peleke-phi-4"/>
    <n v="0.9"/>
    <s v="base"/>
    <m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x v="0"/>
    <s v="peleke-phi-4"/>
    <n v="0.5"/>
    <s v="base"/>
    <m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x v="1"/>
    <s v="Qwen3-235B-A22B-Instruct-2507"/>
    <m/>
    <s v="base"/>
    <m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x v="2"/>
    <s v="peleke-phi-4 / v_48_020"/>
    <n v="0.1"/>
    <s v="derivative"/>
    <s v="sbio-nipahgpg-001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x v="2"/>
    <s v="peleke-phi-4 / v_48_020"/>
    <n v="0.1"/>
    <s v="derivative"/>
    <s v="sbio-nipahgpg-001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x v="2"/>
    <s v="peleke-phi-4 / v_48_020"/>
    <n v="0.1"/>
    <s v="derivative"/>
    <s v="sbio-nipahgpg-001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x v="2"/>
    <s v="peleke-phi-4 / v_48_020"/>
    <n v="0.1"/>
    <s v="derivative"/>
    <s v="sbio-nipahgpg-001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x v="2"/>
    <s v="peleke-phi-4 / v_48_020"/>
    <n v="0.1"/>
    <s v="derivative"/>
    <s v="sbio-nipahgpg-001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x v="2"/>
    <s v="peleke-phi-4 / v_48_020"/>
    <n v="0.1"/>
    <s v="derivative"/>
    <s v="sbio-nipahgpg-001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x v="2"/>
    <s v="peleke-phi-4 / v_48_020"/>
    <n v="0.1"/>
    <s v="derivative"/>
    <s v="sbio-nipahgpg-001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x v="2"/>
    <s v="peleke-phi-4 / v_48_030"/>
    <n v="0.15"/>
    <s v="derivative"/>
    <s v="sbio-nipahgpg-001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x v="2"/>
    <s v="peleke-phi-4 / v_48_030"/>
    <n v="0.15"/>
    <s v="derivative"/>
    <s v="sbio-nipahgpg-001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x v="2"/>
    <s v="peleke-phi-4 / v_48_030"/>
    <n v="0.15"/>
    <s v="derivative"/>
    <s v="sbio-nipahgpg-001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x v="2"/>
    <s v="peleke-phi-4 / v_48_030"/>
    <n v="0.15"/>
    <s v="derivative"/>
    <s v="sbio-nipahgpg-001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x v="2"/>
    <s v="peleke-phi-4 / v_48_030"/>
    <n v="0.15"/>
    <s v="derivative"/>
    <s v="sbio-nipahgpg-001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x v="2"/>
    <s v="peleke-phi-4 / v_48_030"/>
    <n v="0.15"/>
    <s v="derivative"/>
    <s v="sbio-nipahgpg-001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x v="2"/>
    <s v="peleke-phi-4 / v_48_030"/>
    <n v="0.15"/>
    <s v="derivative"/>
    <s v="sbio-nipahgpg-001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x v="2"/>
    <s v="peleke-phi-4 / v_48_030"/>
    <n v="0.15"/>
    <s v="derivative"/>
    <s v="sbio-nipahgpg-001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x v="3"/>
    <s v="v_48_020"/>
    <n v="0.1"/>
    <s v="derivative"/>
    <s v="m102.3 (PDB: 6CMI)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x v="3"/>
    <s v="v_48_020"/>
    <n v="0.1"/>
    <s v="derivative"/>
    <s v="m102.3 (PDB: 6CMI)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x v="3"/>
    <s v="v_48_020"/>
    <n v="0.1"/>
    <s v="derivative"/>
    <s v="m102.3 (PDB: 6CMI)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x v="3"/>
    <s v="v_48_020"/>
    <n v="0.1"/>
    <s v="derivative"/>
    <s v="m102.3 (PDB: 6CMI)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x v="3"/>
    <s v="v_48_020"/>
    <n v="0.1"/>
    <s v="derivative"/>
    <s v="m102.3 (PDB: 6CMI)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x v="3"/>
    <s v="v_48_020"/>
    <n v="0.1"/>
    <s v="derivative"/>
    <s v="m102.3 (PDB: 6CMI)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x v="3"/>
    <s v="v_48_020"/>
    <n v="0.1"/>
    <s v="derivative"/>
    <s v="m102.3 (PDB: 6CMI)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x v="3"/>
    <s v="v_48_020"/>
    <n v="0.1"/>
    <s v="derivative"/>
    <s v="m102.3 (PDB: 6CMI)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x v="0"/>
    <s v="peleke-mistral-7b-instruct-v0.2"/>
    <n v="0.7"/>
    <s v="base"/>
    <m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x v="0"/>
    <s v="peleke-mistral-7b-instruct-v0.2"/>
    <n v="0.7"/>
    <s v="base"/>
    <m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x v="0"/>
    <s v="peleke-mistral-7b-instruct-v0.2"/>
    <n v="0.7"/>
    <s v="base"/>
    <m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x v="0"/>
    <s v="peleke-mistral-7b-instruct-v0.2"/>
    <n v="0.7"/>
    <s v="base"/>
    <m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x v="0"/>
    <s v="peleke-mistral-7b-instruct-v0.2"/>
    <n v="0.7"/>
    <s v="base"/>
    <m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x v="0"/>
    <s v="peleke-mistral-7b-instruct-v0.2"/>
    <n v="0.7"/>
    <s v="base"/>
    <m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x v="0"/>
    <s v="peleke-mistral-7b-instruct-v0.2"/>
    <n v="0.7"/>
    <s v="base"/>
    <m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x v="0"/>
    <s v="peleke-mistral-7b-instruct-v0.2"/>
    <n v="0.7"/>
    <s v="base"/>
    <m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x v="0"/>
    <s v="peleke-mistral-7b-instruct-v0.2"/>
    <n v="0.7"/>
    <s v="base"/>
    <m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x v="0"/>
    <s v="peleke-mistral-7b-instruct-v0.2"/>
    <n v="0.7"/>
    <s v="base"/>
    <m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x v="0"/>
    <s v="peleke-mistral-7b-instruct-v0.2"/>
    <n v="0.7"/>
    <s v="base"/>
    <m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x v="0"/>
    <s v="peleke-mistral-7b-instruct-v0.2"/>
    <n v="0.7"/>
    <s v="base"/>
    <m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x v="0"/>
    <s v="peleke-mistral-7b-instruct-v0.2"/>
    <n v="0.7"/>
    <s v="base"/>
    <m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x v="0"/>
    <s v="peleke-mistral-7b-instruct-v0.2"/>
    <n v="0.7"/>
    <s v="base"/>
    <m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x v="0"/>
    <s v="peleke-mistral-7b-instruct-v0.2"/>
    <n v="0.7"/>
    <s v="base"/>
    <m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x v="0"/>
    <s v="peleke-mistral-7b-instruct-v0.2"/>
    <n v="0.7"/>
    <s v="base"/>
    <m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x v="0"/>
    <s v="peleke-mistral-7b-instruct-v0.2"/>
    <n v="0.7"/>
    <s v="base"/>
    <m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x v="0"/>
    <s v="peleke-mistral-7b-instruct-v0.2"/>
    <n v="0.7"/>
    <s v="base"/>
    <m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x v="0"/>
    <s v="peleke-mistral-7b-instruct-v0.2"/>
    <n v="0.7"/>
    <s v="base"/>
    <m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x v="0"/>
    <s v="peleke-mistral-7b-instruct-v0.2"/>
    <n v="0.7"/>
    <s v="base"/>
    <m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x v="4"/>
    <m/>
    <m/>
    <m/>
    <m/>
    <m/>
    <m/>
    <m/>
    <m/>
    <m/>
    <x v="49"/>
    <m/>
    <m/>
    <m/>
    <m/>
    <m/>
    <m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6">
        <item x="5"/>
        <item x="0"/>
        <item x="1"/>
        <item x="2"/>
        <item x="3"/>
        <item x="4"/>
      </items>
    </pivotField>
  </pivotFields>
  <rowFields count="3">
    <field x="0"/>
    <field x="1"/>
    <field x="11"/>
  </rowFields>
  <rowItems count="10">
    <i>
      <x/>
      <x v="1"/>
      <x v="19"/>
    </i>
    <i>
      <x v="6"/>
      <x v="2"/>
      <x v="5"/>
    </i>
    <i>
      <x v="8"/>
      <x v="2"/>
      <x v="23"/>
    </i>
    <i>
      <x v="9"/>
      <x v="2"/>
      <x v="13"/>
    </i>
    <i>
      <x v="12"/>
      <x v="2"/>
      <x v="11"/>
    </i>
    <i>
      <x v="14"/>
      <x v="2"/>
      <x v="20"/>
    </i>
    <i>
      <x v="22"/>
      <x v="3"/>
      <x v="12"/>
    </i>
    <i>
      <x v="23"/>
      <x v="3"/>
      <x v="2"/>
    </i>
    <i>
      <x v="27"/>
      <x v="3"/>
      <x v="24"/>
    </i>
    <i>
      <x v="28"/>
      <x v="3"/>
      <x v="4"/>
    </i>
  </rowItems>
  <colItems count="1">
    <i/>
  </colItems>
  <pageFields count="1">
    <pageField fld="18" item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D8D9BF-DD48-4B0D-B005-50CFC13EA4CA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6">
        <item x="5"/>
        <item x="0"/>
        <item x="1"/>
        <item x="2"/>
        <item x="3"/>
        <item x="4"/>
      </items>
    </pivotField>
  </pivotFields>
  <rowFields count="3">
    <field x="0"/>
    <field x="1"/>
    <field x="11"/>
  </rowFields>
  <rowItems count="10">
    <i>
      <x v="1"/>
      <x v="1"/>
      <x v="17"/>
    </i>
    <i>
      <x v="2"/>
      <x v="1"/>
      <x v="16"/>
    </i>
    <i>
      <x v="3"/>
      <x v="1"/>
      <x v="9"/>
    </i>
    <i>
      <x v="4"/>
      <x v="1"/>
      <x v="8"/>
    </i>
    <i>
      <x v="5"/>
      <x/>
      <x v="18"/>
    </i>
    <i>
      <x v="7"/>
      <x v="2"/>
      <x v="3"/>
    </i>
    <i>
      <x v="10"/>
      <x v="2"/>
      <x v="10"/>
    </i>
    <i>
      <x v="11"/>
      <x v="2"/>
      <x v="6"/>
    </i>
    <i>
      <x v="13"/>
      <x v="2"/>
      <x v="15"/>
    </i>
    <i>
      <x v="15"/>
      <x v="2"/>
      <x v="1"/>
    </i>
  </rowItems>
  <colItems count="1">
    <i/>
  </colItems>
  <pageFields count="1">
    <pageField fld="18" item="2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30A9A-0810-4D7B-BBE4-92BE215D0229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2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6">
        <item x="5"/>
        <item x="0"/>
        <item x="1"/>
        <item x="2"/>
        <item x="3"/>
        <item x="4"/>
      </items>
    </pivotField>
  </pivotFields>
  <rowFields count="3">
    <field x="0"/>
    <field x="1"/>
    <field x="11"/>
  </rowFields>
  <rowItems count="9">
    <i>
      <x v="16"/>
      <x v="2"/>
      <x v="22"/>
    </i>
    <i>
      <x v="17"/>
      <x v="2"/>
      <x v="7"/>
    </i>
    <i>
      <x v="18"/>
      <x v="2"/>
      <x v="14"/>
    </i>
    <i>
      <x v="19"/>
      <x v="2"/>
      <x/>
    </i>
    <i>
      <x v="20"/>
      <x v="2"/>
      <x v="21"/>
    </i>
    <i>
      <x v="21"/>
      <x v="3"/>
      <x v="27"/>
    </i>
    <i>
      <x v="24"/>
      <x v="3"/>
      <x v="25"/>
    </i>
    <i>
      <x v="25"/>
      <x v="3"/>
      <x v="28"/>
    </i>
    <i>
      <x v="26"/>
      <x v="3"/>
      <x v="26"/>
    </i>
  </rowItems>
  <colItems count="1">
    <i/>
  </colItems>
  <pageFields count="1">
    <pageField fld="18" item="3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54B109-E0E8-463A-8A38-71BCCBD1ABE8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6">
        <item x="5"/>
        <item x="0"/>
        <item x="1"/>
        <item x="2"/>
        <item x="3"/>
        <item x="4"/>
      </items>
    </pivotField>
  </pivotFields>
  <rowFields count="3">
    <field x="0"/>
    <field x="1"/>
    <field x="11"/>
  </rowFields>
  <rowItems count="10">
    <i>
      <x v="29"/>
      <x v="1"/>
      <x v="29"/>
    </i>
    <i>
      <x v="30"/>
      <x v="1"/>
      <x v="30"/>
    </i>
    <i>
      <x v="31"/>
      <x v="1"/>
      <x v="31"/>
    </i>
    <i>
      <x v="32"/>
      <x v="1"/>
      <x v="32"/>
    </i>
    <i>
      <x v="33"/>
      <x v="1"/>
      <x v="33"/>
    </i>
    <i>
      <x v="34"/>
      <x v="1"/>
      <x v="34"/>
    </i>
    <i>
      <x v="35"/>
      <x v="1"/>
      <x v="35"/>
    </i>
    <i>
      <x v="36"/>
      <x v="1"/>
      <x v="36"/>
    </i>
    <i>
      <x v="37"/>
      <x v="1"/>
      <x v="37"/>
    </i>
    <i>
      <x v="38"/>
      <x v="1"/>
      <x v="38"/>
    </i>
  </rowItems>
  <colItems count="1">
    <i/>
  </colItems>
  <pageFields count="1">
    <pageField fld="18" item="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BCE7CB-DCA8-443D-A73C-3A819111AB4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6">
        <item x="5"/>
        <item x="0"/>
        <item x="1"/>
        <item x="2"/>
        <item x="3"/>
        <item x="4"/>
      </items>
    </pivotField>
  </pivotFields>
  <rowFields count="3">
    <field x="0"/>
    <field x="1"/>
    <field x="11"/>
  </rowFields>
  <rowItems count="10">
    <i>
      <x v="39"/>
      <x v="1"/>
      <x v="39"/>
    </i>
    <i>
      <x v="40"/>
      <x v="1"/>
      <x v="40"/>
    </i>
    <i>
      <x v="41"/>
      <x v="1"/>
      <x v="41"/>
    </i>
    <i>
      <x v="42"/>
      <x v="1"/>
      <x v="42"/>
    </i>
    <i>
      <x v="43"/>
      <x v="1"/>
      <x v="43"/>
    </i>
    <i>
      <x v="44"/>
      <x v="1"/>
      <x v="44"/>
    </i>
    <i>
      <x v="45"/>
      <x v="1"/>
      <x v="45"/>
    </i>
    <i>
      <x v="46"/>
      <x v="1"/>
      <x v="46"/>
    </i>
    <i>
      <x v="47"/>
      <x v="1"/>
      <x v="47"/>
    </i>
    <i>
      <x v="48"/>
      <x v="1"/>
      <x v="48"/>
    </i>
  </rowItems>
  <colItems count="1">
    <i/>
  </colItems>
  <pageFields count="1">
    <pageField fld="18" item="5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0"/>
  <sheetViews>
    <sheetView tabSelected="1" zoomScaleNormal="100" workbookViewId="0">
      <pane xSplit="1" ySplit="1" topLeftCell="J28" activePane="bottomRight" state="frozen"/>
      <selection pane="topRight" activeCell="B1" sqref="B1"/>
      <selection pane="bottomLeft" activeCell="A2" sqref="A2"/>
      <selection pane="bottomRight" activeCell="S31" sqref="S31"/>
    </sheetView>
  </sheetViews>
  <sheetFormatPr defaultColWidth="9.140625" defaultRowHeight="15" x14ac:dyDescent="0.25"/>
  <cols>
    <col min="1" max="1" width="17.85546875" style="1" customWidth="1"/>
    <col min="2" max="2" width="22.42578125" style="1" bestFit="1" customWidth="1"/>
    <col min="3" max="3" width="14.7109375" style="2" customWidth="1"/>
    <col min="4" max="4" width="11.7109375" style="4" customWidth="1"/>
    <col min="5" max="5" width="11.7109375" style="1" customWidth="1"/>
    <col min="6" max="6" width="18.42578125" style="1" bestFit="1" customWidth="1"/>
    <col min="7" max="7" width="18.42578125" style="1" customWidth="1"/>
    <col min="8" max="8" width="8.7109375" style="1" bestFit="1" customWidth="1"/>
    <col min="9" max="9" width="54" style="2" customWidth="1"/>
    <col min="10" max="10" width="42.140625" style="2" customWidth="1"/>
    <col min="11" max="11" width="16" style="1" customWidth="1"/>
    <col min="12" max="12" width="12" style="2" customWidth="1"/>
    <col min="13" max="13" width="71.28515625" style="2" customWidth="1"/>
    <col min="14" max="14" width="17.42578125" style="1" bestFit="1" customWidth="1"/>
    <col min="15" max="15" width="17.42578125" style="1" customWidth="1"/>
    <col min="16" max="16" width="19.85546875" style="1" bestFit="1" customWidth="1"/>
    <col min="17" max="17" width="27.85546875" style="1" bestFit="1" customWidth="1"/>
    <col min="18" max="19" width="12" style="4" bestFit="1" customWidth="1"/>
    <col min="20" max="20" width="23.7109375" style="4" bestFit="1" customWidth="1"/>
    <col min="21" max="21" width="22.5703125" style="2" bestFit="1" customWidth="1"/>
    <col min="22" max="22" width="22.42578125" style="4" bestFit="1" customWidth="1"/>
    <col min="23" max="16384" width="9.140625" style="1"/>
  </cols>
  <sheetData>
    <row r="1" spans="1:22" s="3" customFormat="1" x14ac:dyDescent="0.25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223</v>
      </c>
      <c r="V1" s="7" t="s">
        <v>224</v>
      </c>
    </row>
    <row r="2" spans="1:22" ht="75" x14ac:dyDescent="0.25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1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244</v>
      </c>
      <c r="V2" s="4">
        <v>0.01</v>
      </c>
    </row>
    <row r="3" spans="1:22" ht="60" x14ac:dyDescent="0.25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ref="M3:M50" si="0"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1">
        <f>LEN(M3)</f>
        <v>240</v>
      </c>
      <c r="O3" s="1" t="b">
        <f t="shared" ref="O3:O50" si="1"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234</v>
      </c>
      <c r="V3" s="4">
        <v>0.01</v>
      </c>
    </row>
    <row r="4" spans="1:22" ht="60" x14ac:dyDescent="0.25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1">
        <f>LEN(M4)</f>
        <v>239</v>
      </c>
      <c r="O4" s="1" t="b">
        <f t="shared" si="1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237</v>
      </c>
      <c r="V4" s="4">
        <v>0.01</v>
      </c>
    </row>
    <row r="5" spans="1:22" ht="60" x14ac:dyDescent="0.25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1">
        <f>LEN(M5)</f>
        <v>240</v>
      </c>
      <c r="O5" s="1" t="b">
        <f t="shared" si="1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235</v>
      </c>
      <c r="V5" s="4">
        <v>0.01</v>
      </c>
    </row>
    <row r="6" spans="1:22" ht="60" x14ac:dyDescent="0.25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1">
        <f>LEN(M6)</f>
        <v>238</v>
      </c>
      <c r="O6" s="1" t="b">
        <f t="shared" si="1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236</v>
      </c>
      <c r="V6" s="4">
        <v>0.23</v>
      </c>
    </row>
    <row r="7" spans="1:22" ht="75" x14ac:dyDescent="0.25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1">
        <f t="shared" ref="N7:N50" si="2">LEN(M7)</f>
        <v>247</v>
      </c>
      <c r="O7" s="1" t="b">
        <f t="shared" si="1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240</v>
      </c>
      <c r="V7" s="4">
        <v>0.39</v>
      </c>
    </row>
    <row r="8" spans="1:22" ht="75" x14ac:dyDescent="0.25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1">
        <f t="shared" si="2"/>
        <v>246</v>
      </c>
      <c r="O8" s="1" t="b">
        <f t="shared" si="1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245</v>
      </c>
      <c r="V8" s="4">
        <v>0.09</v>
      </c>
    </row>
    <row r="9" spans="1:22" ht="75" x14ac:dyDescent="0.25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1">
        <f t="shared" si="2"/>
        <v>246</v>
      </c>
      <c r="O9" s="1" t="b">
        <f t="shared" si="1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238</v>
      </c>
      <c r="V9" s="4">
        <v>0.11</v>
      </c>
    </row>
    <row r="10" spans="1:22" ht="75" x14ac:dyDescent="0.25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1">
        <f t="shared" si="2"/>
        <v>246</v>
      </c>
      <c r="O10" s="1" t="b">
        <f t="shared" si="1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247</v>
      </c>
      <c r="V10" s="4">
        <v>0</v>
      </c>
    </row>
    <row r="11" spans="1:22" ht="75" x14ac:dyDescent="0.25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1">
        <f t="shared" si="2"/>
        <v>246</v>
      </c>
      <c r="O11" s="1" t="b">
        <f t="shared" si="1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246</v>
      </c>
      <c r="V11" s="4">
        <v>0.26</v>
      </c>
    </row>
    <row r="12" spans="1:22" ht="75" x14ac:dyDescent="0.25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1">
        <f t="shared" si="2"/>
        <v>247</v>
      </c>
      <c r="O12" s="1" t="b">
        <f t="shared" si="1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239</v>
      </c>
      <c r="V12" s="4">
        <v>0</v>
      </c>
    </row>
    <row r="13" spans="1:22" ht="75" x14ac:dyDescent="0.25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1">
        <f t="shared" si="2"/>
        <v>246</v>
      </c>
      <c r="O13" s="1" t="b">
        <f t="shared" si="1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241</v>
      </c>
      <c r="V13" s="4">
        <v>0</v>
      </c>
    </row>
    <row r="14" spans="1:22" ht="75" x14ac:dyDescent="0.25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1">
        <f t="shared" si="2"/>
        <v>246</v>
      </c>
      <c r="O14" s="1" t="b">
        <f t="shared" si="1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248</v>
      </c>
      <c r="V14" s="4">
        <v>0.08</v>
      </c>
    </row>
    <row r="15" spans="1:22" ht="75" x14ac:dyDescent="0.25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1">
        <f t="shared" si="2"/>
        <v>247</v>
      </c>
      <c r="O15" s="1" t="b">
        <f t="shared" si="1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242</v>
      </c>
      <c r="V15" s="4">
        <v>0.01</v>
      </c>
    </row>
    <row r="16" spans="1:22" ht="75" x14ac:dyDescent="0.25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1">
        <f t="shared" si="2"/>
        <v>246</v>
      </c>
      <c r="O16" s="1" t="b">
        <f t="shared" si="1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251</v>
      </c>
      <c r="V16" s="4">
        <v>0.13</v>
      </c>
    </row>
    <row r="17" spans="1:22" ht="75" x14ac:dyDescent="0.25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1">
        <f t="shared" si="2"/>
        <v>246</v>
      </c>
      <c r="O17" s="1" t="b">
        <f t="shared" si="1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243</v>
      </c>
      <c r="V17" s="4">
        <v>0</v>
      </c>
    </row>
    <row r="18" spans="1:22" ht="75" x14ac:dyDescent="0.25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1">
        <f t="shared" si="2"/>
        <v>246</v>
      </c>
      <c r="O18" s="1" t="b">
        <f t="shared" si="1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225</v>
      </c>
      <c r="V18" s="4">
        <v>0</v>
      </c>
    </row>
    <row r="19" spans="1:22" ht="75" x14ac:dyDescent="0.25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1">
        <f t="shared" si="2"/>
        <v>246</v>
      </c>
      <c r="O19" s="1" t="b">
        <f t="shared" si="1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226</v>
      </c>
      <c r="V19" s="4">
        <v>0</v>
      </c>
    </row>
    <row r="20" spans="1:22" ht="75" x14ac:dyDescent="0.25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1">
        <f t="shared" si="2"/>
        <v>246</v>
      </c>
      <c r="O20" s="1" t="b">
        <f t="shared" si="1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227</v>
      </c>
      <c r="V20" s="4">
        <v>0.01</v>
      </c>
    </row>
    <row r="21" spans="1:22" ht="75" x14ac:dyDescent="0.25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1">
        <f t="shared" si="2"/>
        <v>246</v>
      </c>
      <c r="O21" s="1" t="b">
        <f t="shared" si="1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229</v>
      </c>
      <c r="V21" s="4">
        <v>0.02</v>
      </c>
    </row>
    <row r="22" spans="1:22" ht="75" x14ac:dyDescent="0.25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1">
        <f t="shared" si="2"/>
        <v>246</v>
      </c>
      <c r="O22" s="1" t="b">
        <f t="shared" si="1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228</v>
      </c>
      <c r="V22" s="4">
        <v>0.01</v>
      </c>
    </row>
    <row r="23" spans="1:22" ht="75" x14ac:dyDescent="0.25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1">
        <f t="shared" si="2"/>
        <v>250</v>
      </c>
      <c r="O23" s="1" t="b">
        <f t="shared" si="1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233</v>
      </c>
      <c r="V23" s="4">
        <v>0.01</v>
      </c>
    </row>
    <row r="24" spans="1:22" ht="75" x14ac:dyDescent="0.25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1">
        <f t="shared" si="2"/>
        <v>249</v>
      </c>
      <c r="O24" s="1" t="b">
        <f t="shared" si="1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249</v>
      </c>
      <c r="V24" s="4">
        <v>0</v>
      </c>
    </row>
    <row r="25" spans="1:22" ht="75" x14ac:dyDescent="0.25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1">
        <f t="shared" si="2"/>
        <v>249</v>
      </c>
      <c r="O25" s="1" t="b">
        <f t="shared" si="1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250</v>
      </c>
      <c r="V25" s="4">
        <v>0.01</v>
      </c>
    </row>
    <row r="26" spans="1:22" ht="75" x14ac:dyDescent="0.25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1">
        <f t="shared" si="2"/>
        <v>249</v>
      </c>
      <c r="O26" s="1" t="b">
        <f t="shared" si="1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231</v>
      </c>
      <c r="V26" s="4">
        <v>0.01</v>
      </c>
    </row>
    <row r="27" spans="1:22" ht="75" x14ac:dyDescent="0.25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1">
        <f t="shared" si="2"/>
        <v>249</v>
      </c>
      <c r="O27" s="1" t="b">
        <f t="shared" si="1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230</v>
      </c>
      <c r="V27" s="4">
        <v>0.01</v>
      </c>
    </row>
    <row r="28" spans="1:22" ht="75" x14ac:dyDescent="0.25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1">
        <f t="shared" si="2"/>
        <v>249</v>
      </c>
      <c r="O28" s="1" t="b">
        <f t="shared" si="1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232</v>
      </c>
      <c r="V28" s="4">
        <v>0</v>
      </c>
    </row>
    <row r="29" spans="1:22" ht="75" x14ac:dyDescent="0.25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1">
        <f t="shared" si="2"/>
        <v>249</v>
      </c>
      <c r="O29" s="1" t="b">
        <f t="shared" si="1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252</v>
      </c>
      <c r="V29" s="4">
        <v>0.05</v>
      </c>
    </row>
    <row r="30" spans="1:22" ht="75" x14ac:dyDescent="0.25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1">
        <f t="shared" si="2"/>
        <v>249</v>
      </c>
      <c r="O30" s="1" t="b">
        <f t="shared" si="1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253</v>
      </c>
      <c r="V30" s="4">
        <v>0</v>
      </c>
    </row>
    <row r="31" spans="1:22" ht="60" x14ac:dyDescent="0.25">
      <c r="A31" s="1" t="s">
        <v>184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144</v>
      </c>
      <c r="J31" s="2" t="s">
        <v>145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1">
        <f t="shared" si="2"/>
        <v>241</v>
      </c>
      <c r="O31" s="1" t="b">
        <f t="shared" si="1"/>
        <v>1</v>
      </c>
      <c r="P31" s="1" t="b">
        <v>0</v>
      </c>
      <c r="Q31" s="1" t="b">
        <v>0</v>
      </c>
      <c r="T31" s="10">
        <v>45971</v>
      </c>
    </row>
    <row r="32" spans="1:22" ht="75" x14ac:dyDescent="0.25">
      <c r="A32" s="1" t="s">
        <v>185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146</v>
      </c>
      <c r="J32" s="2" t="s">
        <v>147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1">
        <f t="shared" si="2"/>
        <v>248</v>
      </c>
      <c r="O32" s="1" t="b">
        <f t="shared" si="1"/>
        <v>1</v>
      </c>
      <c r="P32" s="1" t="b">
        <v>0</v>
      </c>
      <c r="Q32" s="1" t="b">
        <v>0</v>
      </c>
      <c r="T32" s="10">
        <v>45971</v>
      </c>
      <c r="U32" s="2" t="s">
        <v>294</v>
      </c>
      <c r="V32" s="4">
        <v>0.01</v>
      </c>
    </row>
    <row r="33" spans="1:22" ht="75" x14ac:dyDescent="0.25">
      <c r="A33" s="1" t="s">
        <v>186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148</v>
      </c>
      <c r="J33" s="2" t="s">
        <v>149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1">
        <f t="shared" si="2"/>
        <v>242</v>
      </c>
      <c r="O33" s="1" t="b">
        <f t="shared" si="1"/>
        <v>1</v>
      </c>
      <c r="P33" s="1" t="b">
        <v>0</v>
      </c>
      <c r="Q33" s="1" t="b">
        <v>0</v>
      </c>
      <c r="T33" s="10">
        <v>45971</v>
      </c>
      <c r="U33" s="2" t="s">
        <v>295</v>
      </c>
      <c r="V33" s="4">
        <v>0</v>
      </c>
    </row>
    <row r="34" spans="1:22" ht="60" x14ac:dyDescent="0.25">
      <c r="A34" s="1" t="s">
        <v>187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150</v>
      </c>
      <c r="J34" s="2" t="s">
        <v>151</v>
      </c>
      <c r="K34" s="1" t="b">
        <v>1</v>
      </c>
      <c r="L34" s="2" t="s">
        <v>125</v>
      </c>
      <c r="M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1">
        <f t="shared" si="2"/>
        <v>240</v>
      </c>
      <c r="O34" s="1" t="b">
        <f t="shared" si="1"/>
        <v>1</v>
      </c>
      <c r="P34" s="1" t="b">
        <v>0</v>
      </c>
      <c r="Q34" s="1" t="b">
        <v>0</v>
      </c>
      <c r="T34" s="10">
        <v>45971</v>
      </c>
      <c r="U34" s="2" t="s">
        <v>287</v>
      </c>
      <c r="V34" s="4">
        <v>0.14000000000000001</v>
      </c>
    </row>
    <row r="35" spans="1:22" ht="75" x14ac:dyDescent="0.25">
      <c r="A35" s="1" t="s">
        <v>188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152</v>
      </c>
      <c r="J35" s="2" t="s">
        <v>153</v>
      </c>
      <c r="K35" s="1" t="b">
        <v>1</v>
      </c>
      <c r="L35" s="2" t="s">
        <v>125</v>
      </c>
      <c r="M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1">
        <f t="shared" si="2"/>
        <v>246</v>
      </c>
      <c r="O35" s="1" t="b">
        <f t="shared" si="1"/>
        <v>1</v>
      </c>
      <c r="P35" s="1" t="b">
        <v>0</v>
      </c>
      <c r="Q35" s="1" t="b">
        <v>0</v>
      </c>
      <c r="T35" s="10">
        <v>45971</v>
      </c>
      <c r="U35" s="2" t="s">
        <v>288</v>
      </c>
      <c r="V35" s="4">
        <v>0.01</v>
      </c>
    </row>
    <row r="36" spans="1:22" ht="75" x14ac:dyDescent="0.25">
      <c r="A36" s="1" t="s">
        <v>189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154</v>
      </c>
      <c r="J36" s="2" t="s">
        <v>155</v>
      </c>
      <c r="K36" s="1" t="b">
        <v>1</v>
      </c>
      <c r="L36" s="2" t="s">
        <v>125</v>
      </c>
      <c r="M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1">
        <f t="shared" si="2"/>
        <v>244</v>
      </c>
      <c r="O36" s="1" t="b">
        <f t="shared" si="1"/>
        <v>1</v>
      </c>
      <c r="P36" s="1" t="b">
        <v>0</v>
      </c>
      <c r="Q36" s="1" t="b">
        <v>0</v>
      </c>
      <c r="T36" s="10">
        <v>45971</v>
      </c>
      <c r="U36" s="2" t="s">
        <v>289</v>
      </c>
      <c r="V36" s="4">
        <v>0</v>
      </c>
    </row>
    <row r="37" spans="1:22" ht="75" x14ac:dyDescent="0.25">
      <c r="A37" s="1" t="s">
        <v>190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156</v>
      </c>
      <c r="J37" s="2" t="s">
        <v>157</v>
      </c>
      <c r="K37" s="1" t="b">
        <v>1</v>
      </c>
      <c r="L37" s="2" t="s">
        <v>126</v>
      </c>
      <c r="M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1">
        <f t="shared" si="2"/>
        <v>247</v>
      </c>
      <c r="O37" s="1" t="b">
        <f t="shared" si="1"/>
        <v>1</v>
      </c>
      <c r="P37" s="1" t="b">
        <v>0</v>
      </c>
      <c r="Q37" s="1" t="b">
        <v>0</v>
      </c>
      <c r="T37" s="10">
        <v>45971</v>
      </c>
      <c r="U37" s="2" t="s">
        <v>290</v>
      </c>
      <c r="V37" s="4">
        <v>0.12</v>
      </c>
    </row>
    <row r="38" spans="1:22" ht="60" x14ac:dyDescent="0.25">
      <c r="A38" s="1" t="s">
        <v>191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158</v>
      </c>
      <c r="J38" s="2" t="s">
        <v>159</v>
      </c>
      <c r="K38" s="1" t="b">
        <v>1</v>
      </c>
      <c r="L38" s="2" t="s">
        <v>125</v>
      </c>
      <c r="M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1">
        <f t="shared" si="2"/>
        <v>237</v>
      </c>
      <c r="O38" s="1" t="b">
        <f t="shared" si="1"/>
        <v>1</v>
      </c>
      <c r="P38" s="1" t="b">
        <v>0</v>
      </c>
      <c r="Q38" s="1" t="b">
        <v>0</v>
      </c>
      <c r="T38" s="10">
        <v>45971</v>
      </c>
      <c r="U38" s="2" t="s">
        <v>292</v>
      </c>
      <c r="V38" s="4">
        <v>0.11</v>
      </c>
    </row>
    <row r="39" spans="1:22" ht="60" x14ac:dyDescent="0.25">
      <c r="A39" s="1" t="s">
        <v>192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160</v>
      </c>
      <c r="J39" s="2" t="s">
        <v>161</v>
      </c>
      <c r="K39" s="1" t="b">
        <v>1</v>
      </c>
      <c r="L39" s="2" t="s">
        <v>125</v>
      </c>
      <c r="M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1">
        <f t="shared" si="2"/>
        <v>238</v>
      </c>
      <c r="O39" s="1" t="b">
        <f t="shared" si="1"/>
        <v>1</v>
      </c>
      <c r="P39" s="1" t="b">
        <v>0</v>
      </c>
      <c r="Q39" s="1" t="b">
        <v>0</v>
      </c>
      <c r="T39" s="10">
        <v>45971</v>
      </c>
      <c r="U39" s="2" t="s">
        <v>291</v>
      </c>
      <c r="V39" s="4">
        <v>0.05</v>
      </c>
    </row>
    <row r="40" spans="1:22" ht="75" x14ac:dyDescent="0.25">
      <c r="A40" s="1" t="s">
        <v>193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162</v>
      </c>
      <c r="J40" s="2" t="s">
        <v>163</v>
      </c>
      <c r="K40" s="1" t="b">
        <v>1</v>
      </c>
      <c r="L40" s="2" t="s">
        <v>125</v>
      </c>
      <c r="M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1">
        <f t="shared" si="2"/>
        <v>248</v>
      </c>
      <c r="O40" s="1" t="b">
        <f t="shared" si="1"/>
        <v>1</v>
      </c>
      <c r="P40" s="1" t="b">
        <v>0</v>
      </c>
      <c r="Q40" s="1" t="b">
        <v>0</v>
      </c>
      <c r="T40" s="10">
        <v>45971</v>
      </c>
      <c r="U40" s="2" t="s">
        <v>293</v>
      </c>
      <c r="V40" s="4">
        <v>0.01</v>
      </c>
    </row>
    <row r="41" spans="1:22" ht="75" x14ac:dyDescent="0.25">
      <c r="A41" s="1" t="s">
        <v>194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164</v>
      </c>
      <c r="J41" s="2" t="s">
        <v>165</v>
      </c>
      <c r="K41" s="1" t="b">
        <v>1</v>
      </c>
      <c r="L41" s="2" t="s">
        <v>125</v>
      </c>
      <c r="M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1">
        <f t="shared" si="2"/>
        <v>246</v>
      </c>
      <c r="O41" s="1" t="b">
        <f t="shared" si="1"/>
        <v>1</v>
      </c>
      <c r="P41" s="1" t="b">
        <v>0</v>
      </c>
      <c r="Q41" s="1" t="b">
        <v>0</v>
      </c>
      <c r="T41" s="10">
        <v>45972</v>
      </c>
    </row>
    <row r="42" spans="1:22" ht="60" x14ac:dyDescent="0.25">
      <c r="A42" s="1" t="s">
        <v>195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166</v>
      </c>
      <c r="J42" s="2" t="s">
        <v>167</v>
      </c>
      <c r="K42" s="1" t="b">
        <v>1</v>
      </c>
      <c r="L42" s="2" t="s">
        <v>125</v>
      </c>
      <c r="M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1">
        <f t="shared" si="2"/>
        <v>241</v>
      </c>
      <c r="O42" s="1" t="b">
        <f t="shared" si="1"/>
        <v>1</v>
      </c>
      <c r="P42" s="1" t="b">
        <v>0</v>
      </c>
      <c r="Q42" s="1" t="b">
        <v>0</v>
      </c>
      <c r="T42" s="10">
        <v>45972</v>
      </c>
    </row>
    <row r="43" spans="1:22" ht="60" x14ac:dyDescent="0.25">
      <c r="A43" s="1" t="s">
        <v>196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168</v>
      </c>
      <c r="J43" s="2" t="s">
        <v>169</v>
      </c>
      <c r="K43" s="1" t="b">
        <v>1</v>
      </c>
      <c r="L43" s="2" t="s">
        <v>125</v>
      </c>
      <c r="M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1">
        <f t="shared" si="2"/>
        <v>233</v>
      </c>
      <c r="O43" s="1" t="b">
        <f t="shared" si="1"/>
        <v>1</v>
      </c>
      <c r="P43" s="1" t="b">
        <v>0</v>
      </c>
      <c r="Q43" s="1" t="b">
        <v>0</v>
      </c>
      <c r="T43" s="10">
        <v>45972</v>
      </c>
    </row>
    <row r="44" spans="1:22" ht="60" x14ac:dyDescent="0.25">
      <c r="A44" s="1" t="s">
        <v>197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170</v>
      </c>
      <c r="J44" s="2" t="s">
        <v>171</v>
      </c>
      <c r="K44" s="1" t="b">
        <v>1</v>
      </c>
      <c r="L44" s="2" t="s">
        <v>125</v>
      </c>
      <c r="M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1">
        <f t="shared" si="2"/>
        <v>234</v>
      </c>
      <c r="O44" s="1" t="b">
        <f t="shared" si="1"/>
        <v>1</v>
      </c>
      <c r="P44" s="1" t="b">
        <v>0</v>
      </c>
      <c r="Q44" s="1" t="b">
        <v>0</v>
      </c>
      <c r="T44" s="10">
        <v>45972</v>
      </c>
    </row>
    <row r="45" spans="1:22" ht="60" x14ac:dyDescent="0.25">
      <c r="A45" s="1" t="s">
        <v>198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172</v>
      </c>
      <c r="J45" s="2" t="s">
        <v>173</v>
      </c>
      <c r="K45" s="1" t="b">
        <v>1</v>
      </c>
      <c r="L45" s="2" t="s">
        <v>125</v>
      </c>
      <c r="M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1">
        <f t="shared" si="2"/>
        <v>242</v>
      </c>
      <c r="O45" s="1" t="b">
        <f t="shared" si="1"/>
        <v>1</v>
      </c>
      <c r="P45" s="1" t="b">
        <v>0</v>
      </c>
      <c r="Q45" s="1" t="b">
        <v>0</v>
      </c>
      <c r="T45" s="10">
        <v>45972</v>
      </c>
    </row>
    <row r="46" spans="1:22" ht="75" x14ac:dyDescent="0.25">
      <c r="A46" s="1" t="s">
        <v>199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174</v>
      </c>
      <c r="J46" s="2" t="s">
        <v>175</v>
      </c>
      <c r="K46" s="1" t="b">
        <v>1</v>
      </c>
      <c r="L46" s="2" t="s">
        <v>126</v>
      </c>
      <c r="M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1">
        <f t="shared" si="2"/>
        <v>247</v>
      </c>
      <c r="O46" s="1" t="b">
        <f t="shared" si="1"/>
        <v>1</v>
      </c>
      <c r="P46" s="1" t="b">
        <v>0</v>
      </c>
      <c r="Q46" s="1" t="b">
        <v>0</v>
      </c>
      <c r="T46" s="10">
        <v>45972</v>
      </c>
    </row>
    <row r="47" spans="1:22" ht="75" x14ac:dyDescent="0.25">
      <c r="A47" s="1" t="s">
        <v>200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176</v>
      </c>
      <c r="J47" s="2" t="s">
        <v>177</v>
      </c>
      <c r="K47" s="1" t="b">
        <v>1</v>
      </c>
      <c r="L47" s="2" t="s">
        <v>125</v>
      </c>
      <c r="M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1">
        <f t="shared" si="2"/>
        <v>247</v>
      </c>
      <c r="O47" s="1" t="b">
        <f t="shared" si="1"/>
        <v>1</v>
      </c>
      <c r="P47" s="1" t="b">
        <v>0</v>
      </c>
      <c r="Q47" s="1" t="b">
        <v>0</v>
      </c>
      <c r="T47" s="10">
        <v>45972</v>
      </c>
    </row>
    <row r="48" spans="1:22" ht="60" x14ac:dyDescent="0.25">
      <c r="A48" s="1" t="s">
        <v>201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178</v>
      </c>
      <c r="J48" s="2" t="s">
        <v>179</v>
      </c>
      <c r="K48" s="1" t="b">
        <v>1</v>
      </c>
      <c r="L48" s="2" t="s">
        <v>125</v>
      </c>
      <c r="M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1">
        <f t="shared" si="2"/>
        <v>241</v>
      </c>
      <c r="O48" s="1" t="b">
        <f t="shared" si="1"/>
        <v>1</v>
      </c>
      <c r="P48" s="1" t="b">
        <v>0</v>
      </c>
      <c r="Q48" s="1" t="b">
        <v>0</v>
      </c>
      <c r="T48" s="10">
        <v>45972</v>
      </c>
    </row>
    <row r="49" spans="1:20" ht="60" x14ac:dyDescent="0.25">
      <c r="A49" s="1" t="s">
        <v>202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180</v>
      </c>
      <c r="J49" s="2" t="s">
        <v>181</v>
      </c>
      <c r="K49" s="1" t="b">
        <v>1</v>
      </c>
      <c r="L49" s="2" t="s">
        <v>125</v>
      </c>
      <c r="M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1">
        <f t="shared" si="2"/>
        <v>242</v>
      </c>
      <c r="O49" s="1" t="b">
        <f t="shared" si="1"/>
        <v>1</v>
      </c>
      <c r="P49" s="1" t="b">
        <v>0</v>
      </c>
      <c r="Q49" s="1" t="b">
        <v>0</v>
      </c>
      <c r="T49" s="10">
        <v>45972</v>
      </c>
    </row>
    <row r="50" spans="1:20" ht="75" x14ac:dyDescent="0.25">
      <c r="A50" s="1" t="s">
        <v>203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182</v>
      </c>
      <c r="J50" s="2" t="s">
        <v>183</v>
      </c>
      <c r="K50" s="1" t="b">
        <v>1</v>
      </c>
      <c r="L50" s="2" t="s">
        <v>125</v>
      </c>
      <c r="M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1">
        <f t="shared" si="2"/>
        <v>245</v>
      </c>
      <c r="O50" s="1" t="b">
        <f t="shared" si="1"/>
        <v>1</v>
      </c>
      <c r="P50" s="1" t="b">
        <v>0</v>
      </c>
      <c r="Q50" s="1" t="b">
        <v>0</v>
      </c>
      <c r="T50" s="10">
        <v>45972</v>
      </c>
    </row>
  </sheetData>
  <autoFilter ref="A1:V50" xr:uid="{00000000-0001-0000-0100-000000000000}"/>
  <phoneticPr fontId="1" type="noConversion"/>
  <conditionalFormatting sqref="K1:L1048576">
    <cfRule type="cellIs" dxfId="9" priority="14" operator="equal">
      <formula>TRUE</formula>
    </cfRule>
    <cfRule type="cellIs" dxfId="8" priority="15" operator="equal">
      <formula>FALSE</formula>
    </cfRule>
    <cfRule type="containsBlanks" dxfId="7" priority="15">
      <formula>LEN(TRIM(K1))=0</formula>
    </cfRule>
  </conditionalFormatting>
  <conditionalFormatting sqref="O2:O50">
    <cfRule type="containsBlanks" dxfId="6" priority="7">
      <formula>LEN(TRIM(O2))=0</formula>
    </cfRule>
  </conditionalFormatting>
  <conditionalFormatting sqref="O2:S2 O3:Q30 O31:O50 R3:S22">
    <cfRule type="cellIs" dxfId="5" priority="8" operator="equal">
      <formula>FALSE</formula>
    </cfRule>
    <cfRule type="cellIs" dxfId="4" priority="16" operator="equal">
      <formula>TRUE</formula>
    </cfRule>
  </conditionalFormatting>
  <conditionalFormatting sqref="P31:Q50">
    <cfRule type="cellIs" dxfId="3" priority="4" operator="equal">
      <formula>FALSE</formula>
    </cfRule>
    <cfRule type="cellIs" dxfId="2" priority="5" operator="equal">
      <formula>TRUE</formula>
    </cfRule>
  </conditionalFormatting>
  <conditionalFormatting sqref="R1:S1048576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1:V104857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3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6.42578125" style="1" bestFit="1" customWidth="1"/>
    <col min="2" max="3" width="14.42578125" style="1" customWidth="1"/>
    <col min="4" max="4" width="78.42578125" style="1" customWidth="1"/>
    <col min="5" max="5" width="44.140625" style="1" customWidth="1"/>
    <col min="6" max="6" width="93.28515625" style="1" customWidth="1"/>
    <col min="7" max="7" width="10.85546875" style="1" bestFit="1" customWidth="1"/>
    <col min="8" max="8" width="41" style="1" customWidth="1"/>
    <col min="9" max="9" width="10.42578125" style="1" bestFit="1" customWidth="1"/>
    <col min="10" max="10" width="10.140625" style="1" bestFit="1" customWidth="1"/>
    <col min="11" max="1027" width="9.140625" style="1"/>
  </cols>
  <sheetData>
    <row r="1" spans="1:10" x14ac:dyDescent="0.25">
      <c r="A1" s="1" t="s">
        <v>0</v>
      </c>
      <c r="B1" s="1" t="s">
        <v>280</v>
      </c>
      <c r="C1" s="1" t="s">
        <v>97</v>
      </c>
      <c r="D1" s="1" t="s">
        <v>1</v>
      </c>
      <c r="E1" s="1" t="s">
        <v>2</v>
      </c>
      <c r="F1" s="1" t="s">
        <v>3</v>
      </c>
      <c r="G1" s="1" t="s">
        <v>258</v>
      </c>
      <c r="H1" s="1" t="s">
        <v>257</v>
      </c>
      <c r="I1" s="1" t="s">
        <v>132</v>
      </c>
      <c r="J1" s="1" t="s">
        <v>133</v>
      </c>
    </row>
    <row r="2" spans="1:10" ht="105" x14ac:dyDescent="0.25">
      <c r="A2" s="1" t="s">
        <v>4</v>
      </c>
      <c r="B2" s="1" t="s">
        <v>5</v>
      </c>
      <c r="C2" s="1" t="s">
        <v>283</v>
      </c>
      <c r="D2" s="2" t="s">
        <v>6</v>
      </c>
      <c r="E2" s="2" t="s">
        <v>7</v>
      </c>
      <c r="F2" s="2" t="s">
        <v>8</v>
      </c>
      <c r="G2" s="2" t="s">
        <v>256</v>
      </c>
      <c r="H2" s="2" t="s">
        <v>254</v>
      </c>
      <c r="I2" s="1">
        <v>0.55449599999999999</v>
      </c>
      <c r="J2" s="1">
        <v>0.37068000000000001</v>
      </c>
    </row>
    <row r="3" spans="1:10" ht="120" x14ac:dyDescent="0.25">
      <c r="A3" s="1" t="s">
        <v>282</v>
      </c>
      <c r="B3" s="1" t="s">
        <v>281</v>
      </c>
      <c r="C3" s="1" t="s">
        <v>284</v>
      </c>
      <c r="D3" s="2" t="s">
        <v>255</v>
      </c>
      <c r="F3" s="2" t="s">
        <v>259</v>
      </c>
      <c r="G3" s="2" t="s">
        <v>256</v>
      </c>
      <c r="H3" s="2" t="s">
        <v>254</v>
      </c>
      <c r="I3" s="1">
        <v>0.79488899999999996</v>
      </c>
      <c r="J3" s="1">
        <v>0.72998799999999997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5"/>
  <sheetViews>
    <sheetView workbookViewId="0">
      <selection activeCell="E7" sqref="E7"/>
    </sheetView>
  </sheetViews>
  <sheetFormatPr defaultColWidth="9.140625" defaultRowHeight="15" x14ac:dyDescent="0.25"/>
  <cols>
    <col min="1" max="1" width="9.140625" style="4"/>
    <col min="2" max="2" width="53" style="2" customWidth="1"/>
    <col min="3" max="16384" width="9.140625" style="1"/>
  </cols>
  <sheetData>
    <row r="1" spans="1:2" x14ac:dyDescent="0.25">
      <c r="A1" s="3" t="s">
        <v>94</v>
      </c>
      <c r="B1" s="6" t="s">
        <v>95</v>
      </c>
    </row>
    <row r="2" spans="1:2" ht="60" x14ac:dyDescent="0.25">
      <c r="A2" s="4">
        <v>1</v>
      </c>
      <c r="B2" s="2" t="s">
        <v>93</v>
      </c>
    </row>
    <row r="3" spans="1:2" ht="75" x14ac:dyDescent="0.25">
      <c r="A3" s="4">
        <v>2</v>
      </c>
      <c r="B3" s="2" t="s">
        <v>111</v>
      </c>
    </row>
    <row r="4" spans="1:2" x14ac:dyDescent="0.25">
      <c r="A4" s="4" t="s">
        <v>283</v>
      </c>
      <c r="B4" s="2" t="s">
        <v>285</v>
      </c>
    </row>
    <row r="5" spans="1:2" x14ac:dyDescent="0.25">
      <c r="A5" s="4" t="s">
        <v>284</v>
      </c>
      <c r="B5" s="2" t="s">
        <v>286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1"/>
  <sheetViews>
    <sheetView workbookViewId="0">
      <selection activeCell="A22" sqref="A22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45968</v>
      </c>
    </row>
    <row r="4" spans="1:3" x14ac:dyDescent="0.25">
      <c r="A4" t="s">
        <v>17</v>
      </c>
      <c r="B4" t="s">
        <v>18</v>
      </c>
      <c r="C4" t="s">
        <v>134</v>
      </c>
    </row>
    <row r="5" spans="1:3" x14ac:dyDescent="0.25">
      <c r="A5" t="s">
        <v>43</v>
      </c>
      <c r="B5" t="s">
        <v>51</v>
      </c>
      <c r="C5" t="s">
        <v>135</v>
      </c>
    </row>
    <row r="6" spans="1:3" x14ac:dyDescent="0.25">
      <c r="A6" t="s">
        <v>45</v>
      </c>
      <c r="B6" t="s">
        <v>51</v>
      </c>
      <c r="C6" t="s">
        <v>136</v>
      </c>
    </row>
    <row r="7" spans="1:3" x14ac:dyDescent="0.25">
      <c r="A7" t="s">
        <v>46</v>
      </c>
      <c r="B7" t="s">
        <v>51</v>
      </c>
      <c r="C7" t="s">
        <v>137</v>
      </c>
    </row>
    <row r="8" spans="1:3" x14ac:dyDescent="0.25">
      <c r="A8" t="s">
        <v>53</v>
      </c>
      <c r="B8" t="s">
        <v>51</v>
      </c>
      <c r="C8" t="s">
        <v>138</v>
      </c>
    </row>
    <row r="9" spans="1:3" x14ac:dyDescent="0.25">
      <c r="A9" t="s">
        <v>70</v>
      </c>
      <c r="B9" t="s">
        <v>51</v>
      </c>
      <c r="C9" t="s">
        <v>139</v>
      </c>
    </row>
    <row r="10" spans="1:3" x14ac:dyDescent="0.25">
      <c r="A10" t="s">
        <v>102</v>
      </c>
      <c r="B10" t="s">
        <v>109</v>
      </c>
      <c r="C10" t="s">
        <v>140</v>
      </c>
    </row>
    <row r="11" spans="1:3" x14ac:dyDescent="0.25">
      <c r="A11" t="s">
        <v>103</v>
      </c>
      <c r="B11" t="s">
        <v>109</v>
      </c>
      <c r="C11" t="s">
        <v>141</v>
      </c>
    </row>
    <row r="12" spans="1:3" x14ac:dyDescent="0.25">
      <c r="A12" t="s">
        <v>107</v>
      </c>
      <c r="B12" t="s">
        <v>109</v>
      </c>
      <c r="C12" t="s">
        <v>142</v>
      </c>
    </row>
    <row r="13" spans="1:3" x14ac:dyDescent="0.25">
      <c r="A13" t="s">
        <v>108</v>
      </c>
      <c r="B13" t="s">
        <v>109</v>
      </c>
      <c r="C13" t="s">
        <v>143</v>
      </c>
    </row>
    <row r="22" spans="1:1" x14ac:dyDescent="0.25">
      <c r="A22" t="str">
        <f>_xlfn.CONCAT("&gt;",A4,"|anti-Nipha virus glycoprotein G Fv sequence|Designed by Silico Biosciences using: ",B4,"\n",C4)</f>
        <v>&gt;sbio-nipahgpg-001|anti-Nipha virus glycoprotein G Fv sequence|Designed by Silico Biosciences using: peleke-1\nQVQLVESGGGVVQPGRSLRLSCAASGFTFSSYGMHWVRQAPGKGLEWVAVISYDGSKKYYADSVKGRFTISRDNSKNTLYLQMNSLRAEDTAVYYCARSPFYDSSGYYAMDYWGQGTLVTVSSGGGSGGGSGGGSGGGSDIQLTQSPSSLSASVGDRVTITCRASQGISSYLAWYQQKPGKAPKLLIYAASTLQSGVPSRFSGSGSGTDFTLTISSLQPEDFATYYCQQANSFPPTFGQGTKVEIK</v>
      </c>
    </row>
    <row r="23" spans="1:1" x14ac:dyDescent="0.25">
      <c r="A23" t="str">
        <f t="shared" ref="A23:A31" si="0">_xlfn.CONCAT("&gt;",A5,"|anti-Nipha virus glycoprotein G Fv sequence|Designed by Silico Biosciences using: ",B5,"\n",C5)</f>
        <v>&gt;sbio-nipahgpg-009|anti-Nipha virus glycoprotein G Fv sequence|Designed by Silico Biosciences using: peleke-1 + ProteinMPNN\nAVSLVESGGGTVKPGESVTLSCQASGFNFSKYQWVWVRQAPGKGLEWVGQISPDGSKTRYHPSVAGRFTISRDNSNSTLYLHMSNLRPEDTAVYYCGIIPQDNVHGDYSISHWGQGTLLTVSAGGGSGGGSGGGSGGGSAIKLTQSPKSLSASVGDTVTINCTASRPIGDLLSWYKQKPGKPPQLLIYRSSTLASGVSSRYSGSGSDTNFTLTISSLQSSDFATYYCRQTSRFPITFGEGTTINKK</v>
      </c>
    </row>
    <row r="24" spans="1:1" x14ac:dyDescent="0.25">
      <c r="A24" t="str">
        <f t="shared" si="0"/>
        <v>&gt;sbio-nipahgpg-011|anti-Nipha virus glycoprotein G Fv sequence|Designed by Silico Biosciences using: peleke-1 + ProteinMPNN\nSISLVESGGGTVAPGSSVTLSCQASGFNFSKYSKAWVRQPPGQPLEWVSRISPDGSTKYYHPDVAGRFTISKDNSKSTVYLAMSNLTAADTATYYCGIIPGDNTHGDYAMSHWGQGTLLTVSAGGGSGGGSGGGSGGGSAITLTQSPSSLSASVGDTVTISCTASRPIGDKLSWYKQKPGQPPQLLIYNASTLAPGVSSRYSGSGSDTSFTLTISSLQEDDFATYYCQQTYTLPITFGQGTTISKK</v>
      </c>
    </row>
    <row r="25" spans="1:1" x14ac:dyDescent="0.25">
      <c r="A25" t="str">
        <f t="shared" si="0"/>
        <v>&gt;sbio-nipahgpg-012|anti-Nipha virus glycoprotein G Fv sequence|Designed by Silico Biosciences using: peleke-1 + ProteinMPNN\nGVSLTESGGGTVAPGSSVTLSCKASGFNFSKYSHAWVRQAPGQGLTWVGEISPDGSKTRYASSVAGRFTISRDNSNSTVYLQMSSLTPSDTATYYCGIIPGDSVHGERSMSHWGQGTLLTVSAGGGSGGGSGGGSGGGSAITLTQSPSSLSASVGDTVTLNCTASRPIGDRLSWYKQKPGQAPQLLIYRASTLAPGVSSRYSGSGSDTQFTLTISSLQSDDFATYYCQQTSSYPVTFGQGTTITKK</v>
      </c>
    </row>
    <row r="26" spans="1:1" x14ac:dyDescent="0.25">
      <c r="A26" t="str">
        <f t="shared" si="0"/>
        <v>&gt;sbio-nipahgpg-015|anti-Nipha virus glycoprotein G Fv sequence|Designed by Silico Biosciences using: peleke-1 + ProteinMPNN\nGISLVESGGGTVKPGESVTLSCKASGFVFSKYSHAWVRQPPGGPLEWVSQISSDGSVTRYASSVSGRFTISRDNSNSTVYLQMNNLRPSDTATYYCGIIPQDNVHGDYAISHWGQGTLLTVTAGGGSGGGSGGGSGGGSAITLTQSPASLSAKVGDTVTLSCTASRPIGDLLSWYKQKPGQPPQLLIYRASTLAPGVDSRYSGSGSDTSFTLTISSLQPEDFATYYCQQTSRFPITFGQGTTIKQA</v>
      </c>
    </row>
    <row r="27" spans="1:1" x14ac:dyDescent="0.25">
      <c r="A27" t="str">
        <f t="shared" si="0"/>
        <v>&gt;sbio-nipahgpg-017|anti-Nipha virus glycoprotein G Fv sequence|Designed by Silico Biosciences using: peleke-1 + ProteinMPNN\nSIKLTESGGGTVKPGSSVTLSCQASGFNFSKYEVVWVMQKPGQPLQWVGSISPDGSKVRLHPKVKGRFTLSKDNSKNTAYLTMKNLQPEDTATYYCGIIPGGSVHGDRSITHWGQGVELKVVAGGGSGGGSGGGSGGGSMIKLTQSPKSVKAKVGDTVTITCTASEPVDDLVSWYQQKPGQPLRLLIYRSSTLAPGVSSRFSGSGSDTNFTLTISSLQEEDFATYYCMQTSKYPYTFGQGTTLSRA</v>
      </c>
    </row>
    <row r="28" spans="1:1" x14ac:dyDescent="0.25">
      <c r="A28" t="str">
        <f t="shared" si="0"/>
        <v>&gt;sbio-nipahgpg-025|anti-Nipha virus glycoprotein G Fv sequence|Designed by Silico Biosciences using: ProteinMPNN\nGVKLVQSGDLTVKPGGSVTLSCKSEGGSFGNSSVAWVRQRPGGPYEYIGSIIPAYGVSRVSPEYEGRVTISADVANNTAYLTISNLTPEDTATYYCALGPGEVVYAASPFDEKLLTGALSVWGEGTLVTVTGGGSGGGSGGGSITVTQSPSSPSLSVGDTATLTCTLSSSVATSNVAWYKQLPGQPPELLISGGSTRAPGVPSRYSGSGSGTTFTLTISSLQASDFATYYCQVYGENPSFGQGTTLTLK</v>
      </c>
    </row>
    <row r="29" spans="1:1" x14ac:dyDescent="0.25">
      <c r="A29" t="str">
        <f t="shared" si="0"/>
        <v>&gt;sbio-nipahgpg-026|anti-Nipha virus glycoprotein G Fv sequence|Designed by Silico Biosciences using: ProteinMPNN\nAVKLVQSGDQTVAPGGSVTLSCTSSGGSFGNSSVAWVRQRPGGPFEFIGSIIPSLGISRYNSKYKGRVTISSDAANNTAYLTISNLTAADTATYYCALGPGESVFASHPFKEKLLTGALSVWGEGTLVTVSGGGSGGGSGGGSITVTQSPSSPSKSVGDTVTLTCTLSSSVPVSQVAWYKQHPGQPPELLIYGGSTRASGVPSRYSGSGSGTTFTLTISSLQPEDFATYYCQVYGEEPSFGQGTTVTLA</v>
      </c>
    </row>
    <row r="30" spans="1:1" x14ac:dyDescent="0.25">
      <c r="A30" t="str">
        <f t="shared" si="0"/>
        <v>&gt;sbio-nipahgpg-030|anti-Nipha virus glycoprotein G Fv sequence|Designed by Silico Biosciences using: ProteinMPNN\nSISLVQSSDQTVAPGGSVTLSCTSSGGSFGNSGVAWVRQAPGGPPVYIGGIIPATGVSTYNAAFKGRVTISSDSSNNTAYLTISGLTAADTATYYCALGPAENVFASHPFAEDVNLGALSVWGQGTLVTVTGGGSGGGSGGGSITVTESPSSPELSVGETAVLSCTLSSSVPQSNVAWYKQKPGQPPELLIYGGSTRASGVPSRYSGSGSGTTFYLTISSLEPEDFATYYCQVYGTSPSFGQGTTLKLK</v>
      </c>
    </row>
    <row r="31" spans="1:1" x14ac:dyDescent="0.25">
      <c r="A31" t="str">
        <f t="shared" si="0"/>
        <v>&gt;sbio-nipahgpg-031|anti-Nipha virus glycoprotein G Fv sequence|Designed by Silico Biosciences using: ProteinMPNN\nAVSLVESGDQTVAPGGSVTLSCTSSGGSFGNSGVAWVRQAPGGPLEFLGFIIPALGVSKVNSKYEGRVTISSDPANNTAYLTISNLTAADTATYYCGLGTGESVFASSPFDEKLLLGALSVWGQGTKVTVTGGGSGGGSGGGSITVTQSPASPEKKVGETATLTCTLSSAVPKSNVAWYKQKPGQPPELLIYGGSTRASGVPSRYSGSGSGTTFYLTISSLQPEDFATYYCRVYGEEPSFGQGTTLKLK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F9A8A-9767-46C1-B0D1-2A19AD7C2699}">
  <dimension ref="A2:C31"/>
  <sheetViews>
    <sheetView workbookViewId="0">
      <selection activeCell="G3" sqref="G3:G10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45969</v>
      </c>
    </row>
    <row r="4" spans="1:3" x14ac:dyDescent="0.25">
      <c r="A4" t="s">
        <v>22</v>
      </c>
      <c r="B4" t="s">
        <v>18</v>
      </c>
      <c r="C4" t="s">
        <v>204</v>
      </c>
    </row>
    <row r="5" spans="1:3" x14ac:dyDescent="0.25">
      <c r="A5" t="s">
        <v>25</v>
      </c>
      <c r="B5" t="s">
        <v>18</v>
      </c>
      <c r="C5" t="s">
        <v>205</v>
      </c>
    </row>
    <row r="6" spans="1:3" x14ac:dyDescent="0.25">
      <c r="A6" t="s">
        <v>28</v>
      </c>
      <c r="B6" t="s">
        <v>18</v>
      </c>
      <c r="C6" t="s">
        <v>206</v>
      </c>
    </row>
    <row r="7" spans="1:3" x14ac:dyDescent="0.25">
      <c r="A7" t="s">
        <v>31</v>
      </c>
      <c r="B7" t="s">
        <v>18</v>
      </c>
      <c r="C7" t="s">
        <v>207</v>
      </c>
    </row>
    <row r="8" spans="1:3" x14ac:dyDescent="0.25">
      <c r="A8" t="s">
        <v>37</v>
      </c>
      <c r="B8" t="s">
        <v>35</v>
      </c>
      <c r="C8" t="s">
        <v>208</v>
      </c>
    </row>
    <row r="9" spans="1:3" x14ac:dyDescent="0.25">
      <c r="A9" t="s">
        <v>44</v>
      </c>
      <c r="B9" t="s">
        <v>51</v>
      </c>
      <c r="C9" t="s">
        <v>209</v>
      </c>
    </row>
    <row r="10" spans="1:3" x14ac:dyDescent="0.25">
      <c r="A10" t="s">
        <v>47</v>
      </c>
      <c r="B10" t="s">
        <v>51</v>
      </c>
      <c r="C10" t="s">
        <v>210</v>
      </c>
    </row>
    <row r="11" spans="1:3" x14ac:dyDescent="0.25">
      <c r="A11" t="s">
        <v>48</v>
      </c>
      <c r="B11" t="s">
        <v>51</v>
      </c>
      <c r="C11" t="s">
        <v>211</v>
      </c>
    </row>
    <row r="12" spans="1:3" x14ac:dyDescent="0.25">
      <c r="A12" t="s">
        <v>69</v>
      </c>
      <c r="B12" t="s">
        <v>51</v>
      </c>
      <c r="C12" t="s">
        <v>212</v>
      </c>
    </row>
    <row r="13" spans="1:3" x14ac:dyDescent="0.25">
      <c r="A13" t="s">
        <v>71</v>
      </c>
      <c r="B13" t="s">
        <v>51</v>
      </c>
      <c r="C13" t="s">
        <v>213</v>
      </c>
    </row>
    <row r="22" spans="1:1" x14ac:dyDescent="0.25">
      <c r="A22" t="str">
        <f>_xlfn.CONCAT("&gt;",A4,"\n",C4)</f>
        <v>&gt;sbio-nipahgpg-002\nQVQLVESGGGVVQPGKSLRLSCAASGFTFSSYAMSWVRQAPGKGPEWVAFISYDGSNNYYADSVKGRFTISRDNPKNTLYLQMKSLRAEDTAVYYCARWRQRFDMYWGRGTLVTVSSGGGSGGGSGGGSGGGSDIQMTQSPSSLSASVGDRVTITCRASQSISSYLNWYQQKPGKAPKLLIYAASSLQSGVPSRFSGSGSGTDFTLTISSLQPEDFATYYCQQSYSTPYTFGQGTKVEIK</v>
      </c>
    </row>
    <row r="23" spans="1:1" x14ac:dyDescent="0.25">
      <c r="A23" t="str">
        <f t="shared" ref="A23:A31" si="0">_xlfn.CONCAT("&gt;",A5,"\n",C5)</f>
        <v>&gt;sbio-nipahgpg-003\nQVQLQESGPGLVKPSETLSLTCTVSGASIRGYYWSWIRQFPGKELEWIGYVYSGSTENYNPSLKSRVTVTLTDTKNSFSLKLNSVTSEDTAVYYCARGGALIYYDVWGTGTTVTVSSGGGSGGGSGGGSGGGSDIQVTQSPVSLSASVGDRVTITCRASQGIDSLNWFQQRPGKAPKLLIYAASQLTGIAPRFRSGSGSGTDFTLTISSLQPEDFATYYCQQYNIYPATFGQGTKVEIK</v>
      </c>
    </row>
    <row r="24" spans="1:1" x14ac:dyDescent="0.25">
      <c r="A24" t="str">
        <f t="shared" si="0"/>
        <v>&gt;sbio-nipahgpg-004\nEVQLVQSGAEVKKPGESLKISCKGSGYTFSYYWIGWVRQMPGKGLEWMGIIYPGDSDTRYSPSFQGQVTISADKSISTAYLQWSSLKASDTAMYYCARGEGVFDYWGQGTLVTVSSGGGSGGGSGGGSGGGSYTLTQAPSVSASGQSVTISCTGTSRDVGTYWYQQIPGRAPKLLIHDKSENQGKTPGIPDRFSGSKSGNTASLVIIRGLQADDEADYYCNSYHGSGSNIFGGGTKLTVD</v>
      </c>
    </row>
    <row r="25" spans="1:1" x14ac:dyDescent="0.25">
      <c r="A25" t="str">
        <f t="shared" si="0"/>
        <v>&gt;sbio-nipahgpg-005\nEVQLVESGGGLVQPGGSLRLSCAASGFTFSSYWMNWVRQAPGKGLEWVANINQDGGEKYYVDSVKGRFTISRDNAKNSLYLQMNSLRAEDTAIYYCARDVGGGMDVWGQGTTVTVSSGGGSGGGSGGGSGGGSQMTQSPSSLSASVGDRVTITCRASQSVSSAVAWYQQKPGKAPKLLIYSASSLYSGVPSRFSGSRSGTDFTLTISSLQPEDFATYYCQQSSSSLITFGQGTKVEIK</v>
      </c>
    </row>
    <row r="26" spans="1:1" x14ac:dyDescent="0.25">
      <c r="A26" t="str">
        <f t="shared" si="0"/>
        <v>&gt;sbio-nipahgpg-008\nQVQLVESGGGVVQPGRSLRLSCAASGFTFSSYAMSWVRQAPGKGLEWVSAIWSNGGSTYYADSVKGRFTISRDNAKNSLYLQMNSLRAEDTAVYYCARDYGSYGYFDYWGQGTLVTVSSGGGSGGGSGGGSGGGSDIVMTQSPLSLPVTPGEPASISCRSSQSLLYSNGNTYLEWYLQKPGQSPQLLIYLVSKLDSGVPDRFSGSGSGTDFTLKISRVEAEDLGIYYCQQSKEVPYTFGAGTKLEIK</v>
      </c>
    </row>
    <row r="27" spans="1:1" x14ac:dyDescent="0.25">
      <c r="A27" t="str">
        <f t="shared" si="0"/>
        <v>&gt;sbio-nipahgpg-010\nAVSITESGGGTKAPGSSVTLSCKVSGFVFSKYSIAWVRQAPGQGLEWVSQISPDGSTTRYNPAVAGRFTISRDNSNSTAYLQMSNLTPSDTATYYCAIIPQDNEHGDYSLSHWGQGTQLTVSAGGGSGGGSGGGSGGGSAIKLTQSPKSLSAKVGDTVTINCTASAPIGDFLSWYKQKPGQPPQLLIYKSSTLAPGVSSRYSGSGSDTNFTLTISSLQEEDFATYYCQQTATLPITFGEGTTINKK</v>
      </c>
    </row>
    <row r="28" spans="1:1" x14ac:dyDescent="0.25">
      <c r="A28" t="str">
        <f t="shared" si="0"/>
        <v xml:space="preserve">&gt;sbio-nipahgpg-013\nEVSLVESGGGTVKPGESVTLSCQASGFNFSKYRLAWVRQPPGQGLVWVSEISPDGTEVKYHPDVKGRFTASRDNSNSTAYLKMNNLQPSDTATYYCGIIPQDSSHGDYSISHWGQGTQLTVSAGGGSGGGSGGGSGGGSTITLTQSPSSLSASVGDTVTINCTASRPIGDFLSWYKQKPGQPPQLLIYRSSTLASGVSSRYSGSGSDTNFTLTISSLQSDDFATYYCQQTYTLPITFGQGTTLTKK </v>
      </c>
    </row>
    <row r="29" spans="1:1" x14ac:dyDescent="0.25">
      <c r="A29" t="str">
        <f t="shared" si="0"/>
        <v>&gt;sbio-nipahgpg-014\nAVSLVESGGGTYAPGSSVTLSCQGSGFNFSKVRKVWVRQPPGGPLEYVAEISPDGSTTTYASSVAGRFTISKDNSNSTLYLSMSNLTPADTATYYCGLIPGDSEHGDRSISHWGQGTLVTVSAGGGSGGGSGGGSGGGSAITLTQSPSSLSASVGDTVTINCTASQPIGNFLSWYKQKPGQPPQLLIYNASTLAPGVSSRYSGSGSDTNFTLTISSLQSEDFATYYCQQTSRLPVTFGQGTTINKK</v>
      </c>
    </row>
    <row r="30" spans="1:1" x14ac:dyDescent="0.25">
      <c r="A30" t="str">
        <f t="shared" si="0"/>
        <v xml:space="preserve">&gt;sbio-nipahgpg-016\nPVSLVESGGGTVAPGSSVTLTCQASGFNFSKYIVAWVRQPPGQPLRFVAMITPDGSKVWLHPEVEGRFTPSKDNSKNTSYLQLKDLQPEDTATYYCGIIPQGSTHGDYSITHWGQGVVLTVTAGGGSGGGSGGGSGGGSMVTLTQSPSSLSASVGDTVTITCTASSPVDNLMSWYQQPPGQPLRLLIYNASTRAPGVSSRFSGSGSDTNFTLTISSLQASDFATYYCQQTYRLPVTFGQGTTLSAA </v>
      </c>
    </row>
    <row r="31" spans="1:1" x14ac:dyDescent="0.25">
      <c r="A31" t="str">
        <f t="shared" si="0"/>
        <v>&gt;sbio-nipahgpg-018\nAITLTESGGGVVAPGSSVTLTCTASGFNFSKYSMVWVRQPPGGPLQWVAQISPDNSTVRYHPAVEGRFTASKDNSKNTAYLAMSDLEPSDTATYYCGIIPQGSTHNDYSIVHWGQGTELRVVAGGGSGGGSGGGSGGGSMIKLTQSPSSLSAKVGDKVTITCTASSPVDNLVSWYKQPPGGPLQLLIYNSSTRAPGVSSRFKGSGSDTNFTLTIESLQEEDFATYYCQQTYKFPITFGQGTKLTRA</v>
      </c>
    </row>
  </sheetData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5C98-D213-4C3E-A62C-3D471ED52EA4}">
  <dimension ref="A2:C31"/>
  <sheetViews>
    <sheetView workbookViewId="0">
      <selection activeCell="G1" sqref="G1:G9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45970</v>
      </c>
    </row>
    <row r="4" spans="1:3" x14ac:dyDescent="0.25">
      <c r="A4" t="s">
        <v>72</v>
      </c>
      <c r="B4" t="s">
        <v>51</v>
      </c>
      <c r="C4" t="s">
        <v>214</v>
      </c>
    </row>
    <row r="5" spans="1:3" x14ac:dyDescent="0.25">
      <c r="A5" t="s">
        <v>73</v>
      </c>
      <c r="B5" t="s">
        <v>51</v>
      </c>
      <c r="C5" t="s">
        <v>215</v>
      </c>
    </row>
    <row r="6" spans="1:3" x14ac:dyDescent="0.25">
      <c r="A6" t="s">
        <v>74</v>
      </c>
      <c r="B6" t="s">
        <v>51</v>
      </c>
      <c r="C6" t="s">
        <v>216</v>
      </c>
    </row>
    <row r="7" spans="1:3" x14ac:dyDescent="0.25">
      <c r="A7" t="s">
        <v>75</v>
      </c>
      <c r="B7" t="s">
        <v>51</v>
      </c>
      <c r="C7" t="s">
        <v>217</v>
      </c>
    </row>
    <row r="8" spans="1:3" x14ac:dyDescent="0.25">
      <c r="A8" t="s">
        <v>76</v>
      </c>
      <c r="B8" t="s">
        <v>51</v>
      </c>
      <c r="C8" t="s">
        <v>218</v>
      </c>
    </row>
    <row r="9" spans="1:3" x14ac:dyDescent="0.25">
      <c r="A9" t="s">
        <v>101</v>
      </c>
      <c r="B9" t="s">
        <v>109</v>
      </c>
      <c r="C9" t="s">
        <v>219</v>
      </c>
    </row>
    <row r="10" spans="1:3" x14ac:dyDescent="0.25">
      <c r="A10" t="s">
        <v>104</v>
      </c>
      <c r="B10" t="s">
        <v>109</v>
      </c>
      <c r="C10" t="s">
        <v>220</v>
      </c>
    </row>
    <row r="11" spans="1:3" x14ac:dyDescent="0.25">
      <c r="A11" t="s">
        <v>105</v>
      </c>
      <c r="B11" t="s">
        <v>109</v>
      </c>
      <c r="C11" t="s">
        <v>221</v>
      </c>
    </row>
    <row r="12" spans="1:3" x14ac:dyDescent="0.25">
      <c r="A12" t="s">
        <v>106</v>
      </c>
      <c r="B12" t="s">
        <v>109</v>
      </c>
      <c r="C12" t="s">
        <v>222</v>
      </c>
    </row>
    <row r="22" spans="1:1" x14ac:dyDescent="0.25">
      <c r="A22" t="str">
        <f>_xlfn.CONCAT("&gt;",A4,"\n",C4)</f>
        <v>&gt;sbio-nipahgpg-019\nSISLTESGGGTVAPGSSVTLTCTASGFNFSKYSVAWVRQPPGQPLQWVALISPDGSKKWYHPDVKGRATISKDNSKNTSYLTLSNLQPSDTATYYCGIIPGGNIHGDYSMTHWGQGTQLTVVAGGGSGGGSGGGSGGGSMITLTQSPLSLSAKVGDTVTITCTASSPVDDLVSWYQQKPGQPLRLLIRNASERAPGVSSRFSGSGSDTTFTLTISSVQEEDFATYYCQQTSKLPYTFGQGTTLSRA</v>
      </c>
    </row>
    <row r="23" spans="1:1" x14ac:dyDescent="0.25">
      <c r="A23" t="str">
        <f t="shared" ref="A23:A31" si="0">_xlfn.CONCAT("&gt;",A5,"\n",C5)</f>
        <v>&gt;sbio-nipahgpg-020\nAVTLTESGGGTVAPGSSVTLTCTASGFNFSKYILAWVRQAPGQPLEWVASISPDGSKTRYHPAVKGRATASKDNSKNTAYLELKDLRPEDTATYYCGIIPQGSVHGDYSMTHWGQGTELRVEAGGGSGGGSGGGSGGGSPVVLTQSPLSLSAKVGDTVTITCTASSPVDNLVSWYKQAPGQPLQLLIYNATTRAPGVPSRFTGSGSDTTFTLTISSLQPEDFAVYYCQQTYKFPITFGQGTRLTPA</v>
      </c>
    </row>
    <row r="24" spans="1:1" x14ac:dyDescent="0.25">
      <c r="A24" t="str">
        <f t="shared" si="0"/>
        <v>&gt;sbio-nipahgpg-021\nPVKLVESGGGTVAPGSSVTLTCKASGFNFSKYMVQWVRQAPGGAFQWVGLISPDGSTKWYHPDVEGRFTISKDNSKNTAYLEMRNLTPADTAVYYCGIVPQGSVHGDYSITHWGQGVTLTVTAGGGSGGGSGGGSGGGSVVQLTQSPPELSAKVGEKVTITCTASSPVDNLVSWYQQKPGGAPKLLIYNATTLAPGVPSRFSGSGSDTVFTLTIDSLQAEDFATYYCQQTSRLPFTFGQGTVLRPA</v>
      </c>
    </row>
    <row r="25" spans="1:1" x14ac:dyDescent="0.25">
      <c r="A25" t="str">
        <f t="shared" si="0"/>
        <v>&gt;sbio-nipahgpg-022\nAIKLTESGGGTVKPGSSVTLTCQASGFNFSKYIMAWVRQAPGQPLQWVAQISPDNSVKRYHPEVEGRFTASKDNSKNTAYLEMKNLTPADTATYYCAIIPQGSTQGDYSMVHWGQGVELKVVAGGGSGGGSGGGSGGGSPVVLTQSPASLKAAVGDTVTITCTASAPVDNLVSWYKQAPGQPPQLLIYNASTLAPGVPSRFTGSGSDTSFTLTISSLQEEDFATYYCQETSKFPITFGQGTKLEKK</v>
      </c>
    </row>
    <row r="26" spans="1:1" x14ac:dyDescent="0.25">
      <c r="A26" t="str">
        <f t="shared" si="0"/>
        <v>&gt;sbio-nipahgpg-023\nSIKLTESGGGVVAPGESVTLTCTASGFNFSKYEMAWVRQAPGGPLEFVAVISPDGSTTRYHPRVEGRATISRDNSKNTAYLTLRDLTPADTAVYYCGIIPGGSVHGDRALSHWGQGVRLEVRAGGGSGGGSGGGSGGGSMVTLTQSPSSLSAKVGDKVTISCTASEPVDDLVSWYKQAPGGPPQLLISRASTRAPGVPSRFSGSGSDTNFTLTIESLQSSDFATYYCQQTYKFPDTFGQGTTLSEA</v>
      </c>
    </row>
    <row r="27" spans="1:1" x14ac:dyDescent="0.25">
      <c r="A27" t="str">
        <f t="shared" si="0"/>
        <v xml:space="preserve">&gt;sbio-nipahgpg-024\nSVTLVESGDQTVAPGGSVTLSCTSSGGSFGNSGVSWVKQQPGGPLQWIGGIIPSLGISKVSPEYAGRVTISSDSSNNTAYLTISNLTAADTATYYCALGEGEDVFASSPFASNVNLGALSVWGQGTKVTVSGGGSGGGSGGGSITVTQSPSSPSLKVGETATLTCTLSAPVPRSNVAWYKQQPGQPPTLLIYGGSTRAPGVPSRYSGSGSGTTFTLTITALKPEDFATYYCQVYGENPSFGQGTTLKLK </v>
      </c>
    </row>
    <row r="28" spans="1:1" x14ac:dyDescent="0.25">
      <c r="A28" t="str">
        <f t="shared" si="0"/>
        <v>&gt;sbio-nipahgpg-027\nSITLVQSGDVTVAPGGSVTLTCTSSGGSFGNKAVAWVRQRPGGPYEWLGFIIPAYGVSRYNPAYEGRVTISVDSASNTASLTISNLTAADTATYYCALGEGEIVYAASPFDENYKLGALYIWGQGTKVTVSGGGSGGGSGGGSITLTQSPSSPSLSVGETATLTCTASAPVPKSNVAWYKQLPGQPPELLIYGGSTRASGVPSRYSGSGSGTTFTLTISSLTADDFATYYCQVYGENPSFGEGTTLTLK</v>
      </c>
    </row>
    <row r="29" spans="1:1" x14ac:dyDescent="0.25">
      <c r="A29" t="str">
        <f t="shared" si="0"/>
        <v>&gt;sbio-nipahgpg-028\nSVTLVQSGDQTVPIGGSVTLSCTANGGSFGNKGVAWVRQRPGGPYEFLGFIKPAIGESRYHPKYKGRVTISSDVSSNTAYLTISNLTPEDTAVYYCALGEAEDVFAAHPFKTDLLLGALSIWGQGTRVTVTGGGSGGGSGGGSITVTQSPSSPSLSVGETAVLTCTLSQPVPQSQVAWYKQLPGQPPTLLISGGSTRASGVPSRYSGSGSGTTFTLTISSLLPEDFATYYCQVVGKEPSFGQGTTLTLK</v>
      </c>
    </row>
    <row r="30" spans="1:1" x14ac:dyDescent="0.25">
      <c r="A30" t="str">
        <f t="shared" si="0"/>
        <v>&gt;sbio-nipahgpg-029\nSVKLVQSGDQTVPVGGSVTLSCTASGGSFGNYGVAWVRQRPGGPLEYIGSIIPAYGISTVNPKYEGRVTISADPTNNTAYLTISNLTPEDTATYYCALGPGEVVFASSPFDIDVLTGALWVWGEGTKVTVTGGGSGGGSGGGSITVTQSPSSPSLKVGETATLTCTLSAPVAKSNVAWYKQLPGQPPELLIYGGSTRASGVPSRYSGSGSGTTFTLTISSLQPEDFATYYCQVVGKNPSFGQGTLLKLK</v>
      </c>
    </row>
    <row r="31" spans="1:1" x14ac:dyDescent="0.25">
      <c r="A31" t="str">
        <f t="shared" si="0"/>
        <v>&gt;\n</v>
      </c>
    </row>
  </sheetData>
  <pageMargins left="0.7" right="0.7" top="0.75" bottom="0.75" header="0.3" footer="0.3"/>
  <pageSetup orientation="portrait" horizontalDpi="1200" verticalDpi="12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6FDEB-5BB3-48D3-9187-D05B367D0DB3}">
  <dimension ref="A2:C31"/>
  <sheetViews>
    <sheetView workbookViewId="0">
      <selection activeCell="G3" sqref="G3:G10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45971</v>
      </c>
    </row>
    <row r="4" spans="1:3" x14ac:dyDescent="0.25">
      <c r="A4" t="s">
        <v>184</v>
      </c>
      <c r="B4" t="s">
        <v>18</v>
      </c>
      <c r="C4" t="s">
        <v>260</v>
      </c>
    </row>
    <row r="5" spans="1:3" x14ac:dyDescent="0.25">
      <c r="A5" t="s">
        <v>185</v>
      </c>
      <c r="B5" t="s">
        <v>18</v>
      </c>
      <c r="C5" t="s">
        <v>261</v>
      </c>
    </row>
    <row r="6" spans="1:3" x14ac:dyDescent="0.25">
      <c r="A6" t="s">
        <v>186</v>
      </c>
      <c r="B6" t="s">
        <v>18</v>
      </c>
      <c r="C6" t="s">
        <v>262</v>
      </c>
    </row>
    <row r="7" spans="1:3" x14ac:dyDescent="0.25">
      <c r="A7" t="s">
        <v>187</v>
      </c>
      <c r="B7" t="s">
        <v>18</v>
      </c>
      <c r="C7" t="s">
        <v>263</v>
      </c>
    </row>
    <row r="8" spans="1:3" x14ac:dyDescent="0.25">
      <c r="A8" t="s">
        <v>188</v>
      </c>
      <c r="B8" t="s">
        <v>18</v>
      </c>
      <c r="C8" t="s">
        <v>264</v>
      </c>
    </row>
    <row r="9" spans="1:3" x14ac:dyDescent="0.25">
      <c r="A9" t="s">
        <v>189</v>
      </c>
      <c r="B9" t="s">
        <v>18</v>
      </c>
      <c r="C9" t="s">
        <v>265</v>
      </c>
    </row>
    <row r="10" spans="1:3" x14ac:dyDescent="0.25">
      <c r="A10" t="s">
        <v>190</v>
      </c>
      <c r="B10" t="s">
        <v>18</v>
      </c>
      <c r="C10" t="s">
        <v>266</v>
      </c>
    </row>
    <row r="11" spans="1:3" x14ac:dyDescent="0.25">
      <c r="A11" t="s">
        <v>191</v>
      </c>
      <c r="B11" t="s">
        <v>18</v>
      </c>
      <c r="C11" t="s">
        <v>267</v>
      </c>
    </row>
    <row r="12" spans="1:3" x14ac:dyDescent="0.25">
      <c r="A12" t="s">
        <v>192</v>
      </c>
      <c r="B12" t="s">
        <v>18</v>
      </c>
      <c r="C12" t="s">
        <v>268</v>
      </c>
    </row>
    <row r="13" spans="1:3" x14ac:dyDescent="0.25">
      <c r="A13" t="s">
        <v>193</v>
      </c>
      <c r="B13" t="s">
        <v>18</v>
      </c>
      <c r="C13" t="s">
        <v>269</v>
      </c>
    </row>
    <row r="22" spans="1:1" x14ac:dyDescent="0.25">
      <c r="A22" t="str">
        <f>_xlfn.CONCAT("&gt;",A4,"\n",C4)</f>
        <v>&gt;sbio-nipahgpg-032\nVQLQESGPGLVKPSQSLSLTCTVTGYSITTGYAWNWIRQFPGNKLEWMGYISYSGSTYYPSLKSRISITRDTSKNQFFLQLSIVTTEDTATYYCARGTTLPDYVDFWGQGTSVTVSSGGGSGGGSGGGSGGGSDIQLTQSPSSLSASVGDRVTITCRASQTISTYLNWYQQKPGKAPKLLIYAASTLQSGVPSRFSGSGSGTDFTLTISSLQPEDFATYFCLQHFWTPPITFGQGTRLEIK</v>
      </c>
    </row>
    <row r="23" spans="1:1" x14ac:dyDescent="0.25">
      <c r="A23" t="str">
        <f t="shared" ref="A23:A31" si="0">_xlfn.CONCAT("&gt;",A5,"\n",C5)</f>
        <v>&gt;sbio-nipahgpg-033\nQVQLQESGPGLVKPSETLSVTCTVSGGSIGSNNYWSWIRQPAGKGLEWIGYIYYSGSTNYNPSLKSRVTMSVDTSKNQFSLKLSSVTAADTAVYYCVRNYYDSSDSSGYYFMDVWGQGTTVTVSSGGGSGGGSGGGSDIVMTQSPLSLSVTPGEPASISCRSSQSLLHSNGYNYLDWYLQKPGQSPQLLIYLGSNRASGVPDRFSGSGSGTDFTLKISRVEAEDVGVYYCMQALQTPTFGQGTRLEIK</v>
      </c>
    </row>
    <row r="24" spans="1:1" x14ac:dyDescent="0.25">
      <c r="A24" t="str">
        <f t="shared" si="0"/>
        <v>&gt;sbio-nipahgpg-034\nQVQLVQSGAEVKKPGESLKISCKGSGYRFSSYWIGWVRQMPGKGLEWMGIIYPGDSDTRYSPSFQGQVTISADKSISTAYLQWSSLKASDTAMYYCARQGPDYYYGMDVWGQGTTVTVSSGGGSGGGSGGGSGGGSDIQMTQSPSTLSASVGDRVTITCRASQSISSWLAWYQQKPGKAPKLLIYKASELQSGVPSRFSGSGSGTEFTLTISSLQPDDFATYYCQQYINSYTFGQGTKVEIK</v>
      </c>
    </row>
    <row r="25" spans="1:1" x14ac:dyDescent="0.25">
      <c r="A25" t="str">
        <f t="shared" si="0"/>
        <v>&gt;sbio-nipahgpg-035\nQVQLQQSGPELVKPGASVKLSCKASGYTFTDYYMHWVKQRPGQGLEWIGEINPNSGGTNTYDQKFKGRATLTVDKSSSTAYLQLSSLTSEDSAVYYCARSPPWYFDYWGQGTTLTVSGGGSGGGSGGGSGGGSDIVMTQSPSSMFASVGETVTITCRASENIYSNLAWYQQKPGQSPKLLIYWASTRHTGVPDRFTGSGSGTDFTLTISSVQAEDLALYYCQHYGSYSFTFGSGTKLEIK</v>
      </c>
    </row>
    <row r="26" spans="1:1" x14ac:dyDescent="0.25">
      <c r="A26" t="str">
        <f t="shared" si="0"/>
        <v>&gt;sbio-nipahgpg-036\nEVQLVESGGGLVQPGGSLRLSCAASGFNVSYSSIHWVRQAPGKGLEWVASISSYYGYTYYADSVKGRFTISADTSKNTAYLQMNSLRAEDTAVYYCARSRNYVYSSGYLDFWGQGTLVTVSSGGGSGGGSGGGSGGGSDIQMTQSPSSLSASVGDRVTITCRASQSVSSAVAWYQQKPGKAPKLLIYSASSLYSGVPSRFSGSRSGTDFTLTISSLQPEDFATYYCQQSSYSSPPTFGQGTKVEIK</v>
      </c>
    </row>
    <row r="27" spans="1:1" x14ac:dyDescent="0.25">
      <c r="A27" t="str">
        <f t="shared" si="0"/>
        <v>&gt;sbio-nipahgpg-037\nEVQLVESGGGLVQPGGSLRLSCAASGFNIYYSSIHWVRQAPGKGLEWVASISPYYGSTSYADSVKGRFTISADTSKNTAYLQMNSLRAEDTAVYYCARDYGHYYYAMDYWGQGTLVTVSSGGGSGGGSGGGSGGGSEIVMTQSPATLSVSPGERATLSCRASQSVSSYLAWYQQKPGQAPRLLIYGASTRATGIPARFSGSGSGTEFTLTISSLQSEDSAVYYCQQYNNWPPITFGQGTRLEIK</v>
      </c>
    </row>
    <row r="28" spans="1:1" x14ac:dyDescent="0.25">
      <c r="A28" t="str">
        <f t="shared" si="0"/>
        <v>&gt;sbio-nipahgpg-038\nQVQLQESGPGLVKPSETLSLSCVVSGDSSSTNYYWGWIRQPPGKGLEWIGYIYGSGDTAYNPSLKSRVTISVDTSKNQFSLKLSSVTAADTAVYYCARRSWGYGYNGYSTYYYYYYFDQGYFDVWGPGTLVTGGGSGGGSGGGSDIQMTQSPSSLSASVGDRVTITCRASQSIGSYLNWYQQKPGKAPKLLIYAASTLQSGVPSRFSGSGSGTEFTLTISSLQPEDFATYYCQQSYSWGQGTKVEIK</v>
      </c>
    </row>
    <row r="29" spans="1:1" x14ac:dyDescent="0.25">
      <c r="A29" t="str">
        <f t="shared" si="0"/>
        <v>&gt;sbio-nipahgpg-039\nQVQLVQSGAEVKKPGASVKVSCKASGYTFTSYGISWVRQAPGQGLEWMGWISAHNGDTNYAQKFQGRVTMTRDTSITTAYMELRSDDTAVYYCARDGSVGGFYWGQGTLVTVSSGGGSGGGSGGGSGGGSEIVLTQSPGTLSLSPGERATLSCRASQSVSSYLAWYQQKPGQAPRLLIYGASSRATGIPDRFSGSGSGTDFTLTISRLEPEDFAVYYCQQYGSSPITFGQGTRLEIK</v>
      </c>
    </row>
    <row r="30" spans="1:1" x14ac:dyDescent="0.25">
      <c r="A30" t="str">
        <f t="shared" si="0"/>
        <v>&gt;sbio-nipahgpg-040\nEVQLLESGGGLVQPGGSLRLSCAASGFNVSYSSIHWVRQAPGKGLEWVASISPYYGSTSYADSVKGRFTISADTSKNTAYLQMNSLRAEDTAVYYCARSYYWYWSGWGTLVTVSSGGGSGGGSGGGSGGGSDIQMTQSPSSLSASVGDRVTITCRASQSVSSAVAWYQQKPGKAPKLLIYSASSLYSGVPSRFSGSRSGTDFTLTISSLQPEDFATYYCQQSYGSPPTFGQGTKVEIK</v>
      </c>
    </row>
    <row r="31" spans="1:1" x14ac:dyDescent="0.25">
      <c r="A31" t="str">
        <f t="shared" si="0"/>
        <v>&gt;sbio-nipahgpg-041\nQVQLQESGPGLVKPSQTLSLTCTVSGGSISSGHYAWWIRQPPGKGLEWIACIYSSSGSTYYNPSLKSRITISVDTSKNQFSLKLSSVTAADTAVYYCARRQRGYDYDYYYGMDVWGQGTTVTVSSGGGSGGGSGGGSGGGSDIQLTQSPSSLSASVGDRVTITCRASQGISRNLAWYQQKPGKAPKLLIYAASSLQSGVPSRFSGSGSGTDFTLTISSLQPEDFATYYCQQSNNWPITFGQGTKVEIK</v>
      </c>
    </row>
  </sheetData>
  <pageMargins left="0.7" right="0.7" top="0.75" bottom="0.75" header="0.3" footer="0.3"/>
  <pageSetup orientation="portrait" horizontalDpi="1200" verticalDpi="120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4B225-7142-4022-8646-BD8C8E254557}">
  <dimension ref="A2:C31"/>
  <sheetViews>
    <sheetView workbookViewId="0">
      <selection activeCell="A19" sqref="A19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45972</v>
      </c>
    </row>
    <row r="4" spans="1:3" x14ac:dyDescent="0.25">
      <c r="A4" t="s">
        <v>194</v>
      </c>
      <c r="B4" t="s">
        <v>18</v>
      </c>
      <c r="C4" t="s">
        <v>270</v>
      </c>
    </row>
    <row r="5" spans="1:3" x14ac:dyDescent="0.25">
      <c r="A5" t="s">
        <v>195</v>
      </c>
      <c r="B5" t="s">
        <v>18</v>
      </c>
      <c r="C5" t="s">
        <v>271</v>
      </c>
    </row>
    <row r="6" spans="1:3" x14ac:dyDescent="0.25">
      <c r="A6" t="s">
        <v>196</v>
      </c>
      <c r="B6" t="s">
        <v>18</v>
      </c>
      <c r="C6" t="s">
        <v>272</v>
      </c>
    </row>
    <row r="7" spans="1:3" x14ac:dyDescent="0.25">
      <c r="A7" t="s">
        <v>197</v>
      </c>
      <c r="B7" t="s">
        <v>18</v>
      </c>
      <c r="C7" t="s">
        <v>273</v>
      </c>
    </row>
    <row r="8" spans="1:3" x14ac:dyDescent="0.25">
      <c r="A8" t="s">
        <v>198</v>
      </c>
      <c r="B8" t="s">
        <v>18</v>
      </c>
      <c r="C8" t="s">
        <v>274</v>
      </c>
    </row>
    <row r="9" spans="1:3" x14ac:dyDescent="0.25">
      <c r="A9" t="s">
        <v>199</v>
      </c>
      <c r="B9" t="s">
        <v>18</v>
      </c>
      <c r="C9" t="s">
        <v>275</v>
      </c>
    </row>
    <row r="10" spans="1:3" x14ac:dyDescent="0.25">
      <c r="A10" t="s">
        <v>200</v>
      </c>
      <c r="B10" t="s">
        <v>18</v>
      </c>
      <c r="C10" t="s">
        <v>276</v>
      </c>
    </row>
    <row r="11" spans="1:3" x14ac:dyDescent="0.25">
      <c r="A11" t="s">
        <v>201</v>
      </c>
      <c r="B11" t="s">
        <v>18</v>
      </c>
      <c r="C11" t="s">
        <v>277</v>
      </c>
    </row>
    <row r="12" spans="1:3" x14ac:dyDescent="0.25">
      <c r="A12" t="s">
        <v>202</v>
      </c>
      <c r="B12" t="s">
        <v>18</v>
      </c>
      <c r="C12" t="s">
        <v>278</v>
      </c>
    </row>
    <row r="13" spans="1:3" x14ac:dyDescent="0.25">
      <c r="A13" t="s">
        <v>203</v>
      </c>
      <c r="B13" t="s">
        <v>18</v>
      </c>
      <c r="C13" t="s">
        <v>279</v>
      </c>
    </row>
    <row r="22" spans="1:1" x14ac:dyDescent="0.25">
      <c r="A22" t="str">
        <f>_xlfn.CONCAT("&gt;",A4,"\n",C4)</f>
        <v>&gt;sbio-nipahgpg-042\nEVQLVESGGGLVQPGGSLRLSCAASGFNIYYSSIHWVRQAPGKGLEWVASIYSYYSSTSYADSVKGRFTISADTSKNTAYLQMNSLRAEDTAVYYCARVYGYLSYSYFYWGLDVWGQGTLVTVSGGGSGGGSGGGSGGGSDIQMTQSPSSLSASVGDRVTITCRASQSVSSAVAWYQQKPGKAPKLLIYSASSLYSGVPSRFSGSRSGTDFTLTISSLQPEDFATYYCQQYKYVPVTFGQGTKVEI</v>
      </c>
    </row>
    <row r="23" spans="1:1" x14ac:dyDescent="0.25">
      <c r="A23" t="str">
        <f t="shared" ref="A23:A31" si="0">_xlfn.CONCAT("&gt;",A5,"\n",C5)</f>
        <v>&gt;sbio-nipahgpg-043\nEVQLQQSGAELVKPGASVKLSCTASGFNIKDTYVHWVKQRPEQGLEWIGRIDPANGYTKYDPKFQGKATITADTSSNTAYLQLSSLTSEDTAVYYCVRPLYDYYAMDYWGQGTTLTVSSGGGSGGGSGGGSGGGSDIVMTQSPSSLAMSAGRVSITCRTSQSISSYLNWVQQKPGKSPKLLIYWASTRESGVPDRFTGSGSGTDFTLTISRVEAEDLGVYYCMQGTHVPYTFGGGTKLEIK</v>
      </c>
    </row>
    <row r="24" spans="1:1" x14ac:dyDescent="0.25">
      <c r="A24" t="str">
        <f t="shared" si="0"/>
        <v>&gt;sbio-nipahgpg-044\nEVQLVESGGGLVKPGGSLRLSCAASGFTFSSYAMHWVRQAPGKGLEWVSAISGGGGSTYYADSVKGRFTISRDNSKNTLYLQMRAEDTAVYYCAKDDADWGQGTLVTVSSGGGSGGGSGGGSGGGSDIQMTQSPSSLSASVGDRVTITCRASQSVSSAVAWYQQKPGKAPKLLIYSASSLYSGVPSRFSGSRSGTDFTLTISSLQPEDFATYYCQQYKYVPFTFGQGTKVEIK</v>
      </c>
    </row>
    <row r="25" spans="1:1" x14ac:dyDescent="0.25">
      <c r="A25" t="str">
        <f t="shared" si="0"/>
        <v>&gt;sbio-nipahgpg-045\nQVQLQESGPGLVKPSQTLSLTCTVSGGSISSGSYYWIRQSPGKGLEWIGYIYYSGSTNYNPSLKSRVTISVDTSKNQFSLKLSSVTAADTAVYYCARHRYYDRGQGTLVTVSSGGGSGGGSGGGSGGGSDIQMTQSPASLSASVGETVTITCRASENIYSNLAWYQQKQGKSPQLLVYAATDLADGVPSRFSGSGSGTQFSLKINSLQPEDFGSYYCQHFWDTPWTFGQGTRVE</v>
      </c>
    </row>
    <row r="26" spans="1:1" x14ac:dyDescent="0.25">
      <c r="A26" t="str">
        <f t="shared" si="0"/>
        <v>&gt;sbio-nipahgpg-046\nEVQLVESGGGLVQPGGSLRLSCAASGFNLYSSSIHWVRQAPGKGLEWVAYISSSGTHYADSVKGRFTISADTSKNTAYLQMRAEDTAVYYCARVGHYYSSGGYYYAMDYWGQGTLVTVSSGGGSGGGSGGGSGGGSDIQMTQSPSSLSASVGDRVTITCRASQSVSSAVAWYQQKPGKAPKLLIYSASSLYSGVPSRFSGSRSGTDFTLTISSLQPEDFATYYCQQYSSYWTFGQGTKVEIK</v>
      </c>
    </row>
    <row r="27" spans="1:1" x14ac:dyDescent="0.25">
      <c r="A27" t="str">
        <f t="shared" si="0"/>
        <v>&gt;sbio-nipahgpg-047\nEVQLVESGGGLVQPGGSLRLSCAASGFNVVDSGISWVRQAPGKGLEWVSYISSSSGSTYYADSVKGRFTISADTSKNTAYLQMNSLRAEDTAVYYCARAHYYGSYFGSVVYYYGLDVWGQGTLVTVSSGGGSGGGSGGGSDIQMTQSPSSLSASVGDRVTITCRASQSVSSAVAWYQQKPGKAPKLLIYSASSLYSGVPSRFSGSRSGTDFTLTISSLQPEDFATYYCQQYDTYPITFGQGTKVEIK</v>
      </c>
    </row>
    <row r="28" spans="1:1" x14ac:dyDescent="0.25">
      <c r="A28" t="str">
        <f t="shared" si="0"/>
        <v>&gt;sbio-nipahgpg-048\nEVQLVESGGGLVQPGGSLRLSCAASGFNVYSSSIHWVRQAPGKGLEWVASISSYYGYTYYADSVKGRFTISADTSKNTAYLQMNSLRAEDTAVYYCARSYSTYYYGYWYFDVWGQGTLVTVSSGGGSGGGSGGGSGGGSDIQMTQSPSSLSAAVGDRVTITCRASQSVSSAVAWYQQKPGKAPKLLIYSASSLYSGVPSRFSGSRSGTDFTLTISSLQPEDFATYYCQQYNYYWLITFGQGTKVEIK</v>
      </c>
    </row>
    <row r="29" spans="1:1" x14ac:dyDescent="0.25">
      <c r="A29" t="str">
        <f t="shared" si="0"/>
        <v>&gt;sbio-nipahgpg-049\nQVQLQQPGAELVKPGASVKLSCKASGYTFTSDWIHWVKQRPGHGLEWIGEIIPSYGRANYNEKIQKKATLTADKSSSTAFMHLSSLTSEDSAVYYCARERGDGYFAVWGAGTTVTVSSGGGSGGGSGGGSGGGSDILLTQSPAILSVSPGERVSFSCRASQSIGTDIHWYQQRTNGSPRLLIKYASESISGIPSRFSGSGSGTDFTLSINSVESEDIANYYCQQSNRWPFTFGSGTKLEIK</v>
      </c>
    </row>
    <row r="30" spans="1:1" x14ac:dyDescent="0.25">
      <c r="A30" t="str">
        <f t="shared" si="0"/>
        <v>&gt;sbio-nipahgpg-050\nVRLLESGGGLVQPGGSLKLSCAASGFDYSRYWMSWVRQAPGKGLKWIGEINPVSSTINYTPSLKDKFIISRDNAKDTLYLQISKVRSEDTALYYCARLYYGYGYWYFDVWGAGTTVTVSSGGGSGGGSGGGSGGGSDIVLTQSPAIMSAAPGDKVTMTCSASSSVSYIHWYQQKSGTSPKRWIYDTSKLTSGVPVRFSGSGSGTSYSLTINTMEAEDAATYYCQQWSSHPQTFGGGTKLEIl</v>
      </c>
    </row>
    <row r="31" spans="1:1" x14ac:dyDescent="0.25">
      <c r="A31" t="str">
        <f t="shared" si="0"/>
        <v>&gt;sbio-nipahgpg-051\nQVQLQESGPGLVQPSQSLSLTCTVSGFSLTSYGVHWVRQSPGKGLEWLGVIWAGGSTDYNSALKSRLSISRDTSKNQVFLKMNSLQTDDTAMYYCAKHGSSNGDYWGQGTSVTVSSGGGSGGGSGGGSGGGSDIVMTQSPDSLAVSLGERATINCKSSQSVLYSSNNKNYLAWYQQKPEGQPPNLLIYWASTRESGVPDRFSGSGSGTDFTLTISSLQAEDVAVYYCQQYYSAPTFGQGTKLEIK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Antibody Candidates</vt:lpstr>
      <vt:lpstr>Antigens</vt:lpstr>
      <vt:lpstr>Notes</vt:lpstr>
      <vt:lpstr>20251107 Submission FASTA</vt:lpstr>
      <vt:lpstr>20251108 Submission FASTA</vt:lpstr>
      <vt:lpstr>20251109 Submission FASTA</vt:lpstr>
      <vt:lpstr>20251110 Submission FASTA</vt:lpstr>
      <vt:lpstr>20251111 Submission FASTA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2025-11-11T15:15:58Z</dcterms:modified>
  <dc:language>en-US</dc:language>
</cp:coreProperties>
</file>