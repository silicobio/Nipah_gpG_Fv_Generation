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04386FC2-D69D-0742-B817-03FB96C84264}" xr6:coauthVersionLast="47" xr6:coauthVersionMax="47" xr10:uidLastSave="{00000000-0000-0000-0000-000000000000}"/>
  <bookViews>
    <workbookView xWindow="22700" yWindow="500" windowWidth="1542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Candidates'!$A$1:$V$116</definedName>
  </definedNames>
  <calcPr calcId="191029"/>
  <pivotCaches>
    <pivotCache cacheId="9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<sst xmlns="http://schemas.openxmlformats.org/spreadsheetml/2006/main" count="1168" uniqueCount="502">
  <si>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</si>
  <si>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</si>
  <si>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</si>
  <si>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</si>
  <si>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</si>
  <si>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</si>
  <si>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</si>
  <si>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</si>
  <si>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</si>
  <si>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</si>
  <si>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</si>
  <si>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</si>
  <si>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</si>
  <si>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</si>
  <si>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</si>
  <si>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</si>
  <si>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</si>
  <si>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</si>
  <si>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</si>
  <si>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</si>
  <si>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</si>
  <si>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</si>
  <si>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</si>
  <si>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</si>
  <si>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</si>
  <si>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</si>
  <si>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</si>
  <si>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</si>
  <si>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</si>
  <si>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</si>
  <si>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</si>
  <si>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</si>
  <si>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</si>
  <si>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</si>
  <si>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</si>
  <si>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</si>
  <si>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</si>
  <si>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</si>
  <si>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</si>
  <si>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</si>
  <si>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</si>
  <si>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</si>
  <si>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</si>
  <si>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</si>
  <si>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</si>
  <si>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</si>
  <si>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</si>
  <si>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</si>
  <si>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</si>
  <si>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</si>
  <si>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</si>
  <si>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</si>
  <si>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</si>
  <si>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</si>
  <si>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</si>
  <si>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</si>
  <si>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</si>
  <si>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</si>
  <si>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</si>
  <si>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</si>
  <si>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</si>
  <si>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</si>
  <si>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</si>
  <si>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</si>
  <si>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</si>
  <si>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</si>
  <si>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</si>
  <si>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</si>
  <si>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</si>
  <si>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</si>
  <si>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</si>
  <si>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</si>
  <si>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</si>
  <si>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</si>
  <si>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</si>
  <si>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</si>
  <si>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</si>
  <si>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</si>
  <si>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</si>
  <si>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</si>
  <si>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</si>
  <si>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</si>
  <si>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</si>
  <si>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</si>
  <si>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</si>
  <si>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</si>
  <si>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</si>
  <si>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</si>
  <si>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</si>
  <si>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</si>
  <si>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</si>
  <si>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</si>
  <si>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</si>
  <si>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</si>
  <si>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</si>
  <si>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</si>
  <si>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</si>
  <si>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</si>
  <si>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</si>
  <si>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</si>
  <si>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</si>
  <si>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</si>
  <si>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</si>
  <si>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</si>
  <si>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</si>
  <si>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</si>
  <si>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</si>
  <si>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</si>
  <si>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</si>
  <si>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</si>
  <si>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</si>
  <si>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</si>
  <si>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</si>
  <si>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</si>
  <si>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</si>
  <si>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</si>
  <si>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</si>
  <si>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</si>
  <si>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</si>
  <si>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</si>
  <si>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</si>
  <si>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</si>
  <si>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</si>
  <si>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</si>
  <si>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</si>
  <si>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</si>
  <si>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</si>
  <si>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</si>
  <si>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</si>
  <si>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</si>
  <si>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</si>
  <si>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</si>
  <si>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</si>
  <si>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</si>
  <si>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</si>
  <si>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</si>
  <si>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</si>
  <si>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</si>
  <si>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</si>
  <si>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</si>
  <si>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</si>
  <si>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</si>
  <si>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</si>
  <si>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</si>
  <si>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</si>
  <si>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</si>
  <si>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</si>
  <si>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</si>
  <si>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</si>
  <si>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</si>
  <si>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</si>
  <si>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</si>
  <si>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</si>
  <si>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</si>
  <si>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</si>
  <si>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</si>
  <si>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</si>
  <si>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</si>
  <si>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</si>
  <si>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</si>
  <si>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</si>
  <si>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</si>
  <si>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</si>
  <si>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</si>
  <si>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</si>
  <si>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</si>
  <si>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</si>
  <si>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</si>
  <si>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</si>
  <si>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</si>
  <si>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</si>
  <si>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</si>
  <si>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</si>
  <si>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</si>
  <si>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</si>
  <si>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</si>
  <si>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</si>
  <si>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</si>
  <si>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</si>
  <si>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</si>
  <si>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</si>
  <si>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</si>
  <si>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</si>
  <si>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</si>
  <si>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</si>
  <si>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</si>
  <si>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</si>
  <si>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</si>
  <si>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</si>
  <si>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</si>
  <si>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</si>
  <si>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</si>
  <si>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</si>
  <si>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</si>
  <si>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</si>
  <si>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</si>
  <si>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</si>
  <si>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</si>
  <si>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</si>
  <si>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</si>
  <si>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</si>
  <si>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</si>
  <si>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</si>
  <si>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</si>
  <si>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</si>
  <si>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</si>
  <si>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</si>
  <si>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</si>
  <si>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</si>
  <si>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</si>
  <si>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</si>
  <si>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</si>
  <si>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</si>
  <si>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</si>
  <si>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</si>
  <si>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</si>
  <si>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</si>
  <si>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</si>
  <si>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</si>
  <si>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</si>
  <si>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</si>
  <si>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</si>
  <si>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</si>
  <si>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</si>
  <si>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</si>
  <si>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</si>
  <si>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</si>
  <si>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</si>
  <si>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</si>
  <si>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</si>
  <si>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</si>
  <si>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</si>
  <si>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</si>
  <si>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</si>
  <si>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</si>
  <si>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</si>
  <si>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</si>
  <si>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</si>
  <si>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</si>
  <si>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</si>
  <si>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</si>
  <si>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</si>
  <si>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</si>
  <si>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</si>
  <si>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</si>
  <si>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</si>
  <si>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</si>
  <si>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</si>
  <si>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</si>
  <si>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</si>
  <si>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</si>
  <si>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</si>
  <si>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</si>
  <si>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</si>
  <si>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</si>
  <si>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</si>
  <si>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</si>
  <si>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</si>
  <si>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</si>
  <si>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</si>
  <si>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</si>
  <si>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</si>
  <si>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</si>
  <si>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</si>
  <si>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</si>
  <si>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</si>
  <si>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</si>
  <si>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</si>
  <si>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</si>
  <si>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</si>
  <si>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</si>
  <si>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</si>
  <si>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</si>
  <si>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</si>
  <si>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</si>
  <si>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</si>
  <si>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</si>
  <si>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</si>
  <si>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</si>
  <si>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</si>
  <si>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</si>
  <si>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</si>
  <si>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</si>
  <si>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</si>
  <si>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</si>
  <si>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</si>
  <si>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</si>
  <si>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</si>
  <si>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</si>
  <si>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</si>
  <si>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</si>
  <si>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</si>
  <si>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</si>
  <si>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</si>
  <si>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</si>
  <si>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</si>
  <si>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</si>
  <si>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</si>
  <si>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</si>
  <si>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</si>
  <si>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</si>
  <si>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</si>
  <si>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</si>
  <si>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</si>
  <si>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</si>
  <si>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</si>
  <si>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</si>
  <si>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</si>
  <si>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</si>
  <si>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</si>
  <si>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</si>
  <si>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</si>
  <si>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</si>
  <si>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</si>
  <si>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</si>
  <si>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</si>
  <si>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</si>
  <si>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</si>
  <si>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</si>
  <si>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</si>
  <si>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</si>
  <si>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</si>
  <si>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</si>
  <si>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</si>
  <si>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</si>
  <si>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</si>
  <si>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</si>
  <si>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</si>
  <si>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</si>
  <si>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</si>
  <si>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</si>
  <si>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</si>
  <si>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</si>
  <si>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</si>
  <si>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</si>
  <si>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</si>
  <si>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</si>
  <si>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</si>
  <si>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</si>
  <si>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</si>
  <si>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</si>
  <si>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</si>
  <si>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</si>
  <si>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</si>
  <si>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</si>
  <si>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</si>
  <si>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</si>
  <si>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</si>
  <si>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</si>
  <si>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</si>
  <si>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</si>
  <si>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</si>
  <si>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</si>
  <si>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</si>
  <si>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</si>
  <si>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</si>
  <si>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</si>
  <si>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</si>
  <si>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</si>
  <si>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</si>
  <si>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</si>
  <si>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</si>
  <si>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</si>
  <si>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</si>
  <si>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</si>
  <si>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</si>
  <si>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</si>
  <si>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</si>
  <si>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</si>
  <si>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</si>
  <si>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</si>
  <si>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</si>
  <si>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</si>
  <si>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</si>
  <si>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</si>
  <si>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</si>
  <si>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</si>
  <si>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</si>
  <si>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</si>
  <si>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</si>
  <si>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</si>
  <si>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</si>
  <si>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</si>
  <si>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</si>
  <si>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</si>
  <si>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</si>
  <si>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</si>
  <si>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</si>
  <si>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</si>
  <si>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</si>
  <si>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</si>
  <si>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</si>
  <si>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</si>
  <si>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</si>
  <si>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</si>
  <si>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</si>
  <si>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</si>
  <si>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</si>
  <si>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</si>
  <si>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</si>
  <si>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</si>
  <si>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</si>
  <si>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</si>
  <si>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</si>
  <si>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</si>
  <si>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</si>
  <si>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</si>
  <si>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</si>
  <si>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</si>
  <si>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</si>
  <si>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</si>
  <si>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</si>
  <si>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</si>
  <si>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</si>
  <si>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</si>
  <si>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</si>
  <si>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</si>
  <si>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</si>
  <si>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</si>
  <si>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</si>
  <si>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</si>
  <si>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</si>
  <si>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</si>
  <si>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</si>
  <si>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</si>
  <si>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</si>
  <si>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</si>
  <si>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</si>
  <si>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</si>
  <si>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</si>
  <si>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</si>
  <si>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</si>
  <si>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</si>
  <si>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</si>
  <si>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</si>
  <si>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</si>
  <si>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</si>
  <si>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</si>
  <si>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</si>
  <si>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</si>
  <si>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</si>
  <si>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</si>
  <si>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</si>
  <si>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</si>
  <si>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</si>
  <si>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</si>
  <si>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</si>
  <si>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</si>
  <si>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</si>
  <si>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</si>
  <si>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</si>
  <si>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</si>
  <si>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</si>
  <si>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</si>
  <si>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</si>
  <si>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</si>
  <si>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</si>
  <si>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</si>
  <si>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</si>
  <si>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</si>
  <si>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</si>
  <si>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</si>
  <si>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</si>
  <si>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</si>
  <si>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</si>
  <si>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</si>
  <si>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</si>
  <si>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</si>
  <si>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</si>
  <si>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</si>
  <si>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</si>
  <si>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</si>
  <si>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</si>
  <si>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</si>
  <si>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</si>
  <si>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</si>
  <si>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</si>
  <si>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</si>
  <si>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</si>
  <si>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</si>
  <si>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</si>
  <si>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</si>
  <si>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</si>
  <si>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</si>
  <si>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</si>
  <si>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</si>
  <si>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</si>
  <si>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</si>
  <si>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</si>
  <si>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</si>
  <si>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</si>
  <si>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</si>
  <si>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QVQLVQSGAEVKKPGSSVKVSCKSSGGTSNNYAISWVRQAPGQGLEWMGGIIPILGIANYAQKFQGRVTITADKSTSTAYMELSSLRSEDTAVYYCAREDAVVDYWGQGTLVTVSSGGGSGGGSGGGSGGGSDIQMTQSPSTLSASVGDRVTITCRASQGISSWLAWYQQKPGKAPKLLIYKASSLESGVPSRFSGSGSGTEFTLTISSLQPDDFATYYCQQYNSYPLTFGQGTKVQVK</t>
  </si>
  <si>
    <t>EVQLVESGAEVKKPGSSVKVSCKASGGPFTSYVISWVRQAPGQGLEWMGRIIPIRGTTYAQKFQGRVTITADKSTSTAYMELRSEDTAVYYCARGSHVFGYYDYWGQGTLVTVSSGGGSGGGSGGGSGGGSEIVLTQSPGTLSLSPGERATLSCRASQSISGNYLAWYQQKPGQAPRLLIYGASIRAAGIPDRFSGSGSGTDFTLTISRLEPEDFAVYYCQQYGSSPRTFGQGTKVEIK</t>
  </si>
  <si>
    <t>EVQLVETGGGLVQPGGSLKLSCRASGYTFTDYAMHWVRQAPLGLGLYTGGVNYARHFMKSRISITRDNSKNTLYLQMTKVDDTATYFCARRGLFDSDYWGQGTLVTVSSGGGSGGGSGGGSGGGSSVTQPPSVSGSTSVGDRVTTCRASQSISSNWLAWYQQFPGTAPKLLIYENSSRPSGVPDRFSGSGSGTDFTLKISRVEAEDVGVYYCLQALSPRFTFGSGTKLEIK</t>
  </si>
  <si>
    <t>QVQLVQSGAEVKKPGSSVKVSCKASGGTFSNYGISWVRQAPGQGLEWMGGIIPILGIANYAQKFQGRVTITADKSTSTAYMELRSLRSDDTAVYYCAREGHAYFHNGLDYWGQGTLVTVSSGGGSGGGSGGGSGGGSEIVLTQSPGTLSLSPGERATLSCRASQSVSSSYFAWYQQKPGQAPRLLIYGASSRATGIPDRFSGSGSGTDFTLTISRLEPEDFAVYYCQQYGSSPPATFGQGTKVEIK</t>
  </si>
  <si>
    <t>QVQLQESGPGLVKPSQTLSLTCTVSGGSISSGDYYWIRQHPGKGLEWIGYIYYSGSTDYNPSLKSRVTISVDTSKNQFSLKVTAADTAVYYCARTWFGSDYWGQGTLVTVSSGGGSGGGSGGGSGGGSDIQMTQSPSSLSASVGDRVTITCRASQGISNYLAWYQQKPGKAPKLLIYAASTLQSGVPSRFSGSGSGTDFTLTISSLQPEDFATYYCQQAHSFPYTFGGGTKLEIK</t>
  </si>
  <si>
    <t>EVQLVESGGGLVQPGGSLRLSCAASGFTFSSYWMNWVRQAPGKGLEWVAFIRYDGGNKYYADSVKGRFTISRDNSKNTLYLQMNSLRAEDTAVYYCARWSYSGGSGSYYVYFDYWGQGTLVTVSGGGSGGGSGGGSGGGSSVLTQPPSVSGAPGQRVTISCTGSSSNIGAGYDVHWYQQLPGTAPKLLIYGNSNRPSGVPDRFSGSKSGTSASLAITGLQAEDEADYYCQSYDSSLSGSVFGGGTKLTVL</t>
  </si>
  <si>
    <t>QVQLVQSGAEVKKPGASVKVSCKASGYTFTNYYIHWVRQAPGQGLEWMGWIYPGGNTNYAQKFQGRVTMTRDTSISTAYMELSRLRSDDTAVYYCARVRTEFDYWGQGTLVTVSSGGGSGGGSGGGSGGGSDIVMTQSPSSLAMSAGAETITCRSSQSVHSNGYLNWYQQKPGQPPKLLIYWASTRESGVPDRFTGSGSGTDFTLTITNVQSEDLAEYFCQQYSSYPLTFGAGTKLELR</t>
  </si>
  <si>
    <t>QVQLQESGPGLVKPSETLSLTCTVSGGSVSSGGYFWSWIRQPPGKGLEWIGYVSGSGSTNYNPSLKSRVTISVDTSKNQFSLKLSSVTAADTAVYYCARWDVWISDYWGQGTLVTVSSGGGSGGGSGGGSGGGSEIVLTQSPATLSLSPGERATLSCRASQSVSSYLAWYQQKPGQAPRLLIYDASNRATGIPARFSGSGSGTDFTLTISSLEPEDFAVYYCQHSWDQPPWTFGQGTKVEIK</t>
  </si>
  <si>
    <t>QVQLQESGPGLVKPSQTLSLTCTVTGSSITSGYWNWIRQFPGNKLEWMGYISYSGTITYNPSLKSRISITRDTSKNQFFLQLNSVTTEDTATYYCARVYDGFYDYWGQGTLVTVSSGGGSGGGSGGGSGGGSDIVMTQSPSSLSASVGDRVTITCRASQGISSWLAWYQQKPGKAPKLLIYKASSLESGVPSRFSGSGSGTEFTLTISSLQPDDFATYYCQQYNSYPLTFGGGTKVEIK</t>
  </si>
  <si>
    <t>QVQLVESGGGVVQPGRSLRLSCAASGFTFSSFGMHWVRQAPGKGLEWVAIIWDGSNKYYADSVKGRFTISRDNSKNTLYLQMRAEDTAVYYCALDGGSFDDYWGQGTLVTVSSGGGSGGGSGGGSGGGSDIQMTQSPSTLSTSVGDRVTITCRASQSISSWLAWYQQKPGKAPKLLIYKASTLESGVPSRFSGSGSGTEFTLTISSLQPDDFATYYCQHFYGTPITFGPGTKVD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</si>
</sst>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78.899762152774" createdVersion="8" refreshedVersion="8" minRefreshableVersion="3" recordCount="11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1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m/>
      </sharedItems>
    </cacheField>
    <cacheField name="method" numFmtId="0">
      <sharedItems containsBlank="1"/>
    </cacheField>
    <cacheField name="model_version" numFmtId="0">
      <sharedItems containsBlank="1" count="9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1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8T00:00:00" count="13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8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8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8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8"/>
  </r>
  <r>
    <x v="115"/>
    <m/>
    <x v="8"/>
    <m/>
    <m/>
    <m/>
    <m/>
    <m/>
    <m/>
    <m/>
    <m/>
    <m/>
    <x v="11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9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axis="axisRow" compact="0" outline="0" showAll="0" defaultSubtotal="0">
      <items count="9">
        <item x="6"/>
        <item x="7"/>
        <item x="5"/>
        <item x="0"/>
        <item x="2"/>
        <item x="3"/>
        <item x="1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1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3">
        <item h="1" x="8"/>
        <item h="1" x="0"/>
        <item h="1" x="1"/>
        <item h="1" x="2"/>
        <item h="1" x="3"/>
        <item h="1" x="4"/>
        <item h="1" x="5"/>
        <item h="1" m="1" x="12"/>
        <item h="1" x="6"/>
        <item h="1" m="1" x="11"/>
        <item h="1" x="7"/>
        <item h="1" x="9"/>
        <item x="10"/>
      </items>
    </pivotField>
  </pivotFields>
  <rowFields count="3">
    <field x="0"/>
    <field x="2"/>
    <field x="12"/>
  </rowFields>
  <rowItems count="10">
    <i>
      <x v="98"/>
      <x v="3"/>
      <x v="98"/>
    </i>
    <i>
      <x v="101"/>
      <x v="3"/>
      <x v="101"/>
    </i>
    <i>
      <x v="102"/>
      <x v="3"/>
      <x v="102"/>
    </i>
    <i>
      <x v="103"/>
      <x v="3"/>
      <x v="103"/>
    </i>
    <i>
      <x v="104"/>
      <x v="3"/>
      <x v="104"/>
    </i>
    <i>
      <x v="105"/>
      <x v="3"/>
      <x v="105"/>
    </i>
    <i>
      <x v="108"/>
      <x v="3"/>
      <x v="108"/>
    </i>
    <i>
      <x v="109"/>
      <x v="3"/>
      <x v="109"/>
    </i>
    <i>
      <x v="110"/>
      <x v="3"/>
      <x v="110"/>
    </i>
    <i>
      <x v="111"/>
      <x v="3"/>
      <x v="111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6"/>
  <sheetViews>
    <sheetView tabSelected="1" zoomScaleNormal="100" workbookViewId="0">
      <pane xSplit="1" ySplit="1" topLeftCell="Q107" activePane="bottomRight" state="frozen"/>
      <selection pane="topRight" activeCell="B1" sqref="B1"/>
      <selection pane="bottomLeft" activeCell="A2" sqref="A2"/>
      <selection pane="bottomRight" activeCell="T113" sqref="T113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0.3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0.1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0.04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0.22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0.01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0.7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0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0.03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0.06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0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0.03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0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0.36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  <c r="T99" s="10">
        <v>45978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  <c r="T102" s="10">
        <v>45978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  <c r="T103" s="10">
        <v>45978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  <c r="T104" s="10">
        <v>45978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  <c r="T105" s="10">
        <v>45978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  <c r="T106" s="10">
        <v>45978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0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0.59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  <c r="T109" s="10">
        <v>45978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  <c r="T110" s="10">
        <v>45978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  <c r="T111" s="10">
        <v>45978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  <c r="T112" s="10">
        <v>45978</v>
      </c>
    </row>
    <row r="113" spans="1:17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116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topLeftCell="A2" workbookViewId="0">
      <selection activeCell="A29" sqref="A29:A38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45978</v>
      </c>
    </row>
    <row r="4" spans="1:3" x14ac:dyDescent="0.2">
      <c r="A4" t="s">
        <v>408</v>
      </c>
      <c r="B4" t="s">
        <v>19</v>
      </c>
      <c r="C4" t="s">
        <v>492</v>
      </c>
    </row>
    <row r="5" spans="1:3" x14ac:dyDescent="0.2">
      <c r="A5" t="s">
        <v>411</v>
      </c>
      <c r="B5" t="s">
        <v>19</v>
      </c>
      <c r="C5" t="s">
        <v>496</v>
      </c>
    </row>
    <row r="6" spans="1:3" x14ac:dyDescent="0.2">
      <c r="A6" t="s">
        <v>412</v>
      </c>
      <c r="B6" t="s">
        <v>19</v>
      </c>
      <c r="C6" t="s">
        <v>497</v>
      </c>
    </row>
    <row r="7" spans="1:3" x14ac:dyDescent="0.2">
      <c r="A7" t="s">
        <v>413</v>
      </c>
      <c r="B7" t="s">
        <v>19</v>
      </c>
      <c r="C7" t="s">
        <v>498</v>
      </c>
    </row>
    <row r="8" spans="1:3" x14ac:dyDescent="0.2">
      <c r="A8" t="s">
        <v>414</v>
      </c>
      <c r="B8" t="s">
        <v>19</v>
      </c>
      <c r="C8" t="s">
        <v>499</v>
      </c>
    </row>
    <row r="9" spans="1:3" x14ac:dyDescent="0.2">
      <c r="A9" t="s">
        <v>415</v>
      </c>
      <c r="B9" t="s">
        <v>19</v>
      </c>
      <c r="C9" t="s">
        <v>500</v>
      </c>
    </row>
    <row r="10" spans="1:3" x14ac:dyDescent="0.2">
      <c r="A10" t="s">
        <v>418</v>
      </c>
      <c r="B10" t="s">
        <v>19</v>
      </c>
      <c r="C10" t="s">
        <v>493</v>
      </c>
    </row>
    <row r="11" spans="1:3" x14ac:dyDescent="0.2">
      <c r="A11" t="s">
        <v>419</v>
      </c>
      <c r="B11" t="s">
        <v>19</v>
      </c>
      <c r="C11" t="s">
        <v>494</v>
      </c>
    </row>
    <row r="12" spans="1:3" x14ac:dyDescent="0.2">
      <c r="A12" t="s">
        <v>420</v>
      </c>
      <c r="B12" t="s">
        <v>19</v>
      </c>
      <c r="C12" t="s">
        <v>495</v>
      </c>
    </row>
    <row r="13" spans="1:3" x14ac:dyDescent="0.2">
      <c r="A13" t="s">
        <v>421</v>
      </c>
      <c r="B13" t="s">
        <v>19</v>
      </c>
      <c r="C13" t="s">
        <v>501</v>
      </c>
    </row>
    <row r="29" spans="1:1" x14ac:dyDescent="0.2">
      <c r="A29" t="str">
        <f>_xlfn.CONCAT("&gt;",A4,"\n",C4)</f>
        <v>&gt;sbio-nipahgpg-100\nQVQLVQSGAEVKKPGSSVKVSCKSSGGTSNNYAISWVRQAPGQGLEWMGGIIPILGIANYAQKFQGRVTITADKSTSTAYMELSSLRSEDTAVYYCAREDAVVDYWGQGTLVTVSSGGGSGGGSGGGSGGGSDIQMTQSPSTLSASVGDRVTITCRASQGISSWLAWYQQKPGKAPKLLIYKASSLESGVPSRFSGSGSGTEFTLTISSLQPDDFATYYCQQYNSYPLTFGQGTKVQVK</v>
      </c>
    </row>
    <row r="30" spans="1:1" x14ac:dyDescent="0.2">
      <c r="A30" t="str">
        <f t="shared" ref="A30:A38" si="0">_xlfn.CONCAT("&gt;",A5,"\n",C5)</f>
        <v>&gt;sbio-nipahgpg-103\nQVQLQESGPGLVKPSQTLSLTCTVSGGSISSGDYYWIRQHPGKGLEWIGYIYYSGSTDYNPSLKSRVTISVDTSKNQFSLKVTAADTAVYYCARTWFGSDYWGQGTLVTVSSGGGSGGGSGGGSGGGSDIQMTQSPSSLSASVGDRVTITCRASQGISNYLAWYQQKPGKAPKLLIYAASTLQSGVPSRFSGSGSGTDFTLTISSLQPEDFATYYCQQAHSFPYTFGGGTKLEIK</v>
      </c>
    </row>
    <row r="31" spans="1:1" x14ac:dyDescent="0.2">
      <c r="A31" t="str">
        <f t="shared" si="0"/>
        <v>&gt;sbio-nipahgpg-104\nEVQLVESGGGLVQPGGSLRLSCAASGFTFSSYWMNWVRQAPGKGLEWVAFIRYDGGNKYYADSVKGRFTISRDNSKNTLYLQMNSLRAEDTAVYYCARWSYSGGSGSYYVYFDYWGQGTLVTVSGGGSGGGSGGGSGGGSSVLTQPPSVSGAPGQRVTISCTGSSSNIGAGYDVHWYQQLPGTAPKLLIYGNSNRPSGVPDRFSGSKSGTSASLAITGLQAEDEADYYCQSYDSSLSGSVFGGGTKLTVL</v>
      </c>
    </row>
    <row r="32" spans="1:1" x14ac:dyDescent="0.2">
      <c r="A32" t="str">
        <f t="shared" si="0"/>
        <v>&gt;sbio-nipahgpg-105\nQVQLVQSGAEVKKPGASVKVSCKASGYTFTNYYIHWVRQAPGQGLEWMGWIYPGGNTNYAQKFQGRVTMTRDTSISTAYMELSRLRSDDTAVYYCARVRTEFDYWGQGTLVTVSSGGGSGGGSGGGSGGGSDIVMTQSPSSLAMSAGAETITCRSSQSVHSNGYLNWYQQKPGQPPKLLIYWASTRESGVPDRFTGSGSGTDFTLTITNVQSEDLAEYFCQQYSSYPLTFGAGTKLELR</v>
      </c>
    </row>
    <row r="33" spans="1:1" x14ac:dyDescent="0.2">
      <c r="A33" t="str">
        <f t="shared" si="0"/>
        <v>&gt;sbio-nipahgpg-106\nQVQLQESGPGLVKPSETLSLTCTVSGGSVSSGGYFWSWIRQPPGKGLEWIGYVSGSGSTNYNPSLKSRVTISVDTSKNQFSLKLSSVTAADTAVYYCARWDVWISDYWGQGTLVTVSSGGGSGGGSGGGSGGGSEIVLTQSPATLSLSPGERATLSCRASQSVSSYLAWYQQKPGQAPRLLIYDASNRATGIPARFSGSGSGTDFTLTISSLEPEDFAVYYCQHSWDQPPWTFGQGTKVEIK</v>
      </c>
    </row>
    <row r="34" spans="1:1" x14ac:dyDescent="0.2">
      <c r="A34" t="str">
        <f t="shared" si="0"/>
        <v>&gt;sbio-nipahgpg-107\nQVQLQESGPGLVKPSQTLSLTCTVTGSSITSGYWNWIRQFPGNKLEWMGYISYSGTITYNPSLKSRISITRDTSKNQFFLQLNSVTTEDTATYYCARVYDGFYDYWGQGTLVTVSSGGGSGGGSGGGSGGGSDIVMTQSPSSLSASVGDRVTITCRASQGISSWLAWYQQKPGKAPKLLIYKASSLESGVPSRFSGSGSGTEFTLTISSLQPDDFATYYCQQYNSYPLTFGGGTKVEIK</v>
      </c>
    </row>
    <row r="35" spans="1:1" x14ac:dyDescent="0.2">
      <c r="A35" t="str">
        <f t="shared" si="0"/>
        <v>&gt;sbio-nipahgpg-110\nEVQLVESGAEVKKPGSSVKVSCKASGGPFTSYVISWVRQAPGQGLEWMGRIIPIRGTTYAQKFQGRVTITADKSTSTAYMELRSEDTAVYYCARGSHVFGYYDYWGQGTLVTVSSGGGSGGGSGGGSGGGSEIVLTQSPGTLSLSPGERATLSCRASQSISGNYLAWYQQKPGQAPRLLIYGASIRAAGIPDRFSGSGSGTDFTLTISRLEPEDFAVYYCQQYGSSPRTFGQGTKVEIK</v>
      </c>
    </row>
    <row r="36" spans="1:1" x14ac:dyDescent="0.2">
      <c r="A36" t="str">
        <f t="shared" si="0"/>
        <v>&gt;sbio-nipahgpg-111\nEVQLVETGGGLVQPGGSLKLSCRASGYTFTDYAMHWVRQAPLGLGLYTGGVNYARHFMKSRISITRDNSKNTLYLQMTKVDDTATYFCARRGLFDSDYWGQGTLVTVSSGGGSGGGSGGGSGGGSSVTQPPSVSGSTSVGDRVTTCRASQSISSNWLAWYQQFPGTAPKLLIYENSSRPSGVPDRFSGSGSGTDFTLKISRVEAEDVGVYYCLQALSPRFTFGSGTKLEIK</v>
      </c>
    </row>
    <row r="37" spans="1:1" x14ac:dyDescent="0.2">
      <c r="A37" t="str">
        <f t="shared" si="0"/>
        <v>&gt;sbio-nipahgpg-112\nQVQLVQSGAEVKKPGSSVKVSCKASGGTFSNYGISWVRQAPGQGLEWMGGIIPILGIANYAQKFQGRVTITADKSTSTAYMELRSLRSDDTAVYYCAREGHAYFHNGLDYWGQGTLVTVSSGGGSGGGSGGGSGGGSEIVLTQSPGTLSLSPGERATLSCRASQSVSSSYFAWYQQKPGQAPRLLIYGASSRATGIPDRFSGSGSGTDFTLTISRLEPEDFAVYYCQQYGSSPPATFGQGTKVEIK</v>
      </c>
    </row>
    <row r="38" spans="1:1" x14ac:dyDescent="0.2">
      <c r="A38" t="str">
        <f t="shared" si="0"/>
        <v>&gt;sbio-nipahgpg-113\nQVQLVESGGGVVQPGRSLRLSCAASGFTFSSFGMHWVRQAPGKGLEWVAIIWDGSNKYYADSVKGRFTISRDNSKNTLYLQMRAEDTAVYYCALDGGSFDDYWGQGTLVTVSSGGGSGGGSGGGSGGGSDIQMTQSPSTLSTSVGDRVTITCRASQSISSWLAWYQQKPGKAPKLLIYKASTLESGVPSRFSGSGSGTEFTLTISSLQPDDFATYYCQHFYGTPITFGPGTKVD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2025-11-18T05:38:43Z</dcterms:modified>
  <dc:language>en-US</dc:language>
</cp:coreProperties>
</file>