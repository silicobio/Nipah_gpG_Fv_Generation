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by/Nipah_gpG_Fv_Generation/"/>
    </mc:Choice>
  </mc:AlternateContent>
  <xr:revisionPtr revIDLastSave="0" documentId="13_ncr:1_{29429A87-1E53-2249-A4D2-E0A5D3427857}" xr6:coauthVersionLast="47" xr6:coauthVersionMax="47" xr10:uidLastSave="{00000000-0000-0000-0000-000000000000}"/>
  <bookViews>
    <workbookView xWindow="0" yWindow="500" windowWidth="35840" windowHeight="2020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Candidates'!$A$1:$V$138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1" l="1"/>
  <c r="F5" i="11"/>
  <c r="G5" i="11" s="1"/>
  <c r="M129" i="2"/>
  <c r="N129" i="2" s="1"/>
  <c r="O129" i="2" s="1"/>
  <c r="M130" i="2"/>
  <c r="N130" i="2" s="1"/>
  <c r="O130" i="2" s="1"/>
  <c r="M131" i="2"/>
  <c r="N131" i="2" s="1"/>
  <c r="O131" i="2" s="1"/>
  <c r="M132" i="2"/>
  <c r="N132" i="2" s="1"/>
  <c r="O132" i="2" s="1"/>
  <c r="M133" i="2"/>
  <c r="N133" i="2" s="1"/>
  <c r="O133" i="2" s="1"/>
  <c r="M134" i="2"/>
  <c r="N134" i="2" s="1"/>
  <c r="O134" i="2" s="1"/>
  <c r="M135" i="2"/>
  <c r="N135" i="2" s="1"/>
  <c r="O135" i="2" s="1"/>
  <c r="M136" i="2"/>
  <c r="N136" i="2" s="1"/>
  <c r="O136" i="2" s="1"/>
  <c r="M137" i="2"/>
  <c r="N137" i="2" s="1"/>
  <c r="O137" i="2" s="1"/>
  <c r="M138" i="2"/>
  <c r="N138" i="2" s="1"/>
  <c r="O138" i="2" s="1"/>
  <c r="M119" i="2"/>
  <c r="N119" i="2" s="1"/>
  <c r="O119" i="2" s="1"/>
  <c r="M120" i="2"/>
  <c r="N120" i="2" s="1"/>
  <c r="O120" i="2" s="1"/>
  <c r="M121" i="2"/>
  <c r="N121" i="2" s="1"/>
  <c r="O121" i="2" s="1"/>
  <c r="M122" i="2"/>
  <c r="N122" i="2" s="1"/>
  <c r="O122" i="2" s="1"/>
  <c r="M123" i="2"/>
  <c r="N123" i="2" s="1"/>
  <c r="O123" i="2" s="1"/>
  <c r="M124" i="2"/>
  <c r="N124" i="2" s="1"/>
  <c r="O124" i="2" s="1"/>
  <c r="M125" i="2"/>
  <c r="N125" i="2" s="1"/>
  <c r="O125" i="2" s="1"/>
  <c r="M126" i="2"/>
  <c r="N126" i="2" s="1"/>
  <c r="O126" i="2" s="1"/>
  <c r="M127" i="2"/>
  <c r="N127" i="2" s="1"/>
  <c r="O127" i="2" s="1"/>
  <c r="M128" i="2"/>
  <c r="N128" i="2" s="1"/>
  <c r="O128" i="2" s="1"/>
  <c r="M117" i="2"/>
  <c r="N117" i="2" s="1"/>
  <c r="O117" i="2" s="1"/>
  <c r="M118" i="2"/>
  <c r="N118" i="2" s="1"/>
  <c r="O118" i="2" s="1"/>
  <c r="M87" i="2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<sst xmlns="http://schemas.openxmlformats.org/spreadsheetml/2006/main" count="1401" uniqueCount="578">
  <si>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</si>
  <si>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</si>
  <si>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</si>
  <si>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</si>
  <si>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</si>
  <si>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</si>
  <si>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</si>
  <si>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</si>
  <si>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</si>
  <si>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</si>
  <si>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</si>
  <si>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</si>
  <si>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</si>
  <si>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</si>
  <si>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</si>
  <si>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</si>
  <si>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</si>
  <si>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</si>
  <si>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</si>
  <si>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</si>
  <si>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</si>
  <si>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</si>
  <si>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</si>
  <si>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</si>
  <si>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</si>
  <si>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</si>
  <si>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</si>
  <si>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</si>
  <si>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</si>
  <si>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</si>
  <si>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</si>
  <si>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</si>
  <si>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</si>
  <si>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</si>
  <si>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</si>
  <si>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</si>
  <si>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</si>
  <si>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</si>
  <si>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</si>
  <si>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</si>
  <si>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</si>
  <si>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</si>
  <si>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</si>
  <si>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</si>
  <si>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</si>
  <si>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</si>
  <si>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</si>
  <si>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</si>
  <si>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</si>
  <si>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</si>
  <si>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</si>
  <si>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</si>
  <si>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</si>
  <si>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</si>
  <si>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</si>
  <si>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</si>
  <si>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</si>
  <si>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</si>
  <si>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</si>
  <si>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</si>
  <si>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</si>
  <si>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</si>
  <si>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</si>
  <si>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</si>
  <si>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</si>
  <si>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</si>
  <si>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</si>
  <si>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</si>
  <si>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</si>
  <si>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</si>
  <si>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</si>
  <si>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</si>
  <si>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</si>
  <si>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</si>
  <si>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</si>
  <si>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</si>
  <si>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</si>
  <si>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</si>
  <si>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</si>
  <si>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</si>
  <si>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</si>
  <si>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</si>
  <si>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</si>
  <si>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</si>
  <si>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</si>
  <si>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</si>
  <si>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</si>
  <si>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</si>
  <si>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</si>
  <si>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</si>
  <si>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</si>
  <si>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</si>
  <si>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</si>
  <si>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</si>
  <si>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</si>
  <si>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</si>
  <si>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</si>
  <si>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</si>
  <si>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</si>
  <si>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</si>
  <si>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</si>
  <si>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</si>
  <si>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</si>
  <si>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</si>
  <si>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</si>
  <si>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</si>
  <si>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</si>
  <si>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</si>
  <si>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</si>
  <si>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</si>
  <si>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</si>
  <si>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</si>
  <si>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</si>
  <si>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</si>
  <si>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</si>
  <si>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</si>
  <si>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</si>
  <si>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</si>
  <si>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</si>
  <si>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</si>
  <si>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</si>
  <si>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</si>
  <si>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</si>
  <si>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</si>
  <si>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</si>
  <si>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</si>
  <si>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</si>
  <si>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</si>
  <si>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</si>
  <si>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</si>
  <si>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</si>
  <si>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</si>
  <si>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</si>
  <si>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</si>
  <si>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</si>
  <si>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</si>
  <si>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</si>
  <si>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</si>
  <si>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</si>
  <si>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</si>
  <si>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</si>
  <si>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</si>
  <si>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</si>
  <si>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</si>
  <si>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</si>
  <si>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</si>
  <si>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</si>
  <si>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</si>
  <si>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</si>
  <si>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</si>
  <si>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</si>
  <si>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</si>
  <si>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</si>
  <si>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</si>
  <si>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</si>
  <si>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</si>
  <si>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</si>
  <si>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</si>
  <si>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</si>
  <si>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</si>
  <si>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</si>
  <si>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</si>
  <si>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</si>
  <si>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</si>
  <si>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</si>
  <si>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</si>
  <si>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</si>
  <si>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</si>
  <si>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</si>
  <si>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</si>
  <si>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</si>
  <si>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</si>
  <si>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</si>
  <si>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</si>
  <si>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</si>
  <si>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</si>
  <si>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</si>
  <si>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</si>
  <si>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</si>
  <si>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</si>
  <si>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</si>
  <si>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</si>
  <si>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</si>
  <si>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</si>
  <si>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</si>
  <si>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</si>
  <si>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</si>
  <si>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</si>
  <si>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</si>
  <si>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</si>
  <si>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</si>
  <si>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</si>
  <si>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</si>
  <si>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</si>
  <si>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</si>
  <si>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</si>
  <si>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</si>
  <si>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</si>
  <si>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</si>
  <si>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</si>
  <si>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</si>
  <si>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</si>
  <si>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</si>
  <si>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</si>
  <si>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</si>
  <si>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</si>
  <si>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</si>
  <si>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</si>
  <si>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</si>
  <si>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</si>
  <si>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</si>
  <si>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</si>
  <si>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</si>
  <si>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</si>
  <si>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</si>
  <si>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</si>
  <si>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</si>
  <si>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</si>
  <si>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</si>
  <si>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</si>
  <si>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</si>
  <si>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</si>
  <si>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</si>
  <si>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</si>
  <si>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</si>
  <si>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</si>
  <si>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</si>
  <si>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</si>
  <si>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</si>
  <si>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</si>
  <si>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</si>
  <si>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</si>
  <si>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</si>
  <si>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</si>
  <si>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</si>
  <si>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</si>
  <si>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</si>
  <si>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</si>
  <si>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</si>
  <si>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</si>
  <si>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</si>
  <si>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</si>
  <si>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</si>
  <si>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</si>
  <si>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</si>
  <si>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</si>
  <si>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</si>
  <si>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</si>
  <si>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</si>
  <si>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</si>
  <si>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</si>
  <si>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</si>
  <si>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</si>
  <si>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</si>
  <si>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</si>
  <si>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</si>
  <si>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</si>
  <si>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</si>
  <si>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</si>
  <si>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</si>
  <si>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</si>
  <si>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</si>
  <si>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</si>
  <si>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</si>
  <si>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</si>
  <si>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</si>
  <si>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</si>
  <si>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</si>
  <si>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</si>
  <si>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</si>
  <si>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</si>
  <si>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</si>
  <si>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</si>
  <si>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</si>
  <si>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</si>
  <si>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</si>
  <si>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</si>
  <si>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</si>
  <si>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</si>
  <si>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</si>
  <si>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</si>
  <si>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</si>
  <si>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</si>
  <si>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</si>
  <si>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</si>
  <si>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</si>
  <si>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</si>
  <si>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</si>
  <si>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</si>
  <si>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</si>
  <si>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</si>
  <si>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</si>
  <si>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</si>
  <si>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</si>
  <si>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</si>
  <si>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</si>
  <si>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</si>
  <si>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</si>
  <si>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</si>
  <si>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</si>
  <si>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</si>
  <si>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</si>
  <si>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</si>
  <si>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</si>
  <si>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</si>
  <si>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</si>
  <si>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</si>
  <si>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</si>
  <si>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</si>
  <si>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</si>
  <si>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</si>
  <si>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</si>
  <si>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</si>
  <si>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</si>
  <si>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</si>
  <si>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</si>
  <si>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</si>
  <si>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</si>
  <si>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</si>
  <si>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</si>
  <si>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</si>
  <si>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</si>
  <si>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</si>
  <si>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</si>
  <si>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</si>
  <si>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</si>
  <si>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</si>
  <si>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</si>
  <si>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</si>
  <si>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</si>
  <si>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</si>
  <si>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</si>
  <si>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</si>
  <si>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</si>
  <si>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</si>
  <si>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</si>
  <si>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</si>
  <si>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</si>
  <si>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</si>
  <si>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</si>
  <si>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</si>
  <si>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</si>
  <si>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</si>
  <si>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</si>
  <si>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</si>
  <si>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</si>
  <si>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</si>
  <si>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</si>
  <si>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</si>
  <si>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</si>
  <si>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</si>
  <si>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</si>
  <si>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</si>
  <si>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</si>
  <si>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</si>
  <si>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</si>
  <si>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</si>
  <si>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</si>
  <si>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</si>
  <si>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</si>
  <si>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</si>
  <si>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</si>
  <si>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</si>
  <si>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</si>
  <si>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</si>
  <si>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</si>
  <si>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</si>
  <si>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</si>
  <si>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</si>
  <si>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</si>
  <si>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</si>
  <si>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</si>
  <si>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</si>
  <si>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</si>
  <si>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</si>
  <si>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</si>
  <si>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</si>
  <si>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</si>
  <si>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</si>
  <si>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</si>
  <si>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</si>
  <si>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</si>
  <si>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</si>
  <si>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</si>
  <si>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</si>
  <si>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</si>
  <si>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</si>
  <si>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</si>
  <si>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</si>
  <si>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</si>
  <si>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</si>
  <si>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</si>
  <si>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</si>
  <si>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</si>
  <si>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</si>
  <si>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</si>
  <si>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</si>
  <si>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</si>
  <si>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</si>
  <si>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</si>
  <si>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</si>
  <si>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</si>
  <si>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</si>
  <si>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</si>
  <si>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</si>
  <si>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</si>
  <si>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</si>
  <si>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</si>
  <si>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</si>
  <si>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</si>
  <si>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</si>
  <si>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</si>
  <si>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</si>
  <si>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</si>
  <si>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</si>
  <si>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</si>
  <si>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</si>
  <si>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</si>
  <si>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</si>
  <si>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</si>
  <si>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</si>
  <si>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</si>
  <si>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</si>
  <si>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</si>
  <si>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</si>
  <si>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</si>
  <si>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</si>
  <si>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</si>
  <si>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</si>
  <si>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</si>
  <si>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</si>
  <si>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</si>
  <si>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</si>
  <si>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</si>
  <si>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</si>
  <si>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</si>
  <si>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</si>
  <si>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</si>
  <si>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</si>
  <si>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</si>
  <si>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</si>
  <si>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</si>
  <si>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</si>
  <si>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</si>
  <si>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</si>
  <si>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</si>
  <si>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</si>
  <si>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</si>
  <si>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</si>
  <si>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</si>
  <si>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</si>
  <si>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</si>
  <si>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</si>
  <si>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</si>
  <si>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</si>
  <si>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</si>
  <si>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</si>
  <si>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</si>
  <si>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</si>
  <si>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</si>
  <si>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</si>
  <si>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</si>
  <si>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</si>
  <si>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</si>
  <si>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</si>
  <si>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</si>
  <si>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</si>
  <si>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</si>
  <si>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</si>
  <si>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</si>
  <si>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</si>
  <si>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</si>
  <si>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</si>
  <si>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</si>
  <si>
    <t>bright-moth-reed</t>
  </si>
  <si>
    <t>calm-tiger-flint</t>
  </si>
  <si>
    <t>silver-dove-moss</t>
  </si>
  <si>
    <t>silent-seal-marble</t>
  </si>
  <si>
    <t>radiant-quail-lotus</t>
  </si>
  <si>
    <t>young-fox-flint</t>
  </si>
  <si>
    <t>steady-ant-cloud</t>
  </si>
  <si>
    <t>azure-falcon-cypress</t>
  </si>
  <si>
    <t>calm-moth-ivy</t>
  </si>
  <si>
    <t>young-wolf-cedar</t>
  </si>
  <si>
    <t>silver-raven-granite</t>
  </si>
  <si>
    <t>amber-boar-ice</t>
  </si>
  <si>
    <t>wild-cat-jade</t>
  </si>
  <si>
    <t>violet-ant-onyx</t>
  </si>
  <si>
    <t>young-dove-rose</t>
  </si>
  <si>
    <t>misty-ibis-clay</t>
  </si>
  <si>
    <t>scarlet-panther-opal</t>
  </si>
  <si>
    <t>azure-toad-ice</t>
  </si>
  <si>
    <t>noble-heron-rose</t>
  </si>
  <si>
    <t>solid-fox-crystal</t>
  </si>
  <si>
    <t>wild-crane-lotus</t>
  </si>
  <si>
    <t>mellow-bison-reed</t>
  </si>
  <si>
    <t>misty-lynx-snow</t>
  </si>
  <si>
    <t>green-ant-granite</t>
  </si>
  <si>
    <t>steady-fox-ash</t>
  </si>
  <si>
    <t>strong-eagle-crystal</t>
  </si>
  <si>
    <t>rapid-dove-frost</t>
  </si>
  <si>
    <t>EVQLVESGGGLVQPGGSLRLSCAASGFATVSSNYMSWVRQAPGKGLEWVSVIYSCGSTYYADSVKGRFTISRDNSKNTLYLQMNSLRAEDTAVYYCARYYYDSSRSGYYYYFDYWGQGTLVTVSS</t>
  </si>
  <si>
    <t>sbio-nipahgpg-118</t>
  </si>
  <si>
    <t>sbio-nipahgpg-119</t>
  </si>
  <si>
    <t>DIVLTQSPASLAVSLGQRATISCKASQSVDYDGDSYMHWYQQKPGQPPKLLIYRASNLESGIPARFSGSGSRTDFTLTINPVEADDVATYYCQQSNYPLTFGSGTKVEIK</t>
  </si>
  <si>
    <t>peleke-phi-4 (humanized)</t>
  </si>
  <si>
    <t>EVQLLESGGGLVQPGGSLRLSCAASGFTFSSYAMSWVRQAPGKGLEWVSYISSSSSTIYYADSVKGRFTISRDNAKNSLYLQMNSLRAEDTAVYYCAKYSSYDYDYWGRGTMVTVSS</t>
  </si>
  <si>
    <t>DIQLTQSPSSLSASVGDRVTITCRASQGISSYLNWYQQKPGKAPKLLIYDASSLQSGVPSRFSGSGSGTDFTLTISSLQPEDFATYYCQQFYEWLRTFGQGTRLEIK</t>
  </si>
  <si>
    <t>brisk-vole-plume</t>
  </si>
  <si>
    <t>hollow-hawk-iron</t>
  </si>
  <si>
    <t>misty-quail-pearl</t>
  </si>
  <si>
    <t>gentle-fox-plume</t>
  </si>
  <si>
    <t>silver-quail-maple</t>
  </si>
  <si>
    <t>frozen-boar-ruby</t>
  </si>
  <si>
    <t>small-wolf-oak</t>
  </si>
  <si>
    <t>peleke-1 + AntiBMPNN</t>
  </si>
  <si>
    <t>sbio-nipahgpg-120</t>
  </si>
  <si>
    <t>sbio-nipahgpg-121</t>
  </si>
  <si>
    <t>sbio-nipahgpg-122</t>
  </si>
  <si>
    <t>sbio-nipahgpg-123</t>
  </si>
  <si>
    <t>sbio-nipahgpg-124</t>
  </si>
  <si>
    <t>sbio-nipahgpg-125</t>
  </si>
  <si>
    <t>sbio-nipahgpg-126</t>
  </si>
  <si>
    <t>sbio-nipahgpg-127</t>
  </si>
  <si>
    <t>sbio-nipahgpg-128</t>
  </si>
  <si>
    <t>sbio-nipahgpg-129</t>
  </si>
  <si>
    <t>peleke-phi-4 / 000</t>
  </si>
  <si>
    <t>EVQLVESGGGLVQPGGSLRLSCAASGFNISDSSIHWVRQAPGKGLEWVASISSYSGYTYYADSVKGRFTISADTSKNTAYLQMNSLRAEDTAVYYCARGGRDLFGLDALDYWGQGTLVTVSS</t>
  </si>
  <si>
    <t>EVQLVESGGGLVQPGGSLRLSCAASGFNISSSSIHWVRQAPGKGLEWVASIYSYSGLTYYADSVKGRFTISADTSKNTAYLQMNSLRAEDTAVYYCARGGYYLDGLYALDYWGQGTLVTVSS</t>
  </si>
  <si>
    <t>EVQLVESGGGLVQPGGSLRLSCAASGFNISSSSIHWVRQAPGKGLEWVASIYSYSGATYYADSVKGRFTISADTSKNTAYLQMNSLRAEDTAVYYCARGGNHLDGLYALDYWGQGTLVTVSS</t>
  </si>
  <si>
    <t>EVQLVESGGGLVQPGGSLRLSCAASGFNISSSSIHWVRQAPGKGLEWVASIYSYSGYTYYADSVKGRFTISADTSKNTAYLQMNSLRAEDTAVYYCARGGRYLDGLFALDYWGQGTLVTVSS</t>
  </si>
  <si>
    <t>EVQLVESGGGLVQPGGSLRLSCAASGFNISSSSIHWVRQAPGKGLEWVASISSYSGYTYYADSVKGRFTISADTSKNTAYLQMNSLRAEDTAVYYCARGGSLLRGLSALDYWGQGTLVTVSS</t>
  </si>
  <si>
    <t>EVQLVESGGGLVQPGGSLRLSCAASGFNISDSSIHWVRQAPGKGLEWVASISSYSGYTYYADSVKGRFTISADTSKNTAYLQMNSLRAEDTAVYYCARGGRYLDGLYALDYWGQGTLVTVSS</t>
  </si>
  <si>
    <t>EVQLVESGGGLVQPGGSLRLSCAASGFNISSSSIHWVRQAPGKGLEWVASISSYSGYTYYADSVKGRFTISADTSKNTAYLQMNSLRAEDTAVYYCARGGSYLDGLSALDYWGQGTLVTVSS</t>
  </si>
  <si>
    <t>EVQLVESGGGLVQPGGSLRLSCAASGFNISDSSIHWVRQAPGKGLEWVASIYNYSGYTYYADSVKGRFTISADTSKNTAYLQMNSLRAEDTAVYYCARGGYYLDGLDALDYWGQGTLVTVSS</t>
  </si>
  <si>
    <t>EVQLVESGGGLVQPGGSLRLSCAASGFNISDYSIHWVRQAPGKGLEWVASIYNRSGYTYYADSVKGRFTISADTSKNTAYLQMNSLRAEDTAVYYCARGGYYLDGLYALDYWGQGTLVTVSS</t>
  </si>
  <si>
    <t>EVQLVESGGGLVQPGGSLRLSCAASGFNISSSSIHWVRQAPGKGLEWVASISSYSGYTYYADSVKGRFTISADTSKNTAYLQMNSLRAEDTAVYYCARGGHDLDGLYALDYWGQGTLVTVSS</t>
  </si>
  <si>
    <t>silent-wolf-ember</t>
  </si>
  <si>
    <t>lunar-ox-vine</t>
  </si>
  <si>
    <t>bright-crow-wave</t>
  </si>
  <si>
    <t>frozen-bee-crystal</t>
  </si>
  <si>
    <t>young-bee-orchid</t>
  </si>
  <si>
    <t>wild-boar-quartz</t>
  </si>
  <si>
    <t>steady-hawk-pine</t>
  </si>
  <si>
    <t>wild-shark-clay</t>
  </si>
  <si>
    <t>hollow-orca-rose</t>
  </si>
  <si>
    <t>dark-quail-thorn</t>
  </si>
  <si>
    <t>sbio-nipahgpg-130</t>
  </si>
  <si>
    <t>sbio-nipahgpg-131</t>
  </si>
  <si>
    <t>sbio-nipahgpg-132</t>
  </si>
  <si>
    <t>sbio-nipahgpg-133</t>
  </si>
  <si>
    <t>sbio-nipahgpg-134</t>
  </si>
  <si>
    <t>sbio-nipahgpg-135</t>
  </si>
  <si>
    <t>sbio-nipahgpg-136</t>
  </si>
  <si>
    <t>sbio-nipahgpg-137</t>
  </si>
  <si>
    <t>sbio-nipahgpg-138</t>
  </si>
  <si>
    <t>sbio-nipahgpg-139</t>
  </si>
  <si>
    <t>EVQLVESGGGLVKPGGSLKVSCAASGFTFSSYAMHWVRQAPGKGLEWVSYIWSGADSIGYADSVKGRFTISRDNAKNSLYLQMNSLRAGDTAVYYCARDDDAFDYWGQGTAVTVSS</t>
  </si>
  <si>
    <t>EVQLVESGGGLVKPGGSLKVSCAASGFTFSSYSMHWVRQAPGKGLEWVSSIWSGADSTGYADSVKGRFTISRDNAKNSLYLQMNSLRAGDTAVYYCARDDDAFDYWGQGTAVTVSS</t>
  </si>
  <si>
    <t>EVQLVESGGGLVKPGGSLKVSCAASGFTFSSYAMHWVRQAPGKGLEWVSRIWSGADSTGYADSVKGRFTISRDNAKNSLYLQMNSLRAGDTAVYYCARDDDAFDYWGQGTAVTVSS</t>
  </si>
  <si>
    <t>EVQLVESGGGLVKPGGSLKVSCAASGFTFSSYAMHWVRQAPGKGLEWVSYIWSGADSIGYADSVKGRFTISRDNAKNSLYLQMNSLRAGDTAVYYCARYDDAFDYWGQGTAVTVSS</t>
  </si>
  <si>
    <t>EVQLVESGGGLVKPGGSLKVSCAASGFTFSSYSMHWVRQAPGKGLEWVSRIWSGTDSIGYADSVKGRFTISRDNAKNSLYLQMNSLRAGDTAVYYCARDDDAFDYWGQGTAVTVSS</t>
  </si>
  <si>
    <t>EVQLVESGGGLVKPGGSLKVSCAASGFTFSSYAMHWVRQAPGKGLEWVSYIWSGVDSIGYADSVKGRFTISRDNAKNSLYLQMNSLRAGDTAVYYCARDDDAFDYWGQGTAVTVSS</t>
  </si>
  <si>
    <t>EVQLVESGGGLVKPGGSLKVSCAASGFTFSSFAMHWVRQAPGKGLEWVSYIWSGADSTGYADSVKGRFTISRDNAKNSLYLQMNSLRAGDTAVYYCARDDDAFDYWGQGTAVTVSS</t>
  </si>
  <si>
    <t>EVQLVESGGGLVKPGGSLKVSCAASGFTFSSYSMVWVRQAPGKGLEWVSRIWSGVDSTGYADSVKGRFTISRDNAKNSLYLQMNSLRAGDTAVYYCARDDDAFDYWGQGTAVTVSS</t>
  </si>
  <si>
    <t>EVQLVESGGGLVKPGGSLKVSCAASGFTFSSYAMHWVRQAPGKGLEWVSYIWSGADSIGYADSVKGRFTISRDNAKNSLYLQMNSLRAGDTAVYYCARDDDAFDYWGQGTAVTVSSGGGSGGGSGGGSDIQMTQSPSSLSASVGDRVTITCQASQDIRFYLNWYQQKPGKAPKLLISAASTLQSGVPSRFSGSGSGTDFTLTITSLQPEDFATYYCAGYVPSYTFGPGTKVDIK</t>
  </si>
  <si>
    <t>EVQLVESGGGLVKPGGSLKVSCAASGFTFSSYSMHWVRQAPGKGLEWVSSIWSGADSTGYADSVKGRFTISRDNAKNSLYLQMNSLRAGDTAVYYCARDDDAFDYWGQGTAVTVSSGGGSGGGSGGGSDIQMTQSPSSLSASVGDRVTITCQASQDIRFYLNWYQQKPGKAPKLLISAASTLQSGVPSRFSGSGSGTDFTLTITSLQPEDFATYYCAGYVPSYTFGPGTKVDIK</t>
  </si>
  <si>
    <t>EVQLVESGGGLVKPGGSLKVSCAASGFTFSSYAMHWVRQAPGKGLEWVSRIWSGADSTGYADSVKGRFTISRDNAKNSLYLQMNSLRAGDTAVYYCARDDDAFDYWGQGTAVTVSSGGGSGGGSGGGSDIQMTQSPSSLSASVGDRVTITCQASQDIRFYLNWYQQKPGKAPKLLISAASTLQSGVPSRFSGSGSGTDFTLTITSLQPEDFATYYCAGYVPSYTFGPGTKVDIK</t>
  </si>
  <si>
    <t>EVQLVESGGGLVKPGGSLKVSCAASGFTFSSYAMHWVRQAPGKGLEWVSYIWSGADSIGYADSVKGRFTISRDNAKNSLYLQMNSLRAGDTAVYYCARYDDAFDYWGQGTAVTVSSGGGSGGGSGGGSDIQMTQSPSSLSASVGDRVTITCQASQDIRFYLNWYQQKPGKAPKLLISAASTLQSGVPSRFSGSGSGTDFTLTITSLQPEDFATYYCAGYVPSYTFGPGTKVDIK</t>
  </si>
  <si>
    <t>EVQLVESGGGLVKPGGSLKVSCAASGFTFSSYSMHWVRQAPGKGLEWVSRIWSGTDSIGYADSVKGRFTISRDNAKNSLYLQMNSLRAGDTAVYYCARDDDAFDYWGQGTAVTVSSGGGSGGGSGGGSDIQMTQSPSSLSASVGDRVTITCQASQDIRFYLNWYQQKPGKAPKLLISAASTLQSGVPSRFSGSGSGTDFTLTITSLQPEDFATYYCAGYVPSYTFGPGTKVDIK</t>
  </si>
  <si>
    <t>EVQLVESGGGLVKPGGSLKVSCAASGFTFSSYAMHWVRQAPGKGLEWVSYIWSGVDSIGYADSVKGRFTISRDNAKNSLYLQMNSLRAGDTAVYYCARDDDAFDYWGQGTAVTVSSGGGSGGGSGGGSDIQMTQSPSSLSASVGDRVTITCQASQDIRFYLNWYQQKPGKAPKLLISAASTLQSGVPSRFSGSGSGTDFTLTITSLQPEDFATYYCAGYVPSYTFGPGTKVDIK</t>
  </si>
  <si>
    <t>EVQLVESGGGLVKPGGSLKVSCAASGFTFSSFAMHWVRQAPGKGLEWVSYIWSGADSTGYADSVKGRFTISRDNAKNSLYLQMNSLRAGDTAVYYCARDDDAFDYWGQGTAVTVSSGGGSGGGSGGGSDIQMTQSPSSLSASVGDRVTITCQASQDIRFYLNWYQQKPGKAPKLLISAASTLQSGVPSRFSGSGSGTDFTLTITSLQPEDFATYYCAGYVPSYTFGPGTKVDIK</t>
  </si>
  <si>
    <t>EVQLVESGGGLVKPGGSLKVSCAASGFTFSSYSMVWVRQAPGKGLEWVSRIWSGVDSTGYADSVKGRFTISRDNAKNSLYLQMNSLRAGDTAVYYCARDDDAFDYWGQGTAVTVSSGGGSGGGSGGGSDIQMTQSPSSLSASVGDRVTITCQASQDIRFYLNWYQQKPGKAPKLLISAASTLQSGVPSRFSGSGSGTDFTLTITSLQPEDFATYYCAGYVPSYTFGPGTKVDIK</t>
  </si>
  <si>
    <t>EIVMTQSPGTPSLSPGERATLSCRASQSIRSTYLAWYQQKPGQAPRLLIYGASSRATGIPDRFSGSGSGTDFTLTISRLEPEDFAVYYCQQYGRSPSFGQGTKVEIK</t>
  </si>
  <si>
    <t>EVQLVQSGAEVKKRGSSVKVSCKSSGGTFSNYAINWVRQAPGQGLEWMGGIIPILGIANYAQKFQGRVTITTDESTSTAYMELSSLRSEDTAVYYCARGWGREQLAPHPSQYYYYYYGMDVWGQGTTVTVSS</t>
  </si>
  <si>
    <t>m102.3</t>
  </si>
  <si>
    <t>6CMI_HL</t>
  </si>
  <si>
    <t>GGGSGGGSGGG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</si>
</sst>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5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 Ford" refreshedDate="45984.413934027776" createdVersion="8" refreshedVersion="8" minRefreshableVersion="3" recordCount="149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149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s v="sbio-nipahgpg-088"/>
        <s v="sbio-nipahgpg-089"/>
        <s v="sbio-nipahgpg-090"/>
        <s v="sbio-nipahgpg-091"/>
        <s v="sbio-nipahgpg-092"/>
        <s v="sbio-nipahgpg-093"/>
        <s v="sbio-nipahgpg-094"/>
        <s v="sbio-nipahgpg-095"/>
        <s v="sbio-nipahgpg-096"/>
        <s v="sbio-nipahgpg-097"/>
        <s v="sbio-nipahgpg-098"/>
        <s v="sbio-nipahgpg-099"/>
        <s v="sbio-nipahgpg-100"/>
        <s v="sbio-nipahgpg-101"/>
        <s v="sbio-nipahgpg-102"/>
        <s v="sbio-nipahgpg-103"/>
        <s v="sbio-nipahgpg-104"/>
        <s v="sbio-nipahgpg-105"/>
        <s v="sbio-nipahgpg-106"/>
        <s v="sbio-nipahgpg-107"/>
        <s v="sbio-nipahgpg-108"/>
        <s v="sbio-nipahgpg-109"/>
        <s v="sbio-nipahgpg-110"/>
        <s v="sbio-nipahgpg-111"/>
        <s v="sbio-nipahgpg-112"/>
        <s v="sbio-nipahgpg-113"/>
        <s v="sbio-nipahgpg-114"/>
        <s v="sbio-nipahgpg-115"/>
        <s v="sbio-nipahgpg-116"/>
        <s v="sbio-nipahgpg-117"/>
        <s v="sbio-nipahgpg-118"/>
        <s v="sbio-nipahgpg-119"/>
        <s v="sbio-nipahgpg-120"/>
        <s v="sbio-nipahgpg-121"/>
        <s v="sbio-nipahgpg-122"/>
        <s v="sbio-nipahgpg-123"/>
        <s v="sbio-nipahgpg-124"/>
        <s v="sbio-nipahgpg-125"/>
        <s v="sbio-nipahgpg-126"/>
        <s v="sbio-nipahgpg-127"/>
        <s v="sbio-nipahgpg-128"/>
        <s v="sbio-nipahgpg-129"/>
        <s v="sbio-nipahgpg-130"/>
        <s v="sbio-nipahgpg-131"/>
        <s v="sbio-nipahgpg-132"/>
        <s v="sbio-nipahgpg-133"/>
        <s v="sbio-nipahgpg-134"/>
        <s v="sbio-nipahgpg-135"/>
        <s v="sbio-nipahgpg-136"/>
        <s v="sbio-nipahgpg-137"/>
        <s v="sbio-nipahgpg-138"/>
        <s v="sbio-nipahgpg-139"/>
        <s v="sbio-nipahgpg-140"/>
        <s v="sbio-nipahgpg-141"/>
        <s v="sbio-nipahgpg-142"/>
        <s v="sbio-nipahgpg-143"/>
        <s v="sbio-nipahgpg-144"/>
        <s v="sbio-nipahgpg-145"/>
        <s v="sbio-nipahgpg-146"/>
        <s v="sbio-nipahgpg-147"/>
        <s v="sbio-nipahgpg-148"/>
        <s v="sbio-nipahgpg-149"/>
        <s v="sbio-nipahgpg-150"/>
        <m/>
      </sharedItems>
    </cacheField>
    <cacheField name="method" numFmtId="0">
      <sharedItems containsBlank="1"/>
    </cacheField>
    <cacheField name="model_version" numFmtId="0">
      <sharedItems containsBlank="1" count="11">
        <s v="peleke-phi-4"/>
        <s v="Qwen3-235B-A22B-Instruct-2507"/>
        <s v="peleke-phi-4 / v_48_020"/>
        <s v="peleke-phi-4 / v_48_030"/>
        <s v="v_48_020"/>
        <s v="peleke-mistral-7b-instruct-v0.2"/>
        <s v="GPT-4o"/>
        <s v="GPT-4o /  v_48_030"/>
        <s v="peleke-phi-4 (humanized)"/>
        <s v="peleke-phi-4 / 000"/>
        <m/>
      </sharedItems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136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s v="EVQLVESGGGLVQPGGSLRLSCAASGFNVSYSSIHWVRQAPGKGLEWVASIYSYSGYTYYADSVKGRFTISADTSKNTAYLQMNSLRAEDTAVYYCARGWYSYFDYWGQGTLVTVSSGGGSGGGSGGGSGGGSDIQMTQSPSSLSASVGDRVTITCRASQSVSSAVAWYQQKPGKAPKLLIYSASSLYSGVPSRFSGSRSGTDFTLTISSLQPEDFATYYCQQYKYVPVTFGQGTKVEIK"/>
        <s v="QVQLVQSGAEVKKPGSSVKVSCKASGGTFSSYAISWVRQAPGQGLEWMGGIIIFGTANYAQKFQGRVTITADKSTSTAYMELRSEDTAVYYCAREGTTGWDYWGQGTLVTVSSGGGSGGGSGGGSGGGSEIVLTQSPGTLSLSPGERATLSCRASQSVSSSYLAWYQQKPGQAPRLLIYGASSRATGIPDRFSGSGSGTDFTLTISRLEPEDFAVYYCQQYGSSPRTFGQGTKVEIK"/>
        <s v="EVQLVESGGGLVQPGGSLRLSCAASGFNVSYYSIHWVRQAPGKGLEWVASIYSYSGYTSYADSVKGRFTISADTSKNTAYLQMNSLRAEDTAVYYCARYYVYYGAMDYWGQGTLVTVSSGGGSGGGSGGGSGGGSDIQMTQSPSSLSASVGDRVTITCRASQSVSSAVAWYQQKPGKAPKLLIYSASSLYSGVPSRFSGSRSGTDFTLTISSLQPEDFATYYCQQYKYVPVTFGQGTKVEIK"/>
        <s v="EVQLVESGGGLVQPGGSLRLSCAASGFNVSYSSIHWVRQAPGKGLEWVASIYSYSGYTYYADSVKGRFTISADTSKNTAYLQMNSLRAEDTAVYYCARGWVRGSSYWGQGTLVTVSSGGGSGGGSGGGSGGGSDIQMTQSPSSLSASVGDRVTITCRASQSVSSAVAWYQQKPGKAPKLLIYSASSLYSGVPSRFSGSRSGTDFTLTISSLQPEDFATYYCQQYKYVPVTFGQGTKVEIK"/>
        <s v="EVQLVESGGGLVQPGGSLRLSCAASGFNVSYSSIHWVRQAPGKGLEWVASIYSYSGYTNYADSVKGRFTISADTSKNTAYLQMNSLRAEDTAVYYCARYYGGYGGYFDYWGQGTLVTVSSGGGSGGGSGGGSGGGSDIQMTQSPSSLSASVGDRVTITCRASQSVSSAVAWYQQKPGKAPKLLIYSASSLYSGVPSRFSGSRSGTDFTLTISSLQPEDFATYYCQQYKYVPVTFGQGTKVEIK"/>
        <s v="EVQLVESGGGLVQPGGSLRLSCAASGFNVSYYSIHWVRQAPGKGLEWVASIYPYSGYTNYADSVKGRFTISADTSKNTAYLQMNSLRAEDTAVYYCARYYGYWYFDYWGQGTLVTVSSGGGSGGGSGGGSGGGSDIQMTQSPSSLSASVGDRVTITCRASQSVSSAVAWYQQKPGKAPKLLIYSASSLYSGVPSRFSGSRSGTDFTLTISSLQPEDFATYYCQQYKYVPVTFGQGTKVEIK"/>
        <s v="EVQLVESGGGLVQPGGSLRLSCAASGFNVSYSSIHWVRQAPGKGLEWVASIYSYSGYTSYADSVKGRFTISADTSKNTAYLQMNSLRAEDTAVYYCARYYGGYGGWYFDYWGQGTLVTVSSGGGSGGGSGGGSGGGSDIQMTQSPSSLSASVGDRVTITCRASQSVSSAVAWYQQKPGKAPKLLIYSASSLYSGVPSRFSGSRSGTDFTLTISSLQPEDFATYYCQQYKYVPVTFGQGTKVEIK"/>
        <s v="EVQLVESGGGLVQPGGSLRLSCAASGFNVSYYSIHWVRQAPGKGLEWVASISSYYGYTYYADSVKGRFTISADTSKNTAYLQMNSLRAEDTAVYYCARYYGYWYFDYWGQGTLVTVSSGGGSGGGSGGGSGGGSDIQMTQSPSSLSASVGDRVTITCRASQSVSSAVAWYQQKPGKAPKLLIYSASSLYSGVPSRFSGSRSGTDFTLTISSLQPEDFATYYCQQYKYVPVTFGQGTKVEIK"/>
        <s v="EVQLVESGGGLVQPGGSLRLSCAASGFNVSYYSIHWVRQAPGKGLEWVASISSYYGYTYYADSVKGRFTISADTSKNTAYLQMNSLRAEDTAVYYCARYYGTYYGHSYWGQGTLVTVSSGGGSGGGSGGGSGGGSDIQMTQSPSSLSASVGDRVTITCRASQSVSSAVAWYQQKPGKAPKLLIYSASSLYSGVPSRFSGSRSGTDFTLTISSLQPEDFATYYCQQYKYVPVTFGQGTKVEIK"/>
        <s v="EVQLVESGGGLVQPGGSLRLSCAASGFNVSYSSIHWVRQAPGKGLEWVASIYSYSGYTNYADSVKGRFTISADTSKNTAYLQMNSLRAEDTAVYYCARYWYFGYFDYWGQGTLVTVSSGGGSGGGSGGGSGGGSDIQMTQSPSSLSASVGDRVTITCRASQSVSSAVAWYQQKPGKAPKLLIYSASSLYSGVPSRFSGSRSGTDFTLTISSLQPEDFATYYCQQYKYVPVTFGQGTKVEIK"/>
        <s v="EVQLVESGGGLVKPGGSLRLSCAASGFTFRNYAMSWVRQAPGKGLEWVSSISSKSKSTSYADSVKGRFTISRDNAKNSLYLQMNSLRAEDTAVYYCARESGSFSYEGVWGQGTLVTVSSGGGSGGGSGGGSGGGSSVLTQPPSVSGAPGQRVTISCTGSSSNIGAGYDVHWYQQLPGTAPKLLIYDNNKRPSGVPDRFSGSKSGTSASLAITGLQAEDEADYYCQSYDSSLSGLVFGGGTKLTVL"/>
        <s v="EVQLVESGGGLVQPGGSLRLSCAASGFNISSSSIHWVRQAPGKGLEWVASIYYSSGYTHYADSVKGRFTISADTSKNTAYLQMNSLRAEDTAVYYCARWGYWPGQVWLWFAYWGQGTLVTVSGGGSGGGSGGGSGGGSDIQMTQSPSSLSASVGDRVTITCRASQSVSSAVAWYQQKPGKAPKLLIYSASSLYSGVPSRFSGSRSGTDFTLTISSLQPEDFATYYCQQSSSSLITFGQGTKVEIK"/>
        <s v="QVQLVQSGAEVKKPGSSVKVSCKSSGGTSNNYAISWVRQAPGQGLEWMGGIIPILGIANYAQKFQGRVTITADKSTSTAYMELSSLRSEDTAVYYCAREDAVVDYWGQGTLVTVSSGGGSGGGSGGGSGGGSDIQMTQSPSTLSASVGDRVTITCRASQGISSWLAWYQQKPGKAPKLLIYKASSLESGVPSRFSGSGSGTEFTLTISSLQPDDFATYYCQQYNSYPLTFGQGTKVQVK"/>
        <s v="EVQLVESGGGLVQPGGSLRLSCAASGFNVSSSSIHWVRQAPGKGLEWVASISSYYGYTYYADSVKGRFTISADTSKNTAYLQMNSLRAEDTAVYYCARHWGYCSWFAYWGQGTLVTVSSGGGSGGGSGGGSGGGSDIQMTQSPSSLSASVGDRVTITCRASQSVSSAVAWYQQKPGKAPKLLIYSASSLYSGVPSRFSGSRSGTDFTLTISSLQPEDFATYYCQQYKYVPVTFGQGTKVEIK"/>
        <s v="EVQLVESGGGLVQPGGSLRLSCAASGFNISSSSIHWVRQAPGKGLEWVASIYSYSGYTSYADSVKGRFTISADTSKNTAYLQMNSLRAEDTAVYYCARGSHYFGYFDYWGQGTLVTVSSGGGSGGGSGGGSGGGSDIQMTQSPSSLSASVGDRVTITCRASQSVSSAVAWYQQKPGKAPKLLIYSASSLYSGVPSRFSGSRSGTDFTLTISSLQPEDFATYYCQQSSSSLITFGQGTKVEIK"/>
        <s v="QVQLQESGPGLVKPSQTLSLTCTVSGGSISSGDYYWIRQHPGKGLEWIGYIYYSGSTDYNPSLKSRVTISVDTSKNQFSLKVTAADTAVYYCARTWFGSDYWGQGTLVTVSSGGGSGGGSGGGSGGGSDIQMTQSPSSLSASVGDRVTITCRASQGISNYLAWYQQKPGKAPKLLIYAASTLQSGVPSRFSGSGSGTDFTLTISSLQPEDFATYYCQQAHSFPYTFGGGTKLEIK"/>
        <s v="EVQLVESGGGLVQPGGSLRLSCAASGFTFSSYWMNWVRQAPGKGLEWVAFIRYDGGNKYYADSVKGRFTISRDNSKNTLYLQMNSLRAEDTAVYYCARWSYSGGSGSYYVYFDYWGQGTLVTVSGGGSGGGSGGGSGGGSSVLTQPPSVSGAPGQRVTISCTGSSSNIGAGYDVHWYQQLPGTAPKLLIYGNSNRPSGVPDRFSGSKSGTSASLAITGLQAEDEADYYCQSYDSSLSGSVFGGGTKLTVL"/>
        <s v="QVQLVQSGAEVKKPGASVKVSCKASGYTFTNYYIHWVRQAPGQGLEWMGWIYPGGNTNYAQKFQGRVTMTRDTSISTAYMELSRLRSDDTAVYYCARVRTEFDYWGQGTLVTVSSGGGSGGGSGGGSGGGSDIVMTQSPSSLAMSAGAETITCRSSQSVHSNGYLNWYQQKPGQPPKLLIYWASTRESGVPDRFTGSGSGTDFTLTITNVQSEDLAEYFCQQYSSYPLTFGAGTKLELR"/>
        <s v="QVQLQESGPGLVKPSETLSLTCTVSGGSVSSGGYFWSWIRQPPGKGLEWIGYVSGSGSTNYNPSLKSRVTISVDTSKNQFSLKLSSVTAADTAVYYCARWDVWISDYWGQGTLVTVSSGGGSGGGSGGGSGGGSEIVLTQSPATLSLSPGERATLSCRASQSVSSYLAWYQQKPGQAPRLLIYDASNRATGIPARFSGSGSGTDFTLTISSLEPEDFAVYYCQHSWDQPPWTFGQGTKVEIK"/>
        <s v="QVQLQESGPGLVKPSQTLSLTCTVTGSSITSGYWNWIRQFPGNKLEWMGYISYSGTITYNPSLKSRISITRDTSKNQFFLQLNSVTTEDTATYYCARVYDGFYDYWGQGTLVTVSSGGGSGGGSGGGSGGGSDIVMTQSPSSLSASVGDRVTITCRASQGISSWLAWYQQKPGKAPKLLIYKASSLESGVPSRFSGSGSGTEFTLTISSLQPDDFATYYCQQYNSYPLTFGGGTKVEIK"/>
        <s v="QVQLVESGGGVVQPGRSLRLSCAASGFTFSNYAMHWVRQAPGKGLEWVAVISYNSGNPYADSVKGRFTISRDNSKNTLYLQMRVEDTAVYYCSRTTIGYGGDIWGNMFDYWGQGTLVTVSSGGGSGGGSGGGSGGGSDIVMTQSPATLSVSPGDRATLSCRASQSISTNLAWYQQKPGQAPRLLIYTASTLESGVPSRFSGSGSGTEFTLTISNLQSEDFATYFCQQYSAPLTFGGGTKVEIK"/>
        <s v="EVQLVESGGGLVQPGGSLRLSCAASGFASSSSNYVHWVRQAPGKGLEWVATIYPYSSSEYAASVQGRFTISRDDSKNTLYLQMNSLRGEDTAVYYCARYGYYSSRSGYGYYFNYWGQGTLVTVSSGGGSGGGSGGGSDIVMTQSPASLAVSLGQRATISCRASESVDSYGNSFLAWYQQKPGQPPKLLIYWASTRQSGVPARFSGSGSGTDFTLNIHPVEEEDAATYYCQQHNYPLTFGAGTKLEIK"/>
        <s v="EVQLVESGAEVKKPGSSVKVSCKASGGPFTSYVISWVRQAPGQGLEWMGRIIPIRGTTYAQKFQGRVTITADKSTSTAYMELRSEDTAVYYCARGSHVFGYYDYWGQGTLVTVSSGGGSGGGSGGGSGGGSEIVLTQSPGTLSLSPGERATLSCRASQSISGNYLAWYQQKPGQAPRLLIYGASIRAAGIPDRFSGSGSGTDFTLTISRLEPEDFAVYYCQQYGSSPRTFGQGTKVEIK"/>
        <s v="EVQLVETGGGLVQPGGSLKLSCRASGYTFTDYAMHWVRQAPLGLGLYTGGVNYARHFMKSRISITRDNSKNTLYLQMTKVDDTATYFCARRGLFDSDYWGQGTLVTVSSGGGSGGGSGGGSGGGSSVTQPPSVSGSTSVGDRVTTCRASQSISSNWLAWYQQFPGTAPKLLIYENSSRPSGVPDRFSGSGSGTDFTLKISRVEAEDVGVYYCLQALSPRFTFGSGTKLEIK"/>
        <s v="QVQLVQSGAEVKKPGSSVKVSCKASGGTFSNYGISWVRQAPGQGLEWMGGIIPILGIANYAQKFQGRVTITADKSTSTAYMELRSLRSDDTAVYYCAREGHAYFHNGLDYWGQGTLVTVSSGGGSGGGSGGGSGGGSEIVLTQSPGTLSLSPGERATLSCRASQSVSSSYFAWYQQKPGQAPRLLIYGASSRATGIPDRFSGSGSGTDFTLTISRLEPEDFAVYYCQQYGSSPPATFGQGTKVEIK"/>
        <s v="QVQLVESGGGVVQPGRSLRLSCAASGFTFSSFGMHWVRQAPGKGLEWVAIIWDGSNKYYADSVKGRFTISRDNSKNTLYLQMRAEDTAVYYCALDGGSFDDYWGQGTLVTVSSGGGSGGGSGGGSGGGSDIQMTQSPSTLSTSVGDRVTITCRASQSISSWLAWYQQKPGKAPKLLIYKASTLESGVPSRFSGSGSGTEFTLTISSLQPDDFATYYCQHFYGTPITFGPGTKVD"/>
        <s v="EVQLVESGGGLVKPGGSLKVSCAASGFTFSDYSMNWVRQAPGKGLEWVSSITSGYTSIYYADSVKGRFTISRDNAKNSLYLQMNSLRAGDTAVYYCARVSDNFDYWGQGTAVTVSSGGGSGGGSGGGSGGGSDIQMTQSPSSLSASVGDRVTITCQASQDIRFYLNWYQQKPGKAPKLLISAASTLQSGVPSRFSGSGSGTDFTLTITSLQPEDFATYYCAGYVPSYTFGPGTKVDIK"/>
        <s v="EVQLQQSGAELVKPGASVKLSCKASGYTFLDYYMYWVKQRPEQGLEWIGRIDPANGNTIYAPKFQDKATLTLTTDTTSSNTAYMQLSSLTSEDSAVYYCAREGNYGYRDLAWFAYWGQGTLVTVSSGGGSGGGSGGGSGGGSAIRMTQSPSSLSASVGDTVTITCRASQSISSYLNWYQQKPGKAPKLLIYTASNLESGVPSRFSGSGSGTDYTLTISSLQPEDIATYYCQQYDNPPLTFGGGTKVEIK"/>
        <s v="QVQLQESGPGLVKPSETLSLTCTVSGGSVSSGGYFWSWIRQRPGKGLEWIGHIYYSGTTNYNPSLRSRVTISRDTSKSQFSLKMDSLTSEDTALYYCARQLGLRFDIWGQGTMVTVSSGGGSGGGSGGGSGGGSDIQMTQSPSSLSASVGDRVTITCRASQSISSYLNWYQQKPGKAPKLLIYAASSLQSGVPSRFSGSGSGTDFTLTISSLQPEDFATYYCQQSYTTPPTFGQGTKVEIK"/>
        <s v="QVQLVESGGGLVQPGGSLRLSCAASGFNLYSSSIHWVRQAPGKGLEWVARIYPSGATYYADSVKGRFTISADTSKNTAYLQMRAEDTAVYYCARSYYGDDYWGQGTLVTVSSGGGSGGGSGGGSGGGSDIQMTQSPSSLSASVGDRVTITCRASQSVSSAVAWYQQKPGKAPKLLIYSASFLYSGVPSRFSGSRSGTDFTLTISSLQPEDFATYYCQQYSYYPFTFGQGTKVEIK"/>
        <s v="EVQLLESGGGLVQPGGSLRLSCAASGFTFSSYAMSWVRQAPGKGLEWVSYISSSSSTIYYADSVKGRFTISRDNAKNSLYLQMNSLRAEDTAVYYCAKYSSYDYDYWGRGTMVTVSSGGGSGGGSGGGSGGGSDIQLTQSPSSLSASVGDRVTITCRASQGISSYLNWYQQKPGKAPKLLIYDASSLQSGVPSRFSGSGSGTDFTLTISSLQPEDFATYYCQQFYEWLRTFGQGTRLEIK"/>
        <s v="EVQLVESGGGLVQPGGSLRLSCAASGFATVSSNYMSWVRQAPGKGLEWVSVIYSCGSTYYADSVKGRFTISRDNSKNTLYLQMNSLRAEDTAVYYCARYYYDSSRSGYYYYFDYWGQGTLVTVSSGGGSGGGSGGGSDIVLTQSPASLAVSLGQRATISCKASQSVDYDGDSYMHWYQQKPGQPPKLLIYRASNLESGIPARFSGSGSRTDFTLTINPVEADDVATYYCQQSNYPLTFGSGTKVEIK"/>
        <s v="EVQLVESGGGLVQPGGSLRLSCAASGFNISDSSIHWVRQAPGKGLEWVASISSYSGYTYYADSVKGRFTISADTSKNTAYLQMNSLRAEDTAVYYCARGGRDLFGLDALDYWGQGTLVTVSSGGGSGGGSGGGSDIQMTQSPSSLSASVGDRVTITCRASQSVSSAVAWYQQKPGKAPKLLIYSASSLYSGVPSRFSGSRSGTDFTLTISSLQPEDFATYYCQQYKYVPVTFGQGTKVEIK"/>
        <s v="EVQLVESGGGLVQPGGSLRLSCAASGFNISSSSIHWVRQAPGKGLEWVASIYSYSGLTYYADSVKGRFTISADTSKNTAYLQMNSLRAEDTAVYYCARGGYYLDGLYALDYWGQGTLVTVSSGGGSGGGSGGGSDIQMTQSPSSLSASVGDRVTITCRASQSVSSAVAWYQQKPGKAPKLLIYSASSLYSGVPSRFSGSRSGTDFTLTISSLQPEDFATYYCQQYKYVPVTFGQGTKVEIK"/>
        <s v="EVQLVESGGGLVQPGGSLRLSCAASGFNISSSSIHWVRQAPGKGLEWVASIYSYSGATYYADSVKGRFTISADTSKNTAYLQMNSLRAEDTAVYYCARGGNHLDGLYALDYWGQGTLVTVSSGGGSGGGSGGGSDIQMTQSPSSLSASVGDRVTITCRASQSVSSAVAWYQQKPGKAPKLLIYSASSLYSGVPSRFSGSRSGTDFTLTISSLQPEDFATYYCQQYKYVPVTFGQGTKVEIK"/>
        <s v="EVQLVESGGGLVQPGGSLRLSCAASGFNISSSSIHWVRQAPGKGLEWVASIYSYSGYTYYADSVKGRFTISADTSKNTAYLQMNSLRAEDTAVYYCARGGRYLDGLFALDYWGQGTLVTVSSGGGSGGGSGGGSDIQMTQSPSSLSASVGDRVTITCRASQSVSSAVAWYQQKPGKAPKLLIYSASSLYSGVPSRFSGSRSGTDFTLTISSLQPEDFATYYCQQYKYVPVTFGQGTKVEIK"/>
        <s v="EVQLVESGGGLVQPGGSLRLSCAASGFNISSSSIHWVRQAPGKGLEWVASISSYSGYTYYADSVKGRFTISADTSKNTAYLQMNSLRAEDTAVYYCARGGSLLRGLSALDYWGQGTLVTVSSGGGSGGGSGGGSDIQMTQSPSSLSASVGDRVTITCRASQSVSSAVAWYQQKPGKAPKLLIYSASSLYSGVPSRFSGSRSGTDFTLTISSLQPEDFATYYCQQYKYVPVTFGQGTKVEIK"/>
        <s v="EVQLVESGGGLVQPGGSLRLSCAASGFNISDSSIHWVRQAPGKGLEWVASISSYSGYTYYADSVKGRFTISADTSKNTAYLQMNSLRAEDTAVYYCARGGRYLDGLYALDYWGQGTLVTVSSGGGSGGGSGGGSDIQMTQSPSSLSASVGDRVTITCRASQSVSSAVAWYQQKPGKAPKLLIYSASSLYSGVPSRFSGSRSGTDFTLTISSLQPEDFATYYCQQYKYVPVTFGQGTKVEIK"/>
        <s v="EVQLVESGGGLVQPGGSLRLSCAASGFNISSSSIHWVRQAPGKGLEWVASISSYSGYTYYADSVKGRFTISADTSKNTAYLQMNSLRAEDTAVYYCARGGSYLDGLSALDYWGQGTLVTVSSGGGSGGGSGGGSDIQMTQSPSSLSASVGDRVTITCRASQSVSSAVAWYQQKPGKAPKLLIYSASSLYSGVPSRFSGSRSGTDFTLTISSLQPEDFATYYCQQYKYVPVTFGQGTKVEIK"/>
        <s v="EVQLVESGGGLVQPGGSLRLSCAASGFNISDSSIHWVRQAPGKGLEWVASIYNYSGYTYYADSVKGRFTISADTSKNTAYLQMNSLRAEDTAVYYCARGGYYLDGLDALDYWGQGTLVTVSSGGGSGGGSGGGSDIQMTQSPSSLSASVGDRVTITCRASQSVSSAVAWYQQKPGKAPKLLIYSASSLYSGVPSRFSGSRSGTDFTLTISSLQPEDFATYYCQQYKYVPVTFGQGTKVEIK"/>
        <s v="EVQLVESGGGLVQPGGSLRLSCAASGFNISDYSIHWVRQAPGKGLEWVASIYNRSGYTYYADSVKGRFTISADTSKNTAYLQMNSLRAEDTAVYYCARGGYYLDGLYALDYWGQGTLVTVSSGGGSGGGSGGGSDIQMTQSPSSLSASVGDRVTITCRASQSVSSAVAWYQQKPGKAPKLLIYSASSLYSGVPSRFSGSRSGTDFTLTISSLQPEDFATYYCQQYKYVPVTFGQGTKVEIK"/>
        <s v="EVQLVESGGGLVQPGGSLRLSCAASGFNISSSSIHWVRQAPGKGLEWVASISSYSGYTYYADSVKGRFTISADTSKNTAYLQMNSLRAEDTAVYYCARGGHDLDGLYALDYWGQGTLVTVSSGGGSGGGSGGGSDIQMTQSPSSLSASVGDRVTITCRASQSVSSAVAWYQQKPGKAPKLLIYSASSLYSGVPSRFSGSRSGTDFTLTISSLQPEDFATYYCQQYKYVPVTFGQGTKVEIK"/>
        <s v="EVQLVESGGGLVKPGGSLKVSCAASGFTFSSYAMHWVRQAPGKGLEWVSYIWSGADSIGYADSVKGRFTISRDNAKNSLYLQMNSLRAGDTAVYYCARDDDAFDYWGQGTAVTVSSGGGSGGGSGGGSDIQMTQSPSSLSASVGDRVTITCQASQDIRFYLNWYQQKPGKAPKLLISAASTLQSGVPSRFSGSGSGTDFTLTITSLQPEDFATYYCAGYVPSYTFGPGTKVDIK"/>
        <s v="EVQLVESGGGLVKPGGSLKVSCAASGFTFSSYSMHWVRQAPGKGLEWVSSIWSGADSTGYADSVKGRFTISRDNAKNSLYLQMNSLRAGDTAVYYCARDDDAFDYWGQGTAVTVSSGGGSGGGSGGGSDIQMTQSPSSLSASVGDRVTITCQASQDIRFYLNWYQQKPGKAPKLLISAASTLQSGVPSRFSGSGSGTDFTLTITSLQPEDFATYYCAGYVPSYTFGPGTKVDIK"/>
        <s v="EVQLVESGGGLVKPGGSLKVSCAASGFTFSSYAMHWVRQAPGKGLEWVSRIWSGADSTGYADSVKGRFTISRDNAKNSLYLQMNSLRAGDTAVYYCARDDDAFDYWGQGTAVTVSSGGGSGGGSGGGSDIQMTQSPSSLSASVGDRVTITCQASQDIRFYLNWYQQKPGKAPKLLISAASTLQSGVPSRFSGSGSGTDFTLTITSLQPEDFATYYCAGYVPSYTFGPGTKVDIK"/>
        <s v="EVQLVESGGGLVKPGGSLKVSCAASGFTFSSYAMHWVRQAPGKGLEWVSYIWSGADSIGYADSVKGRFTISRDNAKNSLYLQMNSLRAGDTAVYYCARYDDAFDYWGQGTAVTVSSGGGSGGGSGGGSDIQMTQSPSSLSASVGDRVTITCQASQDIRFYLNWYQQKPGKAPKLLISAASTLQSGVPSRFSGSGSGTDFTLTITSLQPEDFATYYCAGYVPSYTFGPGTKVDIK"/>
        <s v="EVQLVESGGGLVKPGGSLKVSCAASGFTFSSYSMHWVRQAPGKGLEWVSRIWSGTDSIGYADSVKGRFTISRDNAKNSLYLQMNSLRAGDTAVYYCARDDDAFDYWGQGTAVTVSSGGGSGGGSGGGSDIQMTQSPSSLSASVGDRVTITCQASQDIRFYLNWYQQKPGKAPKLLISAASTLQSGVPSRFSGSGSGTDFTLTITSLQPEDFATYYCAGYVPSYTFGPGTKVDIK"/>
        <s v="EVQLVESGGGLVKPGGSLKVSCAASGFTFSSYAMHWVRQAPGKGLEWVSYIWSGVDSIGYADSVKGRFTISRDNAKNSLYLQMNSLRAGDTAVYYCARDDDAFDYWGQGTAVTVSSGGGSGGGSGGGSDIQMTQSPSSLSASVGDRVTITCQASQDIRFYLNWYQQKPGKAPKLLISAASTLQSGVPSRFSGSGSGTDFTLTITSLQPEDFATYYCAGYVPSYTFGPGTKVDIK"/>
        <s v="EVQLVESGGGLVKPGGSLKVSCAASGFTFSSFAMHWVRQAPGKGLEWVSYIWSGADSTGYADSVKGRFTISRDNAKNSLYLQMNSLRAGDTAVYYCARDDDAFDYWGQGTAVTVSSGGGSGGGSGGGSDIQMTQSPSSLSASVGDRVTITCQASQDIRFYLNWYQQKPGKAPKLLISAASTLQSGVPSRFSGSGSGTDFTLTITSLQPEDFATYYCAGYVPSYTFGPGTKVDIK"/>
        <s v="EVQLVESGGGLVKPGGSLKVSCAASGFTFSSYSMVWVRQAPGKGLEWVSRIWSGVDSTGYADSVKGRFTISRDNAKNSLYLQMNSLRAGDTAVYYCARDDDAFDYWGQGTAVTVSSGGGSGGGSGGGSDIQMTQSPSSLSASVGDRVTITCQASQDIRFYLNWYQQKPGKAPKLLISAASTLQSGVPSRFSGSGSGTDFTLTITSLQPEDFATYYCAGYVPSYTFGPGTKVDIK"/>
        <m/>
      </sharedItems>
    </cacheField>
    <cacheField name="len_franken_chain" numFmtId="0">
      <sharedItems containsString="0" containsBlank="1" containsNumber="1" containsInteger="1" minValue="231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24T00:00:00" count="17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6T00:00:00"/>
        <d v="2025-11-17T00:00:00"/>
        <d v="2025-11-18T00:00:00"/>
        <d v="2025-11-22T00:00:00"/>
        <d v="2025-11-23T00:00:00"/>
        <d v="2025-11-21T00:00:00" u="1"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s v="peleke-1"/>
    <x v="0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s v="peleke-1"/>
    <x v="0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s v="peleke-1"/>
    <x v="0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s v="peleke-1"/>
    <x v="0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s v="peleke-1"/>
    <x v="0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s v="General LLM"/>
    <x v="1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s v="peleke-1 + ProteinMPNN"/>
    <x v="2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s v="peleke-1 + ProteinMPNN"/>
    <x v="2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s v="peleke-1 + ProteinMPNN"/>
    <x v="2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s v="peleke-1 + ProteinMPNN"/>
    <x v="2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s v="peleke-1 + ProteinMPNN"/>
    <x v="2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s v="peleke-1 + ProteinMPNN"/>
    <x v="2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s v="peleke-1 + ProteinMPNN"/>
    <x v="2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s v="peleke-1 + ProteinMPNN"/>
    <x v="3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s v="peleke-1 + ProteinMPNN"/>
    <x v="3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s v="peleke-1 + ProteinMPNN"/>
    <x v="3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s v="peleke-1 + ProteinMPNN"/>
    <x v="3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s v="peleke-1 + ProteinMPNN"/>
    <x v="3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s v="peleke-1 + ProteinMPNN"/>
    <x v="3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s v="peleke-1 + ProteinMPNN"/>
    <x v="3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s v="peleke-1 + ProteinMPNN"/>
    <x v="3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s v="ProteinMPNN"/>
    <x v="4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s v="ProteinMPNN"/>
    <x v="4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s v="ProteinMPNN"/>
    <x v="4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s v="ProteinMPNN"/>
    <x v="4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s v="ProteinMPNN"/>
    <x v="4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s v="ProteinMPNN"/>
    <x v="4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s v="ProteinMPNN"/>
    <x v="4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s v="ProteinMPNN"/>
    <x v="4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s v="peleke-1"/>
    <x v="5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s v="peleke-1"/>
    <x v="5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s v="peleke-1"/>
    <x v="5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s v="peleke-1"/>
    <x v="5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s v="peleke-1"/>
    <x v="5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s v="peleke-1"/>
    <x v="5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s v="peleke-1"/>
    <x v="5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s v="peleke-1"/>
    <x v="5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s v="peleke-1"/>
    <x v="5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s v="peleke-1"/>
    <x v="5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s v="peleke-1"/>
    <x v="5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s v="peleke-1"/>
    <x v="5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s v="peleke-1"/>
    <x v="5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s v="peleke-1"/>
    <x v="5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s v="peleke-1"/>
    <x v="5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s v="peleke-1"/>
    <x v="5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s v="peleke-1"/>
    <x v="5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s v="peleke-1"/>
    <x v="5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s v="peleke-1"/>
    <x v="5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s v="peleke-1"/>
    <x v="5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s v="peleke-1"/>
    <x v="0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s v="peleke-1"/>
    <x v="0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s v="peleke-1"/>
    <x v="0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s v="peleke-1"/>
    <x v="0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s v="peleke-1"/>
    <x v="0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s v="peleke-1"/>
    <x v="0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s v="peleke-1"/>
    <x v="0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s v="peleke-1"/>
    <x v="0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s v="peleke-1"/>
    <x v="0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s v="peleke-1"/>
    <x v="0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s v="peleke-1"/>
    <x v="0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s v="peleke-1"/>
    <x v="0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s v="peleke-1"/>
    <x v="0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s v="peleke-1"/>
    <x v="0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s v="peleke-1"/>
    <x v="0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s v="peleke-1"/>
    <x v="0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s v="peleke-1"/>
    <x v="0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s v="peleke-1"/>
    <x v="0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s v="peleke-1"/>
    <x v="0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9"/>
  </r>
  <r>
    <x v="68"/>
    <s v="peleke-1"/>
    <x v="0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s v="peleke-1"/>
    <x v="0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s v="peleke-1"/>
    <x v="0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s v="peleke-1"/>
    <x v="0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s v="peleke-1"/>
    <x v="0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s v="peleke-1"/>
    <x v="0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s v="peleke-1"/>
    <x v="0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s v="peleke-1"/>
    <x v="0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s v="peleke-1"/>
    <x v="0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s v="peleke-1"/>
    <x v="0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9"/>
  </r>
  <r>
    <x v="78"/>
    <s v="peleke-1"/>
    <x v="0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9"/>
  </r>
  <r>
    <x v="79"/>
    <s v="peleke-1"/>
    <x v="0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s v="peleke-1"/>
    <x v="0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s v="General LLM"/>
    <x v="6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s v="General LLM"/>
    <x v="6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s v="General LLM"/>
    <x v="6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s v="General LLM + ProteinMPNN"/>
    <x v="7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s v="peleke-1"/>
    <x v="0"/>
    <n v="0.1"/>
    <s v="base"/>
    <m/>
    <s v="nipah_gpG_compout"/>
    <m/>
    <s v="EVQLVESGGGLVQPGGSLRLSCAASGFNVSYSSIHWVRQAPGKGLEWVASIYSYSGYTYYADSVKGRFTISADTSKNTAYLQMNSLRAEDTAVYYCARGWYSYFDYWGQGTLVTVSS"/>
    <s v="DIQMTQSPSSLSASVGDRVTITCRASQSVSSAVAWYQQKPGKAPKLLIYSASSLYSGVPSRFSGSRSGTDFTLTISSLQPEDFATYYCQQYKYVPVTFGQGTKVEIK"/>
    <b v="1"/>
    <s v="GGGSGGGSGGGSGGGS"/>
    <x v="85"/>
    <n v="240"/>
    <b v="1"/>
    <b v="0"/>
    <b v="0"/>
    <m/>
    <m/>
    <x v="8"/>
  </r>
  <r>
    <x v="86"/>
    <s v="peleke-1"/>
    <x v="0"/>
    <n v="0.1"/>
    <s v="base"/>
    <m/>
    <s v="nipah_gpG_compout"/>
    <m/>
    <s v="QVQLVQSGAEVKKPGSSVKVSCKASGGTFSSYAISWVRQAPGQGLEWMGGIIIFGTANYAQKFQGRVTITADKSTSTAYMELRSEDTAVYYCAREGTTGWDYWGQGTLVTVSS"/>
    <s v="EIVLTQSPGTLSLSPGERATLSCRASQSVSSSYLAWYQQKPGQAPRLLIYGASSRATGIPDRFSGSGSGTDFTLTISRLEPEDFAVYYCQQYGSSPRTFGQGTKVEIK"/>
    <b v="1"/>
    <s v="GGGSGGGSGGGSGGGS"/>
    <x v="86"/>
    <n v="237"/>
    <b v="1"/>
    <b v="0"/>
    <b v="0"/>
    <m/>
    <m/>
    <x v="9"/>
  </r>
  <r>
    <x v="87"/>
    <s v="peleke-1"/>
    <x v="0"/>
    <n v="0.1"/>
    <s v="base"/>
    <m/>
    <s v="nipah_gpG_compout"/>
    <m/>
    <s v="EVQLVESGGGLVQPGGSLRLSCAASGFNVSYYSIHWVRQAPGKGLEWVASIYSYSGYTSYADSVKGRFTISADTSKNTAYLQMNSLRAEDTAVYYCARYYVYYGAMDYWGQGTLVTVSS"/>
    <s v="DIQMTQSPSSLSASVGDRVTITCRASQSVSSAVAWYQQKPGKAPKLLIYSASSLYSGVPSRFSGSRSGTDFTLTISSLQPEDFATYYCQQYKYVPVTFGQGTKVEIK"/>
    <b v="1"/>
    <s v="GGGSGGGSGGGSGGGS"/>
    <x v="87"/>
    <n v="242"/>
    <b v="1"/>
    <b v="0"/>
    <b v="0"/>
    <m/>
    <m/>
    <x v="9"/>
  </r>
  <r>
    <x v="88"/>
    <s v="peleke-1"/>
    <x v="0"/>
    <n v="0.1"/>
    <s v="base"/>
    <m/>
    <s v="nipah_gpG_compout"/>
    <m/>
    <s v="EVQLVESGGGLVQPGGSLRLSCAASGFNVSYSSIHWVRQAPGKGLEWVASIYSYSGYTYYADSVKGRFTISADTSKNTAYLQMNSLRAEDTAVYYCARGWVRGSSYWGQGTLVTVSS"/>
    <s v="DIQMTQSPSSLSASVGDRVTITCRASQSVSSAVAWYQQKPGKAPKLLIYSASSLYSGVPSRFSGSRSGTDFTLTISSLQPEDFATYYCQQYKYVPVTFGQGTKVEIK"/>
    <b v="1"/>
    <s v="GGGSGGGSGGGSGGGS"/>
    <x v="88"/>
    <n v="240"/>
    <b v="1"/>
    <b v="0"/>
    <b v="0"/>
    <m/>
    <m/>
    <x v="9"/>
  </r>
  <r>
    <x v="89"/>
    <s v="peleke-1"/>
    <x v="0"/>
    <n v="0.1"/>
    <s v="base"/>
    <m/>
    <s v="nipah_gpG_compout"/>
    <m/>
    <s v="EVQLVESGGGLVQPGGSLRLSCAASGFNVSYSSIHWVRQAPGKGLEWVASIYSYSGYTNYADSVKGRFTISADTSKNTAYLQMNSLRAEDTAVYYCARYYGGYGGYFDYWGQGTLVTVSS"/>
    <s v="DIQMTQSPSSLSASVGDRVTITCRASQSVSSAVAWYQQKPGKAPKLLIYSASSLYSGVPSRFSGSRSGTDFTLTISSLQPEDFATYYCQQYKYVPVTFGQGTKVEIK"/>
    <b v="1"/>
    <s v="GGGSGGGSGGGSGGGS"/>
    <x v="89"/>
    <n v="243"/>
    <b v="1"/>
    <b v="0"/>
    <b v="0"/>
    <m/>
    <m/>
    <x v="8"/>
  </r>
  <r>
    <x v="90"/>
    <s v="peleke-1"/>
    <x v="0"/>
    <n v="0.1"/>
    <s v="base"/>
    <m/>
    <s v="nipah_gpG_compout"/>
    <m/>
    <s v="EVQLVESGGGLVQPGGSLRLSCAASGFNVSYYSIHWVRQAPGKGLEWVASIYPYSGYTNYADSVKGRFTISADTSKNTAYLQMNSLRAEDTAVYYCARYYGYWYFDYWGQGTLVTVSS"/>
    <s v="DIQMTQSPSSLSASVGDRVTITCRASQSVSSAVAWYQQKPGKAPKLLIYSASSLYSGVPSRFSGSRSGTDFTLTISSLQPEDFATYYCQQYKYVPVTFGQGTKVEIK"/>
    <b v="1"/>
    <s v="GGGSGGGSGGGSGGGS"/>
    <x v="90"/>
    <n v="241"/>
    <b v="1"/>
    <b v="0"/>
    <b v="0"/>
    <m/>
    <m/>
    <x v="8"/>
  </r>
  <r>
    <x v="91"/>
    <s v="peleke-1"/>
    <x v="0"/>
    <n v="0.1"/>
    <s v="base"/>
    <m/>
    <s v="nipah_gpG_compout"/>
    <m/>
    <s v="EVQLVESGGGLVQPGGSLRLSCAASGFNVSYSSIHWVRQAPGKGLEWVASIYSYSGYTSYADSVKGRFTISADTSKNTAYLQMNSLRAEDTAVYYCARYYGGYGGWYFDYWGQGTLVTVSS"/>
    <s v="DIQMTQSPSSLSASVGDRVTITCRASQSVSSAVAWYQQKPGKAPKLLIYSASSLYSGVPSRFSGSRSGTDFTLTISSLQPEDFATYYCQQYKYVPVTFGQGTKVEIK"/>
    <b v="1"/>
    <s v="GGGSGGGSGGGSGGGS"/>
    <x v="91"/>
    <n v="244"/>
    <b v="1"/>
    <b v="0"/>
    <b v="0"/>
    <m/>
    <m/>
    <x v="8"/>
  </r>
  <r>
    <x v="92"/>
    <s v="peleke-1"/>
    <x v="0"/>
    <n v="0.1"/>
    <s v="base"/>
    <m/>
    <s v="nipah_gpG_compout"/>
    <m/>
    <s v="EVQLVESGGGLVQPGGSLRLSCAASGFNVSYYSIHWVRQAPGKGLEWVASISSYYGYTYYADSVKGRFTISADTSKNTAYLQMNSLRAEDTAVYYCARYYGYWYFDYWGQGTLVTVSS"/>
    <s v="DIQMTQSPSSLSASVGDRVTITCRASQSVSSAVAWYQQKPGKAPKLLIYSASSLYSGVPSRFSGSRSGTDFTLTISSLQPEDFATYYCQQYKYVPVTFGQGTKVEIK"/>
    <b v="1"/>
    <s v="GGGSGGGSGGGSGGGS"/>
    <x v="92"/>
    <n v="241"/>
    <b v="1"/>
    <b v="0"/>
    <b v="0"/>
    <m/>
    <m/>
    <x v="8"/>
  </r>
  <r>
    <x v="93"/>
    <s v="peleke-1"/>
    <x v="0"/>
    <n v="0.1"/>
    <s v="base"/>
    <m/>
    <s v="nipah_gpG_compout"/>
    <m/>
    <s v="EVQLVESGGGLVQPGGSLRLSCAASGFNVSYYSIHWVRQAPGKGLEWVASISSYYGYTYYADSVKGRFTISADTSKNTAYLQMNSLRAEDTAVYYCARYYGTYYGHSYWGQGTLVTVSS"/>
    <s v="DIQMTQSPSSLSASVGDRVTITCRASQSVSSAVAWYQQKPGKAPKLLIYSASSLYSGVPSRFSGSRSGTDFTLTISSLQPEDFATYYCQQYKYVPVTFGQGTKVEIK"/>
    <b v="1"/>
    <s v="GGGSGGGSGGGSGGGS"/>
    <x v="93"/>
    <n v="242"/>
    <b v="1"/>
    <b v="0"/>
    <b v="0"/>
    <m/>
    <m/>
    <x v="8"/>
  </r>
  <r>
    <x v="94"/>
    <s v="peleke-1"/>
    <x v="0"/>
    <n v="0.1"/>
    <s v="base"/>
    <m/>
    <s v="nipah_gpG_compout"/>
    <m/>
    <s v="EVQLVESGGGLVQPGGSLRLSCAASGFNVSYSSIHWVRQAPGKGLEWVASIYSYSGYTNYADSVKGRFTISADTSKNTAYLQMNSLRAEDTAVYYCARYWYFGYFDYWGQGTLVTVSS"/>
    <s v="DIQMTQSPSSLSASVGDRVTITCRASQSVSSAVAWYQQKPGKAPKLLIYSASSLYSGVPSRFSGSRSGTDFTLTISSLQPEDFATYYCQQYKYVPVTFGQGTKVEIK"/>
    <b v="1"/>
    <s v="GGGSGGGSGGGSGGGS"/>
    <x v="94"/>
    <n v="241"/>
    <b v="1"/>
    <b v="0"/>
    <b v="0"/>
    <m/>
    <m/>
    <x v="8"/>
  </r>
  <r>
    <x v="95"/>
    <s v="peleke-1"/>
    <x v="0"/>
    <n v="0.6"/>
    <s v="base"/>
    <m/>
    <s v="nipah_gpG_compout"/>
    <m/>
    <s v="EVQLVESGGGLVKPGGSLRLSCAASGFTFRNYAMSWVRQAPGKGLEWVSSISSKSKSTSYADSVKGRFTISRDNAKNSLYLQMNSLRAEDTAVYYCARESGSFSYEGVWGQGTLVTVSS"/>
    <s v="SVLTQPPSVSGAPGQRVTISCTGSSSNIGAGYDVHWYQQLPGTAPKLLIYDNNKRPSGVPDRFSGSKSGTSASLAITGLQAEDEADYYCQSYDSSLSGLVFGGGTKLTVL"/>
    <b v="1"/>
    <s v="GGGSGGGSGGGSGGGS"/>
    <x v="95"/>
    <n v="245"/>
    <b v="1"/>
    <b v="0"/>
    <b v="0"/>
    <m/>
    <m/>
    <x v="9"/>
  </r>
  <r>
    <x v="96"/>
    <s v="peleke-1"/>
    <x v="0"/>
    <n v="0.6"/>
    <s v="base"/>
    <m/>
    <s v="nipah_gpG_compout"/>
    <m/>
    <s v="EVQLVESGGGLVQPGGSLRLSCAASGFNISSSSIHWVRQAPGKGLEWVASIYYSSGYTHYADSVKGRFTISADTSKNTAYLQMNSLRAEDTAVYYCARWGYWPGQVWLWFAYWGQGTLVTVS"/>
    <s v="DIQMTQSPSSLSASVGDRVTITCRASQSVSSAVAWYQQKPGKAPKLLIYSASSLYSGVPSRFSGSRSGTDFTLTISSLQPEDFATYYCQQSSSSLITFGQGTKVEIK"/>
    <b v="1"/>
    <s v="GGGSGGGSGGGSGGGS"/>
    <x v="96"/>
    <n v="245"/>
    <b v="1"/>
    <b v="0"/>
    <b v="0"/>
    <m/>
    <m/>
    <x v="9"/>
  </r>
  <r>
    <x v="97"/>
    <s v="peleke-1"/>
    <x v="0"/>
    <n v="0.6"/>
    <s v="base"/>
    <m/>
    <s v="nipah_gpG_compout"/>
    <m/>
    <s v="QVQLVQSGAEVKKPGSSVKVSCKSSGGTSNNYAISWVRQAPGQGLEWMGGIIPILGIANYAQKFQGRVTITADKSTSTAYMELSSLRSEDTAVYYCAREDAVVDYWGQGTLVTVSS"/>
    <s v="DIQMTQSPSTLSASVGDRVTITCRASQGISSWLAWYQQKPGKAPKLLIYKASSLESGVPSRFSGSGSGTEFTLTISSLQPDDFATYYCQQYNSYPLTFGQGTKVQVK"/>
    <b v="1"/>
    <s v="GGGSGGGSGGGSGGGS"/>
    <x v="97"/>
    <n v="239"/>
    <b v="1"/>
    <b v="0"/>
    <b v="0"/>
    <m/>
    <m/>
    <x v="10"/>
  </r>
  <r>
    <x v="98"/>
    <s v="peleke-1"/>
    <x v="0"/>
    <n v="0.6"/>
    <s v="base"/>
    <m/>
    <s v="nipah_gpG_compout"/>
    <m/>
    <s v="EVQLVESGGGLVQPGGSLRLSCAASGFNVSSSSIHWVRQAPGKGLEWVASISSYYGYTYYADSVKGRFTISADTSKNTAYLQMNSLRAEDTAVYYCARHWGYCSWFAYWGQGTLVTVSS"/>
    <s v="DIQMTQSPSSLSASVGDRVTITCRASQSVSSAVAWYQQKPGKAPKLLIYSASSLYSGVPSRFSGSRSGTDFTLTISSLQPEDFATYYCQQYKYVPVTFGQGTKVEIK"/>
    <b v="1"/>
    <s v="GGGSGGGSGGGSGGGS"/>
    <x v="98"/>
    <n v="242"/>
    <b v="1"/>
    <b v="0"/>
    <b v="0"/>
    <m/>
    <m/>
    <x v="8"/>
  </r>
  <r>
    <x v="99"/>
    <s v="peleke-1"/>
    <x v="0"/>
    <n v="0.6"/>
    <s v="base"/>
    <m/>
    <s v="nipah_gpG_compout"/>
    <m/>
    <s v="EVQLVESGGGLVQPGGSLRLSCAASGFNISSSSIHWVRQAPGKGLEWVASIYSYSGYTSYADSVKGRFTISADTSKNTAYLQMNSLRAEDTAVYYCARGSHYFGYFDYWGQGTLVTVSS"/>
    <s v="DIQMTQSPSSLSASVGDRVTITCRASQSVSSAVAWYQQKPGKAPKLLIYSASSLYSGVPSRFSGSRSGTDFTLTISSLQPEDFATYYCQQSSSSLITFGQGTKVEIK"/>
    <b v="1"/>
    <s v="GGGSGGGSGGGSGGGS"/>
    <x v="99"/>
    <n v="242"/>
    <b v="1"/>
    <b v="0"/>
    <b v="0"/>
    <m/>
    <m/>
    <x v="8"/>
  </r>
  <r>
    <x v="100"/>
    <s v="peleke-1"/>
    <x v="0"/>
    <n v="0.6"/>
    <s v="base"/>
    <m/>
    <s v="nipah_gpG_compout"/>
    <m/>
    <s v="QVQLQESGPGLVKPSQTLSLTCTVSGGSISSGDYYWIRQHPGKGLEWIGYIYYSGSTDYNPSLKSRVTISVDTSKNQFSLKVTAADTAVYYCARTWFGSDYWGQGTLVTVSS"/>
    <s v="DIQMTQSPSSLSASVGDRVTITCRASQGISNYLAWYQQKPGKAPKLLIYAASTLQSGVPSRFSGSGSGTDFTLTISSLQPEDFATYYCQQAHSFPYTFGGGTKLEIK"/>
    <b v="1"/>
    <s v="GGGSGGGSGGGSGGGS"/>
    <x v="100"/>
    <n v="235"/>
    <b v="1"/>
    <b v="0"/>
    <b v="0"/>
    <m/>
    <m/>
    <x v="10"/>
  </r>
  <r>
    <x v="101"/>
    <s v="peleke-1"/>
    <x v="0"/>
    <n v="0.6"/>
    <s v="base"/>
    <m/>
    <s v="nipah_gpG_compout"/>
    <m/>
    <s v="EVQLVESGGGLVQPGGSLRLSCAASGFTFSSYWMNWVRQAPGKGLEWVAFIRYDGGNKYYADSVKGRFTISRDNSKNTLYLQMNSLRAEDTAVYYCARWSYSGGSGSYYVYFDYWGQGTLVTVS"/>
    <s v="SVLTQPPSVSGAPGQRVTISCTGSSSNIGAGYDVHWYQQLPGTAPKLLIYGNSNRPSGVPDRFSGSKSGTSASLAITGLQAEDEADYYCQSYDSSLSGSVFGGGTKLTVL"/>
    <b v="1"/>
    <s v="GGGSGGGSGGGSGGGS"/>
    <x v="101"/>
    <n v="250"/>
    <b v="1"/>
    <b v="0"/>
    <b v="0"/>
    <m/>
    <m/>
    <x v="10"/>
  </r>
  <r>
    <x v="102"/>
    <s v="peleke-1"/>
    <x v="0"/>
    <n v="0.6"/>
    <s v="base"/>
    <m/>
    <s v="nipah_gpG_compout"/>
    <m/>
    <s v="QVQLVQSGAEVKKPGASVKVSCKASGYTFTNYYIHWVRQAPGQGLEWMGWIYPGGNTNYAQKFQGRVTMTRDTSISTAYMELSRLRSDDTAVYYCARVRTEFDYWGQGTLVTVSS"/>
    <s v="DIVMTQSPSSLAMSAGAETITCRSSQSVHSNGYLNWYQQKPGQPPKLLIYWASTRESGVPDRFTGSGSGTDFTLTITNVQSEDLAEYFCQQYSSYPLTFGAGTKLELR"/>
    <b v="1"/>
    <s v="GGGSGGGSGGGSGGGS"/>
    <x v="102"/>
    <n v="239"/>
    <b v="1"/>
    <b v="0"/>
    <b v="0"/>
    <m/>
    <m/>
    <x v="10"/>
  </r>
  <r>
    <x v="103"/>
    <s v="peleke-1"/>
    <x v="0"/>
    <n v="0.6"/>
    <s v="base"/>
    <m/>
    <s v="nipah_gpG_compout"/>
    <m/>
    <s v="QVQLQESGPGLVKPSETLSLTCTVSGGSVSSGGYFWSWIRQPPGKGLEWIGYVSGSGSTNYNPSLKSRVTISVDTSKNQFSLKLSSVTAADTAVYYCARWDVWISDYWGQGTLVTVSS"/>
    <s v="EIVLTQSPATLSLSPGERATLSCRASQSVSSYLAWYQQKPGQAPRLLIYDASNRATGIPARFSGSGSGTDFTLTISSLEPEDFAVYYCQHSWDQPPWTFGQGTKVEIK"/>
    <b v="1"/>
    <s v="GGGSGGGSGGGSGGGS"/>
    <x v="103"/>
    <n v="242"/>
    <b v="1"/>
    <b v="0"/>
    <b v="0"/>
    <m/>
    <m/>
    <x v="10"/>
  </r>
  <r>
    <x v="104"/>
    <s v="peleke-1"/>
    <x v="0"/>
    <n v="0.6"/>
    <s v="base"/>
    <m/>
    <s v="nipah_gpG_compout"/>
    <m/>
    <s v="QVQLQESGPGLVKPSQTLSLTCTVTGSSITSGYWNWIRQFPGNKLEWMGYISYSGTITYNPSLKSRISITRDTSKNQFFLQLNSVTTEDTATYYCARVYDGFYDYWGQGTLVTVSS"/>
    <s v="DIVMTQSPSSLSASVGDRVTITCRASQGISSWLAWYQQKPGKAPKLLIYKASSLESGVPSRFSGSGSGTEFTLTISSLQPDDFATYYCQQYNSYPLTFGGGTKVEIK"/>
    <b v="1"/>
    <s v="GGGSGGGSGGGSGGGS"/>
    <x v="104"/>
    <n v="239"/>
    <b v="1"/>
    <b v="0"/>
    <b v="0"/>
    <m/>
    <m/>
    <x v="10"/>
  </r>
  <r>
    <x v="105"/>
    <s v="peleke-1"/>
    <x v="0"/>
    <n v="0.9"/>
    <s v="base"/>
    <m/>
    <s v="nipah_gpG_compout"/>
    <m/>
    <s v="QVQLVESGGGVVQPGRSLRLSCAASGFTFSNYAMHWVRQAPGKGLEWVAVISYNSGNPYADSVKGRFTISRDNSKNTLYLQMRVEDTAVYYCSRTTIGYGGDIWGNMFDYWGQGTLVTVSS"/>
    <s v="DIVMTQSPATLSVSPGDRATLSCRASQSISTNLAWYQQKPGQAPRLLIYTASTLESGVPSRFSGSGSGTEFTLTISNLQSEDFATYFCQQYSAPLTFGGGTKVEIK"/>
    <b v="1"/>
    <s v="GGGSGGGSGGGSGGGS"/>
    <x v="105"/>
    <n v="243"/>
    <b v="1"/>
    <b v="0"/>
    <b v="0"/>
    <m/>
    <m/>
    <x v="9"/>
  </r>
  <r>
    <x v="106"/>
    <s v="peleke-1"/>
    <x v="0"/>
    <n v="0.9"/>
    <s v="base"/>
    <m/>
    <s v="nipah_gpG_compout"/>
    <m/>
    <s v="EVQLVESGGGLVQPGGSLRLSCAASGFASSSSNYVHWVRQAPGKGLEWVATIYPYSSSEYAASVQGRFTISRDDSKNTLYLQMNSLRGEDTAVYYCARYGYYSSRSGYGYYFNYWGQGTLVTVSS"/>
    <s v="DIVMTQSPASLAVSLGQRATISCRASESVDSYGNSFLAWYQQKPGQPPKLLIYWASTRQSGVPARFSGSGSGTDFTLNIHPVEEEDAATYYCQQHNYPLTFGAGTKLEIK"/>
    <b v="1"/>
    <s v="GGGSGGGSGGGS"/>
    <x v="106"/>
    <n v="247"/>
    <b v="1"/>
    <b v="0"/>
    <b v="0"/>
    <m/>
    <m/>
    <x v="9"/>
  </r>
  <r>
    <x v="107"/>
    <s v="peleke-1"/>
    <x v="0"/>
    <n v="0.9"/>
    <s v="base"/>
    <m/>
    <s v="nipah_gpG_compout"/>
    <m/>
    <s v="EVQLVESGAEVKKPGSSVKVSCKASGGPFTSYVISWVRQAPGQGLEWMGRIIPIRGTTYAQKFQGRVTITADKSTSTAYMELRSEDTAVYYCARGSHVFGYYDYWGQGTLVTVSS"/>
    <s v="EIVLTQSPGTLSLSPGERATLSCRASQSISGNYLAWYQQKPGQAPRLLIYGASIRAAGIPDRFSGSGSGTDFTLTISRLEPEDFAVYYCQQYGSSPRTFGQGTKVEIK"/>
    <b v="1"/>
    <s v="GGGSGGGSGGGSGGGS"/>
    <x v="107"/>
    <n v="239"/>
    <b v="1"/>
    <b v="0"/>
    <b v="0"/>
    <m/>
    <m/>
    <x v="10"/>
  </r>
  <r>
    <x v="108"/>
    <s v="peleke-1"/>
    <x v="0"/>
    <n v="0.9"/>
    <s v="base"/>
    <m/>
    <s v="nipah_gpG_compout"/>
    <m/>
    <s v="EVQLVETGGGLVQPGGSLKLSCRASGYTFTDYAMHWVRQAPLGLGLYTGGVNYARHFMKSRISITRDNSKNTLYLQMTKVDDTATYFCARRGLFDSDYWGQGTLVTVSS"/>
    <s v="SVTQPPSVSGSTSVGDRVTTCRASQSISSNWLAWYQQFPGTAPKLLIYENSSRPSGVPDRFSGSGSGTDFTLKISRVEAEDVGVYYCLQALSPRFTFGSGTKLEIK"/>
    <b v="1"/>
    <s v="GGGSGGGSGGGSGGGS"/>
    <x v="108"/>
    <n v="231"/>
    <b v="1"/>
    <b v="0"/>
    <b v="0"/>
    <m/>
    <m/>
    <x v="10"/>
  </r>
  <r>
    <x v="109"/>
    <s v="peleke-1"/>
    <x v="0"/>
    <n v="0.9"/>
    <s v="base"/>
    <m/>
    <s v="nipah_gpG_compout"/>
    <m/>
    <s v="QVQLVQSGAEVKKPGSSVKVSCKASGGTFSNYGISWVRQAPGQGLEWMGGIIPILGIANYAQKFQGRVTITADKSTSTAYMELRSLRSDDTAVYYCAREGHAYFHNGLDYWGQGTLVTVSS"/>
    <s v="EIVLTQSPGTLSLSPGERATLSCRASQSVSSSYFAWYQQKPGQAPRLLIYGASSRATGIPDRFSGSGSGTDFTLTISRLEPEDFAVYYCQQYGSSPPATFGQGTKVEIK"/>
    <b v="1"/>
    <s v="GGGSGGGSGGGSGGGS"/>
    <x v="109"/>
    <n v="246"/>
    <b v="1"/>
    <b v="0"/>
    <b v="0"/>
    <m/>
    <m/>
    <x v="10"/>
  </r>
  <r>
    <x v="110"/>
    <s v="peleke-1"/>
    <x v="0"/>
    <n v="0.9"/>
    <s v="base"/>
    <m/>
    <s v="nipah_gpG_compout"/>
    <m/>
    <s v="QVQLVESGGGVVQPGRSLRLSCAASGFTFSSFGMHWVRQAPGKGLEWVAIIWDGSNKYYADSVKGRFTISRDNSKNTLYLQMRAEDTAVYYCALDGGSFDDYWGQGTLVTVSS"/>
    <s v="DIQMTQSPSTLSTSVGDRVTITCRASQSISSWLAWYQQKPGKAPKLLIYKASTLESGVPSRFSGSGSGTEFTLTISSLQPDDFATYYCQHFYGTPITFGPGTKVD"/>
    <b v="1"/>
    <s v="GGGSGGGSGGGSGGGS"/>
    <x v="110"/>
    <n v="234"/>
    <b v="1"/>
    <b v="0"/>
    <b v="0"/>
    <m/>
    <m/>
    <x v="10"/>
  </r>
  <r>
    <x v="111"/>
    <s v="peleke-1"/>
    <x v="0"/>
    <n v="0.9"/>
    <s v="base"/>
    <m/>
    <s v="nipah_gpG_compout"/>
    <m/>
    <s v="EVQLVESGGGLVKPGGSLKVSCAASGFTFSDYSMNWVRQAPGKGLEWVSSITSGYTSIYYADSVKGRFTISRDNAKNSLYLQMNSLRAGDTAVYYCARVSDNFDYWGQGTAVTVSS"/>
    <s v="DIQMTQSPSSLSASVGDRVTITCQASQDIRFYLNWYQQKPGKAPKLLISAASTLQSGVPSRFSGSGSGTDFTLTITSLQPEDFATYYCAGYVPSYTFGPGTKVDIK"/>
    <b v="1"/>
    <s v="GGGSGGGSGGGSGGGS"/>
    <x v="111"/>
    <n v="238"/>
    <b v="1"/>
    <b v="0"/>
    <b v="0"/>
    <m/>
    <m/>
    <x v="11"/>
  </r>
  <r>
    <x v="112"/>
    <s v="peleke-1"/>
    <x v="0"/>
    <n v="0.9"/>
    <s v="base"/>
    <m/>
    <s v="nipah_gpG_compout"/>
    <m/>
    <s v="EVQLQQSGAELVKPGASVKLSCKASGYTFLDYYMYWVKQRPEQGLEWIGRIDPANGNTIYAPKFQDKATLTLTTDTTSSNTAYMQLSSLTSEDSAVYYCAREGNYGYRDLAWFAYWGQGTLVTVSS"/>
    <s v="AIRMTQSPSSLSASVGDTVTITCRASQSISSYLNWYQQKPGKAPKLLIYTASNLESGVPSRFSGSGSGTDYTLTISSLQPEDIATYYCQQYDNPPLTFGGGTKVEIK"/>
    <b v="1"/>
    <s v="GGGSGGGSGGGSGGGS"/>
    <x v="112"/>
    <n v="249"/>
    <b v="1"/>
    <b v="0"/>
    <b v="0"/>
    <m/>
    <m/>
    <x v="11"/>
  </r>
  <r>
    <x v="113"/>
    <s v="peleke-1"/>
    <x v="0"/>
    <n v="0.9"/>
    <s v="base"/>
    <m/>
    <s v="nipah_gpG_compout"/>
    <m/>
    <s v="QVQLQESGPGLVKPSETLSLTCTVSGGSVSSGGYFWSWIRQRPGKGLEWIGHIYYSGTTNYNPSLRSRVTISRDTSKSQFSLKMDSLTSEDTALYYCARQLGLRFDIWGQGTMVTVSS"/>
    <s v="DIQMTQSPSSLSASVGDRVTITCRASQSISSYLNWYQQKPGKAPKLLIYAASSLQSGVPSRFSGSGSGTDFTLTISSLQPEDFATYYCQQSYTTPPTFGQGTKVEIK"/>
    <b v="1"/>
    <s v="GGGSGGGSGGGSGGGS"/>
    <x v="113"/>
    <n v="241"/>
    <b v="1"/>
    <b v="0"/>
    <b v="0"/>
    <m/>
    <m/>
    <x v="11"/>
  </r>
  <r>
    <x v="114"/>
    <s v="peleke-1"/>
    <x v="0"/>
    <n v="0.9"/>
    <s v="base"/>
    <m/>
    <s v="nipah_gpG_compout"/>
    <m/>
    <s v="QVQLVESGGGLVQPGGSLRLSCAASGFNLYSSSIHWVRQAPGKGLEWVARIYPSGATYYADSVKGRFTISADTSKNTAYLQMRAEDTAVYYCARSYYGDDYWGQGTLVTVSS"/>
    <s v="DIQMTQSPSSLSASVGDRVTITCRASQSVSSAVAWYQQKPGKAPKLLIYSASFLYSGVPSRFSGSRSGTDFTLTISSLQPEDFATYYCQQYSYYPFTFGQGTKVEIK"/>
    <b v="1"/>
    <s v="GGGSGGGSGGGSGGGS"/>
    <x v="114"/>
    <n v="235"/>
    <b v="1"/>
    <b v="0"/>
    <b v="0"/>
    <m/>
    <m/>
    <x v="11"/>
  </r>
  <r>
    <x v="115"/>
    <s v="peleke-1"/>
    <x v="8"/>
    <n v="0.7"/>
    <s v="derivative"/>
    <s v="sbio-nipahgpg-081"/>
    <s v="nipah_gpG_compout"/>
    <m/>
    <s v="EVQLLESGGGLVQPGGSLRLSCAASGFTFSSYAMSWVRQAPGKGLEWVSYISSSSSTIYYADSVKGRFTISRDNAKNSLYLQMNSLRAEDTAVYYCAKYSSYDYDYWGRGTMVTVSS"/>
    <s v="DIQLTQSPSSLSASVGDRVTITCRASQGISSYLNWYQQKPGKAPKLLIYDASSLQSGVPSRFSGSGSGTDFTLTISSLQPEDFATYYCQQFYEWLRTFGQGTRLEIK"/>
    <b v="1"/>
    <s v="GGGSGGGSGGGSGGGS"/>
    <x v="115"/>
    <n v="240"/>
    <b v="1"/>
    <b v="0"/>
    <b v="0"/>
    <m/>
    <m/>
    <x v="11"/>
  </r>
  <r>
    <x v="116"/>
    <s v="peleke-1"/>
    <x v="8"/>
    <n v="0.9"/>
    <s v="derivative"/>
    <s v="sbio-nipahgpg-109"/>
    <s v="nipah_gpG_compout"/>
    <m/>
    <s v="EVQLVESGGGLVQPGGSLRLSCAASGFATVSSNYMSWVRQAPGKGLEWVSVIYSCGSTYYADSVKGRFTISRDNSKNTLYLQMNSLRAEDTAVYYCARYYYDSSRSGYYYYFDYWGQGTLVTVSS"/>
    <s v="DIVLTQSPASLAVSLGQRATISCKASQSVDYDGDSYMHWYQQKPGQPPKLLIYRASNLESGIPARFSGSGSRTDFTLTINPVEADDVATYYCQQSNYPLTFGSGTKVEIK"/>
    <b v="1"/>
    <s v="GGGSGGGSGGGS"/>
    <x v="116"/>
    <n v="247"/>
    <b v="1"/>
    <b v="0"/>
    <b v="0"/>
    <m/>
    <m/>
    <x v="11"/>
  </r>
  <r>
    <x v="117"/>
    <s v="peleke-1 + AntiBMPNN"/>
    <x v="9"/>
    <n v="0.2"/>
    <s v="derivative"/>
    <s v="sbio-nipahgpg-055"/>
    <s v="nipah_gpG_compout"/>
    <m/>
    <s v="EVQLVESGGGLVQPGGSLRLSCAASGFNISDSSIHWVRQAPGKGLEWVASISSYSGYTYYADSVKGRFTISADTSKNTAYLQMNSLRAEDTAVYYCARGGRDLFGLDALDYWGQGTLVTVSS"/>
    <s v="DIQMTQSPSSLSASVGDRVTITCRASQSVSSAVAWYQQKPGKAPKLLIYSASSLYSGVPSRFSGSRSGTDFTLTISSLQPEDFATYYCQQYKYVPVTFGQGTKVEIK"/>
    <b v="1"/>
    <s v="GGGSGGGSGGGS"/>
    <x v="117"/>
    <n v="241"/>
    <b v="1"/>
    <b v="0"/>
    <b v="0"/>
    <m/>
    <m/>
    <x v="12"/>
  </r>
  <r>
    <x v="118"/>
    <s v="peleke-1 + AntiBMPNN"/>
    <x v="9"/>
    <n v="0.2"/>
    <s v="derivative"/>
    <s v="sbio-nipahgpg-055"/>
    <s v="nipah_gpG_compout"/>
    <m/>
    <s v="EVQLVESGGGLVQPGGSLRLSCAASGFNISSSSIHWVRQAPGKGLEWVASIYSYSGLTYYADSVKGRFTISADTSKNTAYLQMNSLRAEDTAVYYCARGGYYLDGLYALDYWGQGTLVTVSS"/>
    <s v="DIQMTQSPSSLSASVGDRVTITCRASQSVSSAVAWYQQKPGKAPKLLIYSASSLYSGVPSRFSGSRSGTDFTLTISSLQPEDFATYYCQQYKYVPVTFGQGTKVEIK"/>
    <b v="1"/>
    <s v="GGGSGGGSGGGS"/>
    <x v="118"/>
    <n v="241"/>
    <b v="1"/>
    <b v="0"/>
    <b v="0"/>
    <m/>
    <m/>
    <x v="12"/>
  </r>
  <r>
    <x v="119"/>
    <s v="peleke-1 + AntiBMPNN"/>
    <x v="9"/>
    <n v="0.2"/>
    <s v="derivative"/>
    <s v="sbio-nipahgpg-055"/>
    <s v="nipah_gpG_compout"/>
    <m/>
    <s v="EVQLVESGGGLVQPGGSLRLSCAASGFNISSSSIHWVRQAPGKGLEWVASIYSYSGATYYADSVKGRFTISADTSKNTAYLQMNSLRAEDTAVYYCARGGNHLDGLYALDYWGQGTLVTVSS"/>
    <s v="DIQMTQSPSSLSASVGDRVTITCRASQSVSSAVAWYQQKPGKAPKLLIYSASSLYSGVPSRFSGSRSGTDFTLTISSLQPEDFATYYCQQYKYVPVTFGQGTKVEIK"/>
    <b v="1"/>
    <s v="GGGSGGGSGGGS"/>
    <x v="119"/>
    <n v="241"/>
    <b v="1"/>
    <b v="0"/>
    <b v="0"/>
    <m/>
    <m/>
    <x v="12"/>
  </r>
  <r>
    <x v="120"/>
    <s v="peleke-1 + AntiBMPNN"/>
    <x v="9"/>
    <n v="0.2"/>
    <s v="derivative"/>
    <s v="sbio-nipahgpg-055"/>
    <s v="nipah_gpG_compout"/>
    <m/>
    <s v="EVQLVESGGGLVQPGGSLRLSCAASGFNISSSSIHWVRQAPGKGLEWVASIYSYSGYTYYADSVKGRFTISADTSKNTAYLQMNSLRAEDTAVYYCARGGRYLDGLFALDYWGQGTLVTVSS"/>
    <s v="DIQMTQSPSSLSASVGDRVTITCRASQSVSSAVAWYQQKPGKAPKLLIYSASSLYSGVPSRFSGSRSGTDFTLTISSLQPEDFATYYCQQYKYVPVTFGQGTKVEIK"/>
    <b v="1"/>
    <s v="GGGSGGGSGGGS"/>
    <x v="120"/>
    <n v="241"/>
    <b v="1"/>
    <b v="0"/>
    <b v="0"/>
    <m/>
    <m/>
    <x v="12"/>
  </r>
  <r>
    <x v="121"/>
    <s v="peleke-1 + AntiBMPNN"/>
    <x v="9"/>
    <n v="0.2"/>
    <s v="derivative"/>
    <s v="sbio-nipahgpg-055"/>
    <s v="nipah_gpG_compout"/>
    <m/>
    <s v="EVQLVESGGGLVQPGGSLRLSCAASGFNISSSSIHWVRQAPGKGLEWVASISSYSGYTYYADSVKGRFTISADTSKNTAYLQMNSLRAEDTAVYYCARGGSLLRGLSALDYWGQGTLVTVSS"/>
    <s v="DIQMTQSPSSLSASVGDRVTITCRASQSVSSAVAWYQQKPGKAPKLLIYSASSLYSGVPSRFSGSRSGTDFTLTISSLQPEDFATYYCQQYKYVPVTFGQGTKVEIK"/>
    <b v="1"/>
    <s v="GGGSGGGSGGGS"/>
    <x v="121"/>
    <n v="241"/>
    <b v="1"/>
    <b v="0"/>
    <b v="0"/>
    <m/>
    <m/>
    <x v="12"/>
  </r>
  <r>
    <x v="122"/>
    <s v="peleke-1 + AntiBMPNN"/>
    <x v="9"/>
    <n v="0.2"/>
    <s v="derivative"/>
    <s v="sbio-nipahgpg-055"/>
    <s v="nipah_gpG_compout"/>
    <m/>
    <s v="EVQLVESGGGLVQPGGSLRLSCAASGFNISDSSIHWVRQAPGKGLEWVASISSYSGYTYYADSVKGRFTISADTSKNTAYLQMNSLRAEDTAVYYCARGGRYLDGLYALDYWGQGTLVTVSS"/>
    <s v="DIQMTQSPSSLSASVGDRVTITCRASQSVSSAVAWYQQKPGKAPKLLIYSASSLYSGVPSRFSGSRSGTDFTLTISSLQPEDFATYYCQQYKYVPVTFGQGTKVEIK"/>
    <b v="1"/>
    <s v="GGGSGGGSGGGS"/>
    <x v="122"/>
    <n v="241"/>
    <b v="1"/>
    <b v="0"/>
    <b v="0"/>
    <m/>
    <m/>
    <x v="12"/>
  </r>
  <r>
    <x v="123"/>
    <s v="peleke-1 + AntiBMPNN"/>
    <x v="9"/>
    <n v="0.2"/>
    <s v="derivative"/>
    <s v="sbio-nipahgpg-055"/>
    <s v="nipah_gpG_compout"/>
    <m/>
    <s v="EVQLVESGGGLVQPGGSLRLSCAASGFNISSSSIHWVRQAPGKGLEWVASISSYSGYTYYADSVKGRFTISADTSKNTAYLQMNSLRAEDTAVYYCARGGSYLDGLSALDYWGQGTLVTVSS"/>
    <s v="DIQMTQSPSSLSASVGDRVTITCRASQSVSSAVAWYQQKPGKAPKLLIYSASSLYSGVPSRFSGSRSGTDFTLTISSLQPEDFATYYCQQYKYVPVTFGQGTKVEIK"/>
    <b v="1"/>
    <s v="GGGSGGGSGGGS"/>
    <x v="123"/>
    <n v="241"/>
    <b v="1"/>
    <b v="0"/>
    <b v="0"/>
    <m/>
    <m/>
    <x v="12"/>
  </r>
  <r>
    <x v="124"/>
    <s v="peleke-1 + AntiBMPNN"/>
    <x v="9"/>
    <n v="0.2"/>
    <s v="derivative"/>
    <s v="sbio-nipahgpg-055"/>
    <s v="nipah_gpG_compout"/>
    <m/>
    <s v="EVQLVESGGGLVQPGGSLRLSCAASGFNISDSSIHWVRQAPGKGLEWVASIYNYSGYTYYADSVKGRFTISADTSKNTAYLQMNSLRAEDTAVYYCARGGYYLDGLDALDYWGQGTLVTVSS"/>
    <s v="DIQMTQSPSSLSASVGDRVTITCRASQSVSSAVAWYQQKPGKAPKLLIYSASSLYSGVPSRFSGSRSGTDFTLTISSLQPEDFATYYCQQYKYVPVTFGQGTKVEIK"/>
    <b v="1"/>
    <s v="GGGSGGGSGGGS"/>
    <x v="124"/>
    <n v="241"/>
    <b v="1"/>
    <b v="0"/>
    <b v="0"/>
    <m/>
    <m/>
    <x v="12"/>
  </r>
  <r>
    <x v="125"/>
    <s v="peleke-1 + AntiBMPNN"/>
    <x v="9"/>
    <n v="0.2"/>
    <s v="derivative"/>
    <s v="sbio-nipahgpg-055"/>
    <s v="nipah_gpG_compout"/>
    <m/>
    <s v="EVQLVESGGGLVQPGGSLRLSCAASGFNISDYSIHWVRQAPGKGLEWVASIYNRSGYTYYADSVKGRFTISADTSKNTAYLQMNSLRAEDTAVYYCARGGYYLDGLYALDYWGQGTLVTVSS"/>
    <s v="DIQMTQSPSSLSASVGDRVTITCRASQSVSSAVAWYQQKPGKAPKLLIYSASSLYSGVPSRFSGSRSGTDFTLTISSLQPEDFATYYCQQYKYVPVTFGQGTKVEIK"/>
    <b v="1"/>
    <s v="GGGSGGGSGGGS"/>
    <x v="125"/>
    <n v="241"/>
    <b v="1"/>
    <b v="0"/>
    <b v="0"/>
    <m/>
    <m/>
    <x v="12"/>
  </r>
  <r>
    <x v="126"/>
    <s v="peleke-1 + AntiBMPNN"/>
    <x v="9"/>
    <n v="0.2"/>
    <s v="derivative"/>
    <s v="sbio-nipahgpg-055"/>
    <s v="nipah_gpG_compout"/>
    <m/>
    <s v="EVQLVESGGGLVQPGGSLRLSCAASGFNISSSSIHWVRQAPGKGLEWVASISSYSGYTYYADSVKGRFTISADTSKNTAYLQMNSLRAEDTAVYYCARGGHDLDGLYALDYWGQGTLVTVSS"/>
    <s v="DIQMTQSPSSLSASVGDRVTITCRASQSVSSAVAWYQQKPGKAPKLLIYSASSLYSGVPSRFSGSRSGTDFTLTISSLQPEDFATYYCQQYKYVPVTFGQGTKVEIK"/>
    <b v="1"/>
    <s v="GGGSGGGSGGGS"/>
    <x v="126"/>
    <n v="241"/>
    <b v="1"/>
    <b v="0"/>
    <b v="0"/>
    <m/>
    <m/>
    <x v="12"/>
  </r>
  <r>
    <x v="127"/>
    <s v="peleke-1 + AntiBMPNN"/>
    <x v="9"/>
    <n v="0.2"/>
    <s v="derivative"/>
    <s v="sbio-nipahgpg-114"/>
    <s v="nipah_gpG_compout"/>
    <m/>
    <s v="EVQLVESGGGLVKPGGSLKVSCAASGFTFSSYAMHWVRQAPGKGLEWVSYIWSGADSIGYADSVKGRFTISRDNAKNSLYLQMNSLRAGDTAVYYCARDDDAFDYWGQGTAVTVSS"/>
    <s v="DIQMTQSPSSLSASVGDRVTITCQASQDIRFYLNWYQQKPGKAPKLLISAASTLQSGVPSRFSGSGSGTDFTLTITSLQPEDFATYYCAGYVPSYTFGPGTKVDIK"/>
    <b v="1"/>
    <s v="GGGSGGGSGGGS"/>
    <x v="127"/>
    <n v="234"/>
    <b v="1"/>
    <b v="0"/>
    <b v="0"/>
    <m/>
    <m/>
    <x v="13"/>
  </r>
  <r>
    <x v="128"/>
    <s v="peleke-1 + AntiBMPNN"/>
    <x v="9"/>
    <n v="0.2"/>
    <s v="derivative"/>
    <s v="sbio-nipahgpg-114"/>
    <s v="nipah_gpG_compout"/>
    <m/>
    <s v="EVQLVESGGGLVKPGGSLKVSCAASGFTFSSYSMHWVRQAPGKGLEWVSSIWSGADSTGYADSVKGRFTISRDNAKNSLYLQMNSLRAGDTAVYYCARDDDAFDYWGQGTAVTVSS"/>
    <s v="DIQMTQSPSSLSASVGDRVTITCQASQDIRFYLNWYQQKPGKAPKLLISAASTLQSGVPSRFSGSGSGTDFTLTITSLQPEDFATYYCAGYVPSYTFGPGTKVDIK"/>
    <b v="1"/>
    <s v="GGGSGGGSGGGS"/>
    <x v="128"/>
    <n v="234"/>
    <b v="1"/>
    <b v="0"/>
    <b v="0"/>
    <m/>
    <m/>
    <x v="13"/>
  </r>
  <r>
    <x v="129"/>
    <s v="peleke-1 + AntiBMPNN"/>
    <x v="9"/>
    <n v="0.2"/>
    <s v="derivative"/>
    <s v="sbio-nipahgpg-114"/>
    <s v="nipah_gpG_compout"/>
    <m/>
    <s v="EVQLVESGGGLVKPGGSLKVSCAASGFTFSSYAMHWVRQAPGKGLEWVSRIWSGADSTGYADSVKGRFTISRDNAKNSLYLQMNSLRAGDTAVYYCARDDDAFDYWGQGTAVTVSS"/>
    <s v="DIQMTQSPSSLSASVGDRVTITCQASQDIRFYLNWYQQKPGKAPKLLISAASTLQSGVPSRFSGSGSGTDFTLTITSLQPEDFATYYCAGYVPSYTFGPGTKVDIK"/>
    <b v="1"/>
    <s v="GGGSGGGSGGGS"/>
    <x v="129"/>
    <n v="234"/>
    <b v="1"/>
    <b v="0"/>
    <b v="0"/>
    <m/>
    <m/>
    <x v="13"/>
  </r>
  <r>
    <x v="130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0"/>
    <m/>
    <m/>
    <x v="13"/>
  </r>
  <r>
    <x v="131"/>
    <s v="peleke-1 + AntiBMPNN"/>
    <x v="9"/>
    <n v="0.2"/>
    <s v="derivative"/>
    <s v="sbio-nipahgpg-114"/>
    <s v="nipah_gpG_compout"/>
    <m/>
    <s v="EVQLVESGGGLVKPGGSLKVSCAASGFTFSSYSMHWVRQAPGKGLEWVSRIWSGTDSIGYADSVKGRFTISRDNAKNSLYLQMNSLRAGDTAVYYCARDDDAFDYWGQGTAVTVSS"/>
    <s v="DIQMTQSPSSLSASVGDRVTITCQASQDIRFYLNWYQQKPGKAPKLLISAASTLQSGVPSRFSGSGSGTDFTLTITSLQPEDFATYYCAGYVPSYTFGPGTKVDIK"/>
    <b v="1"/>
    <s v="GGGSGGGSGGGS"/>
    <x v="131"/>
    <n v="234"/>
    <b v="1"/>
    <b v="0"/>
    <b v="0"/>
    <m/>
    <m/>
    <x v="13"/>
  </r>
  <r>
    <x v="132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0"/>
    <m/>
    <m/>
    <x v="13"/>
  </r>
  <r>
    <x v="133"/>
    <s v="peleke-1 + AntiBMPNN"/>
    <x v="9"/>
    <n v="0.2"/>
    <s v="derivative"/>
    <s v="sbio-nipahgpg-114"/>
    <s v="nipah_gpG_compout"/>
    <m/>
    <s v="EVQLVESGGGLVKPGGSLKVSCAASGFTFSSFAMHWVRQAPGKGLEWVSYIWSGADSTGYADSVKGRFTISRDNAKNSLYLQMNSLRAGDTAVYYCARDDDAFDYWGQGTAVTVSS"/>
    <s v="DIQMTQSPSSLSASVGDRVTITCQASQDIRFYLNWYQQKPGKAPKLLISAASTLQSGVPSRFSGSGSGTDFTLTITSLQPEDFATYYCAGYVPSYTFGPGTKVDIK"/>
    <b v="1"/>
    <s v="GGGSGGGSGGGS"/>
    <x v="133"/>
    <n v="234"/>
    <b v="1"/>
    <b v="0"/>
    <b v="0"/>
    <m/>
    <m/>
    <x v="13"/>
  </r>
  <r>
    <x v="134"/>
    <s v="peleke-1 + AntiBMPNN"/>
    <x v="9"/>
    <n v="0.2"/>
    <s v="derivative"/>
    <s v="sbio-nipahgpg-114"/>
    <s v="nipah_gpG_compout"/>
    <m/>
    <s v="EVQLVESGGGLVKPGGSLKVSCAASGFTFSSYAMHWVRQAPGKGLEWVSYIWSGADSIGYADSVKGRFTISRDNAKNSLYLQMNSLRAGDTAVYYCARYDDAFDYWGQGTAVTVSS"/>
    <s v="DIQMTQSPSSLSASVGDRVTITCQASQDIRFYLNWYQQKPGKAPKLLISAASTLQSGVPSRFSGSGSGTDFTLTITSLQPEDFATYYCAGYVPSYTFGPGTKVDIK"/>
    <b v="1"/>
    <s v="GGGSGGGSGGGS"/>
    <x v="130"/>
    <n v="234"/>
    <b v="1"/>
    <b v="0"/>
    <b v="0"/>
    <m/>
    <m/>
    <x v="13"/>
  </r>
  <r>
    <x v="135"/>
    <s v="peleke-1 + AntiBMPNN"/>
    <x v="9"/>
    <n v="0.2"/>
    <s v="derivative"/>
    <s v="sbio-nipahgpg-114"/>
    <s v="nipah_gpG_compout"/>
    <m/>
    <s v="EVQLVESGGGLVKPGGSLKVSCAASGFTFSSYAMHWVRQAPGKGLEWVSYIWSGVDSIGYADSVKGRFTISRDNAKNSLYLQMNSLRAGDTAVYYCARDDDAFDYWGQGTAVTVSS"/>
    <s v="DIQMTQSPSSLSASVGDRVTITCQASQDIRFYLNWYQQKPGKAPKLLISAASTLQSGVPSRFSGSGSGTDFTLTITSLQPEDFATYYCAGYVPSYTFGPGTKVDIK"/>
    <b v="1"/>
    <s v="GGGSGGGSGGGS"/>
    <x v="132"/>
    <n v="234"/>
    <b v="1"/>
    <b v="0"/>
    <b v="0"/>
    <m/>
    <m/>
    <x v="13"/>
  </r>
  <r>
    <x v="136"/>
    <s v="peleke-1 + AntiBMPNN"/>
    <x v="9"/>
    <n v="0.2"/>
    <s v="derivative"/>
    <s v="sbio-nipahgpg-114"/>
    <s v="nipah_gpG_compout"/>
    <m/>
    <s v="EVQLVESGGGLVKPGGSLKVSCAASGFTFSSYSMVWVRQAPGKGLEWVSRIWSGVDSTGYADSVKGRFTISRDNAKNSLYLQMNSLRAGDTAVYYCARDDDAFDYWGQGTAVTVSS"/>
    <s v="DIQMTQSPSSLSASVGDRVTITCQASQDIRFYLNWYQQKPGKAPKLLISAASTLQSGVPSRFSGSGSGTDFTLTITSLQPEDFATYYCAGYVPSYTFGPGTKVDIK"/>
    <b v="1"/>
    <s v="GGGSGGGSGGGS"/>
    <x v="134"/>
    <n v="234"/>
    <b v="1"/>
    <b v="0"/>
    <b v="0"/>
    <m/>
    <m/>
    <x v="13"/>
  </r>
  <r>
    <x v="137"/>
    <m/>
    <x v="10"/>
    <m/>
    <m/>
    <m/>
    <m/>
    <m/>
    <m/>
    <m/>
    <m/>
    <m/>
    <x v="135"/>
    <m/>
    <m/>
    <m/>
    <m/>
    <m/>
    <m/>
    <x v="8"/>
  </r>
  <r>
    <x v="138"/>
    <m/>
    <x v="10"/>
    <m/>
    <m/>
    <m/>
    <m/>
    <m/>
    <m/>
    <m/>
    <m/>
    <m/>
    <x v="135"/>
    <m/>
    <m/>
    <m/>
    <m/>
    <m/>
    <m/>
    <x v="8"/>
  </r>
  <r>
    <x v="139"/>
    <m/>
    <x v="10"/>
    <m/>
    <m/>
    <m/>
    <m/>
    <m/>
    <m/>
    <m/>
    <m/>
    <m/>
    <x v="135"/>
    <m/>
    <m/>
    <m/>
    <m/>
    <m/>
    <m/>
    <x v="8"/>
  </r>
  <r>
    <x v="140"/>
    <m/>
    <x v="10"/>
    <m/>
    <m/>
    <m/>
    <m/>
    <m/>
    <m/>
    <m/>
    <m/>
    <m/>
    <x v="135"/>
    <m/>
    <m/>
    <m/>
    <m/>
    <m/>
    <m/>
    <x v="8"/>
  </r>
  <r>
    <x v="141"/>
    <m/>
    <x v="10"/>
    <m/>
    <m/>
    <m/>
    <m/>
    <m/>
    <m/>
    <m/>
    <m/>
    <m/>
    <x v="135"/>
    <m/>
    <m/>
    <m/>
    <m/>
    <m/>
    <m/>
    <x v="8"/>
  </r>
  <r>
    <x v="142"/>
    <m/>
    <x v="10"/>
    <m/>
    <m/>
    <m/>
    <m/>
    <m/>
    <m/>
    <m/>
    <m/>
    <m/>
    <x v="135"/>
    <m/>
    <m/>
    <m/>
    <m/>
    <m/>
    <m/>
    <x v="8"/>
  </r>
  <r>
    <x v="143"/>
    <m/>
    <x v="10"/>
    <m/>
    <m/>
    <m/>
    <m/>
    <m/>
    <m/>
    <m/>
    <m/>
    <m/>
    <x v="135"/>
    <m/>
    <m/>
    <m/>
    <m/>
    <m/>
    <m/>
    <x v="8"/>
  </r>
  <r>
    <x v="144"/>
    <m/>
    <x v="10"/>
    <m/>
    <m/>
    <m/>
    <m/>
    <m/>
    <m/>
    <m/>
    <m/>
    <m/>
    <x v="135"/>
    <m/>
    <m/>
    <m/>
    <m/>
    <m/>
    <m/>
    <x v="8"/>
  </r>
  <r>
    <x v="145"/>
    <m/>
    <x v="10"/>
    <m/>
    <m/>
    <m/>
    <m/>
    <m/>
    <m/>
    <m/>
    <m/>
    <m/>
    <x v="135"/>
    <m/>
    <m/>
    <m/>
    <m/>
    <m/>
    <m/>
    <x v="8"/>
  </r>
  <r>
    <x v="146"/>
    <m/>
    <x v="10"/>
    <m/>
    <m/>
    <m/>
    <m/>
    <m/>
    <m/>
    <m/>
    <m/>
    <m/>
    <x v="135"/>
    <m/>
    <m/>
    <m/>
    <m/>
    <m/>
    <m/>
    <x v="8"/>
  </r>
  <r>
    <x v="147"/>
    <m/>
    <x v="10"/>
    <m/>
    <m/>
    <m/>
    <m/>
    <m/>
    <m/>
    <m/>
    <m/>
    <m/>
    <x v="135"/>
    <m/>
    <m/>
    <m/>
    <m/>
    <m/>
    <m/>
    <x v="8"/>
  </r>
  <r>
    <x v="148"/>
    <m/>
    <x v="10"/>
    <m/>
    <m/>
    <m/>
    <m/>
    <m/>
    <m/>
    <m/>
    <m/>
    <m/>
    <x v="135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</items>
    </pivotField>
    <pivotField compact="0" outline="0" showAll="0" defaultSubtotal="0"/>
    <pivotField axis="axisRow" compact="0" outline="0" showAll="0" defaultSubtotal="0">
      <items count="11">
        <item x="6"/>
        <item x="7"/>
        <item x="5"/>
        <item x="0"/>
        <item x="2"/>
        <item x="3"/>
        <item x="1"/>
        <item x="4"/>
        <item x="10"/>
        <item x="8"/>
        <item x="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36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3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7">
        <item h="1" x="8"/>
        <item h="1" x="0"/>
        <item h="1" x="1"/>
        <item h="1" x="2"/>
        <item h="1" x="3"/>
        <item h="1" x="4"/>
        <item h="1" x="5"/>
        <item h="1" m="1" x="16"/>
        <item h="1" x="6"/>
        <item h="1" m="1" x="15"/>
        <item h="1" x="7"/>
        <item h="1" x="9"/>
        <item h="1" x="10"/>
        <item h="1" x="11"/>
        <item h="1" m="1" x="14"/>
        <item h="1" x="12"/>
        <item x="13"/>
      </items>
    </pivotField>
  </pivotFields>
  <rowFields count="3">
    <field x="0"/>
    <field x="2"/>
    <field x="12"/>
  </rowFields>
  <rowItems count="10">
    <i>
      <x v="128"/>
      <x v="10"/>
      <x v="128"/>
    </i>
    <i>
      <x v="129"/>
      <x v="10"/>
      <x v="129"/>
    </i>
    <i>
      <x v="130"/>
      <x v="10"/>
      <x v="130"/>
    </i>
    <i>
      <x v="131"/>
      <x v="10"/>
      <x v="131"/>
    </i>
    <i>
      <x v="132"/>
      <x v="10"/>
      <x v="132"/>
    </i>
    <i>
      <x v="133"/>
      <x v="10"/>
      <x v="133"/>
    </i>
    <i>
      <x v="134"/>
      <x v="10"/>
      <x v="134"/>
    </i>
    <i>
      <x v="135"/>
      <x v="10"/>
      <x v="131"/>
    </i>
    <i>
      <x v="136"/>
      <x v="10"/>
      <x v="133"/>
    </i>
    <i>
      <x v="137"/>
      <x v="10"/>
      <x v="135"/>
    </i>
  </rowItems>
  <colItems count="1">
    <i/>
  </colItems>
  <pageFields count="1">
    <pageField fld="19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38"/>
  <sheetViews>
    <sheetView tabSelected="1" zoomScaleNormal="100" workbookViewId="0">
      <pane xSplit="1" ySplit="1" topLeftCell="M49" activePane="bottomRight" state="frozen"/>
      <selection pane="topRight" activeCell="B1" sqref="B1"/>
      <selection pane="bottomLeft" activeCell="A2" sqref="A2"/>
      <selection pane="bottomRight" activeCell="V4" sqref="V4"/>
    </sheetView>
  </sheetViews>
  <sheetFormatPr baseColWidth="10" defaultColWidth="9.1640625" defaultRowHeight="15" x14ac:dyDescent="0.2"/>
  <cols>
    <col min="1" max="1" width="17.83203125" style="1" customWidth="1"/>
    <col min="2" max="2" width="22.5" style="1" bestFit="1" customWidth="1"/>
    <col min="3" max="3" width="14.6640625" style="2" customWidth="1"/>
    <col min="4" max="4" width="11.6640625" style="4" customWidth="1"/>
    <col min="5" max="5" width="11.6640625" style="1" customWidth="1"/>
    <col min="6" max="6" width="18.5" style="1" bestFit="1" customWidth="1"/>
    <col min="7" max="7" width="19.5" style="1" bestFit="1" customWidth="1"/>
    <col min="8" max="8" width="8.6640625" style="1" bestFit="1" customWidth="1"/>
    <col min="9" max="9" width="54" style="2" customWidth="1"/>
    <col min="10" max="10" width="46.5" style="2" customWidth="1"/>
    <col min="11" max="11" width="16" style="1" customWidth="1"/>
    <col min="12" max="12" width="12" style="2" customWidth="1"/>
    <col min="13" max="13" width="71.33203125" style="2" customWidth="1"/>
    <col min="14" max="14" width="17.5" style="4" bestFit="1" customWidth="1"/>
    <col min="15" max="15" width="17.5" style="1" customWidth="1"/>
    <col min="16" max="16" width="19.83203125" style="1" bestFit="1" customWidth="1"/>
    <col min="17" max="17" width="27.83203125" style="1" bestFit="1" customWidth="1"/>
    <col min="18" max="19" width="12" style="4" bestFit="1" customWidth="1"/>
    <col min="20" max="20" width="23.6640625" style="4" bestFit="1" customWidth="1"/>
    <col min="21" max="21" width="22.5" style="2" bestFit="1" customWidth="1"/>
    <col min="22" max="22" width="22.5" style="4" bestFit="1" customWidth="1"/>
    <col min="23" max="16384" width="9.1640625" style="1"/>
  </cols>
  <sheetData>
    <row r="1" spans="1:22" s="3" customFormat="1" ht="16" x14ac:dyDescent="0.2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64" x14ac:dyDescent="0.2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 t="shared" ref="M2:M33" si="0"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 t="shared" ref="N2:N33" si="1">LEN(M2)</f>
        <v>246</v>
      </c>
      <c r="O2" s="1" t="b">
        <f t="shared" ref="O2:O33" si="2"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</v>
      </c>
    </row>
    <row r="3" spans="1:22" ht="64" x14ac:dyDescent="0.2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si="0"/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 t="shared" si="1"/>
        <v>240</v>
      </c>
      <c r="O3" s="1" t="b">
        <f t="shared" si="2"/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0.25329299999999999</v>
      </c>
    </row>
    <row r="4" spans="1:22" ht="64" x14ac:dyDescent="0.2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 t="shared" si="1"/>
        <v>239</v>
      </c>
      <c r="O4" s="1" t="b">
        <f t="shared" si="2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0.530196</v>
      </c>
    </row>
    <row r="5" spans="1:22" ht="64" x14ac:dyDescent="0.2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 t="shared" si="1"/>
        <v>240</v>
      </c>
      <c r="O5" s="1" t="b">
        <f t="shared" si="2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0.233075</v>
      </c>
    </row>
    <row r="6" spans="1:22" ht="64" x14ac:dyDescent="0.2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 t="shared" si="1"/>
        <v>238</v>
      </c>
      <c r="O6" s="1" t="b">
        <f t="shared" si="2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</v>
      </c>
    </row>
    <row r="7" spans="1:22" ht="64" x14ac:dyDescent="0.2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si="1"/>
        <v>247</v>
      </c>
      <c r="O7" s="1" t="b">
        <f t="shared" si="2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5.9117999999999997E-2</v>
      </c>
    </row>
    <row r="8" spans="1:22" ht="64" x14ac:dyDescent="0.2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1"/>
        <v>246</v>
      </c>
      <c r="O8" s="1" t="b">
        <f t="shared" si="2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</v>
      </c>
    </row>
    <row r="9" spans="1:22" ht="64" x14ac:dyDescent="0.2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1"/>
        <v>246</v>
      </c>
      <c r="O9" s="1" t="b">
        <f t="shared" si="2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</v>
      </c>
    </row>
    <row r="10" spans="1:22" ht="64" x14ac:dyDescent="0.2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1"/>
        <v>246</v>
      </c>
      <c r="O10" s="1" t="b">
        <f t="shared" si="2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64" x14ac:dyDescent="0.2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1"/>
        <v>246</v>
      </c>
      <c r="O11" s="1" t="b">
        <f t="shared" si="2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</v>
      </c>
    </row>
    <row r="12" spans="1:22" ht="64" x14ac:dyDescent="0.2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1"/>
        <v>247</v>
      </c>
      <c r="O12" s="1" t="b">
        <f t="shared" si="2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4.8820000000000001E-3</v>
      </c>
    </row>
    <row r="13" spans="1:22" ht="64" x14ac:dyDescent="0.2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1"/>
        <v>246</v>
      </c>
      <c r="O13" s="1" t="b">
        <f t="shared" si="2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64" x14ac:dyDescent="0.2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1"/>
        <v>246</v>
      </c>
      <c r="O14" s="1" t="b">
        <f t="shared" si="2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0.330536</v>
      </c>
    </row>
    <row r="15" spans="1:22" ht="64" x14ac:dyDescent="0.2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1"/>
        <v>247</v>
      </c>
      <c r="O15" s="1" t="b">
        <f t="shared" si="2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</v>
      </c>
    </row>
    <row r="16" spans="1:22" ht="64" x14ac:dyDescent="0.2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1"/>
        <v>246</v>
      </c>
      <c r="O16" s="1" t="b">
        <f t="shared" si="2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5.1409999999999997E-3</v>
      </c>
    </row>
    <row r="17" spans="1:22" ht="64" x14ac:dyDescent="0.2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1"/>
        <v>246</v>
      </c>
      <c r="O17" s="1" t="b">
        <f t="shared" si="2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64" x14ac:dyDescent="0.2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1"/>
        <v>246</v>
      </c>
      <c r="O18" s="1" t="b">
        <f t="shared" si="2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64" x14ac:dyDescent="0.2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1"/>
        <v>246</v>
      </c>
      <c r="O19" s="1" t="b">
        <f t="shared" si="2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0.10117900000000001</v>
      </c>
    </row>
    <row r="20" spans="1:22" ht="64" x14ac:dyDescent="0.2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1"/>
        <v>246</v>
      </c>
      <c r="O20" s="1" t="b">
        <f t="shared" si="2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5.2560000000000003E-3</v>
      </c>
    </row>
    <row r="21" spans="1:22" ht="64" x14ac:dyDescent="0.2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1"/>
        <v>246</v>
      </c>
      <c r="O21" s="1" t="b">
        <f t="shared" si="2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</v>
      </c>
    </row>
    <row r="22" spans="1:22" ht="64" x14ac:dyDescent="0.2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1"/>
        <v>246</v>
      </c>
      <c r="O22" s="1" t="b">
        <f t="shared" si="2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0.33924399999999999</v>
      </c>
    </row>
    <row r="23" spans="1:22" ht="64" x14ac:dyDescent="0.2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1"/>
        <v>250</v>
      </c>
      <c r="O23" s="1" t="b">
        <f t="shared" si="2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</v>
      </c>
    </row>
    <row r="24" spans="1:22" ht="64" x14ac:dyDescent="0.2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1"/>
        <v>249</v>
      </c>
      <c r="O24" s="1" t="b">
        <f t="shared" si="2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5.3039999999999997E-3</v>
      </c>
    </row>
    <row r="25" spans="1:22" ht="64" x14ac:dyDescent="0.2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 t="shared" si="0"/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1"/>
        <v>249</v>
      </c>
      <c r="O25" s="1" t="b">
        <f t="shared" si="2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3.4557999999999998E-2</v>
      </c>
    </row>
    <row r="26" spans="1:22" ht="64" x14ac:dyDescent="0.2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1"/>
        <v>249</v>
      </c>
      <c r="O26" s="1" t="b">
        <f t="shared" si="2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0.177148</v>
      </c>
    </row>
    <row r="27" spans="1:22" ht="64" x14ac:dyDescent="0.2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1"/>
        <v>249</v>
      </c>
      <c r="O27" s="1" t="b">
        <f t="shared" si="2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0.18701400000000001</v>
      </c>
    </row>
    <row r="28" spans="1:22" ht="64" x14ac:dyDescent="0.2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1"/>
        <v>249</v>
      </c>
      <c r="O28" s="1" t="b">
        <f t="shared" si="2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64" x14ac:dyDescent="0.2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1"/>
        <v>249</v>
      </c>
      <c r="O29" s="1" t="b">
        <f t="shared" si="2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</v>
      </c>
    </row>
    <row r="30" spans="1:22" ht="64" x14ac:dyDescent="0.2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1"/>
        <v>249</v>
      </c>
      <c r="O30" s="1" t="b">
        <f t="shared" si="2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4" x14ac:dyDescent="0.2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1"/>
        <v>241</v>
      </c>
      <c r="O31" s="1" t="b">
        <f t="shared" si="2"/>
        <v>1</v>
      </c>
      <c r="P31" s="1" t="b">
        <v>0</v>
      </c>
      <c r="Q31" s="1" t="b">
        <v>0</v>
      </c>
      <c r="T31" s="10">
        <v>45971</v>
      </c>
      <c r="U31" s="2" t="s">
        <v>245</v>
      </c>
      <c r="V31" s="4">
        <v>5.6360000000000004E-3</v>
      </c>
    </row>
    <row r="32" spans="1:22" ht="64" x14ac:dyDescent="0.2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1"/>
        <v>248</v>
      </c>
      <c r="O32" s="1" t="b">
        <f t="shared" si="2"/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4.999E-3</v>
      </c>
    </row>
    <row r="33" spans="1:22" ht="64" x14ac:dyDescent="0.2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1"/>
        <v>242</v>
      </c>
      <c r="O33" s="1" t="b">
        <f t="shared" si="2"/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0.17957600000000001</v>
      </c>
    </row>
    <row r="34" spans="1:22" ht="64" x14ac:dyDescent="0.2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ref="M34:M65" si="3">_xlfn.CONCAT(I34,L34,J34)</f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ref="N34:N65" si="4">LEN(M34)</f>
        <v>240</v>
      </c>
      <c r="O34" s="1" t="b">
        <f t="shared" ref="O34:O65" si="5">IF(N34&lt;=250,TRUE,FALSE)</f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0.120976</v>
      </c>
    </row>
    <row r="35" spans="1:22" ht="64" x14ac:dyDescent="0.2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3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4"/>
        <v>246</v>
      </c>
      <c r="O35" s="1" t="b">
        <f t="shared" si="5"/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0.44340800000000002</v>
      </c>
    </row>
    <row r="36" spans="1:22" ht="64" x14ac:dyDescent="0.2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3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4"/>
        <v>244</v>
      </c>
      <c r="O36" s="1" t="b">
        <f t="shared" si="5"/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1.5703000000000002E-2</v>
      </c>
    </row>
    <row r="37" spans="1:22" ht="64" x14ac:dyDescent="0.2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3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4"/>
        <v>247</v>
      </c>
      <c r="O37" s="1" t="b">
        <f t="shared" si="5"/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</v>
      </c>
    </row>
    <row r="38" spans="1:22" ht="64" x14ac:dyDescent="0.2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3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4"/>
        <v>237</v>
      </c>
      <c r="O38" s="1" t="b">
        <f t="shared" si="5"/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5.2269999999999999E-3</v>
      </c>
    </row>
    <row r="39" spans="1:22" ht="64" x14ac:dyDescent="0.2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3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4"/>
        <v>238</v>
      </c>
      <c r="O39" s="1" t="b">
        <f t="shared" si="5"/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5.0480000000000004E-3</v>
      </c>
    </row>
    <row r="40" spans="1:22" ht="64" x14ac:dyDescent="0.2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3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4"/>
        <v>248</v>
      </c>
      <c r="O40" s="1" t="b">
        <f t="shared" si="5"/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0.11568299999999999</v>
      </c>
    </row>
    <row r="41" spans="1:22" ht="64" x14ac:dyDescent="0.2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3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4"/>
        <v>246</v>
      </c>
      <c r="O41" s="1" t="b">
        <f t="shared" si="5"/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0.152167</v>
      </c>
    </row>
    <row r="42" spans="1:22" ht="64" x14ac:dyDescent="0.2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3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4"/>
        <v>241</v>
      </c>
      <c r="O42" s="1" t="b">
        <f t="shared" si="5"/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0.28608699999999998</v>
      </c>
    </row>
    <row r="43" spans="1:22" ht="64" x14ac:dyDescent="0.2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3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4"/>
        <v>233</v>
      </c>
      <c r="O43" s="1" t="b">
        <f t="shared" si="5"/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0.35572100000000001</v>
      </c>
    </row>
    <row r="44" spans="1:22" ht="64" x14ac:dyDescent="0.2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3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4"/>
        <v>234</v>
      </c>
      <c r="O44" s="1" t="b">
        <f t="shared" si="5"/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0.29531000000000002</v>
      </c>
    </row>
    <row r="45" spans="1:22" ht="64" x14ac:dyDescent="0.2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3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4"/>
        <v>242</v>
      </c>
      <c r="O45" s="1" t="b">
        <f t="shared" si="5"/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0.27838000000000002</v>
      </c>
    </row>
    <row r="46" spans="1:22" ht="64" x14ac:dyDescent="0.2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3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4"/>
        <v>247</v>
      </c>
      <c r="O46" s="1" t="b">
        <f t="shared" si="5"/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0.35131800000000002</v>
      </c>
    </row>
    <row r="47" spans="1:22" ht="64" x14ac:dyDescent="0.2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3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4"/>
        <v>247</v>
      </c>
      <c r="O47" s="1" t="b">
        <f t="shared" si="5"/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7.9927999999999999E-2</v>
      </c>
    </row>
    <row r="48" spans="1:22" ht="64" x14ac:dyDescent="0.2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3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4"/>
        <v>241</v>
      </c>
      <c r="O48" s="1" t="b">
        <f t="shared" si="5"/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4.8339999999999998E-3</v>
      </c>
    </row>
    <row r="49" spans="1:22" ht="64" x14ac:dyDescent="0.2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3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4"/>
        <v>242</v>
      </c>
      <c r="O49" s="1" t="b">
        <f t="shared" si="5"/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0.51755099999999998</v>
      </c>
    </row>
    <row r="50" spans="1:22" ht="64" x14ac:dyDescent="0.2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3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4"/>
        <v>245</v>
      </c>
      <c r="O50" s="1" t="b">
        <f t="shared" si="5"/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0.40934900000000002</v>
      </c>
    </row>
    <row r="51" spans="1:22" ht="64" x14ac:dyDescent="0.2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3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4"/>
        <v>243</v>
      </c>
      <c r="O51" s="1" t="b">
        <f t="shared" si="5"/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0.46119900000000003</v>
      </c>
    </row>
    <row r="52" spans="1:22" ht="64" x14ac:dyDescent="0.2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3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4"/>
        <v>241</v>
      </c>
      <c r="O52" s="1" t="b">
        <f t="shared" si="5"/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0.43406800000000001</v>
      </c>
    </row>
    <row r="53" spans="1:22" ht="64" x14ac:dyDescent="0.2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3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4"/>
        <v>243</v>
      </c>
      <c r="O53" s="1" t="b">
        <f t="shared" si="5"/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4.9569999999999996E-3</v>
      </c>
    </row>
    <row r="54" spans="1:22" ht="64" x14ac:dyDescent="0.2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3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4"/>
        <v>245</v>
      </c>
      <c r="O54" s="1" t="b">
        <f t="shared" si="5"/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0.63002499999999995</v>
      </c>
    </row>
    <row r="55" spans="1:22" ht="64" x14ac:dyDescent="0.2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3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4"/>
        <v>240</v>
      </c>
      <c r="O55" s="1" t="b">
        <f t="shared" si="5"/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64" x14ac:dyDescent="0.2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3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4"/>
        <v>245</v>
      </c>
      <c r="O56" s="1" t="b">
        <f t="shared" si="5"/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0.33044200000000001</v>
      </c>
    </row>
    <row r="57" spans="1:22" ht="64" x14ac:dyDescent="0.2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3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4"/>
        <v>240</v>
      </c>
      <c r="O57" s="1" t="b">
        <f t="shared" si="5"/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64" x14ac:dyDescent="0.2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3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4"/>
        <v>249</v>
      </c>
      <c r="O58" s="1" t="b">
        <f t="shared" si="5"/>
        <v>1</v>
      </c>
      <c r="P58" s="1" t="b">
        <v>0</v>
      </c>
      <c r="Q58" s="1" t="b">
        <v>0</v>
      </c>
      <c r="T58" s="10">
        <v>45976</v>
      </c>
      <c r="U58" s="2" t="s">
        <v>474</v>
      </c>
      <c r="V58" s="4">
        <v>0.49204199999999998</v>
      </c>
    </row>
    <row r="59" spans="1:22" ht="64" x14ac:dyDescent="0.2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3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4"/>
        <v>240</v>
      </c>
      <c r="O59" s="1" t="b">
        <f t="shared" si="5"/>
        <v>1</v>
      </c>
      <c r="P59" s="1" t="b">
        <v>0</v>
      </c>
      <c r="Q59" s="1" t="b">
        <v>0</v>
      </c>
      <c r="T59" s="10"/>
      <c r="U59" s="11" t="s">
        <v>381</v>
      </c>
    </row>
    <row r="60" spans="1:22" ht="64" x14ac:dyDescent="0.2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3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4"/>
        <v>242</v>
      </c>
      <c r="O60" s="1" t="b">
        <f t="shared" si="5"/>
        <v>1</v>
      </c>
      <c r="P60" s="1" t="b">
        <v>0</v>
      </c>
      <c r="Q60" s="1" t="b">
        <v>0</v>
      </c>
      <c r="T60" s="10"/>
      <c r="U60" s="11" t="s">
        <v>381</v>
      </c>
    </row>
    <row r="61" spans="1:22" ht="64" x14ac:dyDescent="0.2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3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4"/>
        <v>242</v>
      </c>
      <c r="O61" s="1" t="b">
        <f t="shared" si="5"/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</v>
      </c>
    </row>
    <row r="62" spans="1:22" ht="64" x14ac:dyDescent="0.2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3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4"/>
        <v>240</v>
      </c>
      <c r="O62" s="1" t="b">
        <f t="shared" si="5"/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5.9379999999999997E-3</v>
      </c>
    </row>
    <row r="63" spans="1:22" ht="64" x14ac:dyDescent="0.2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3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4"/>
        <v>243</v>
      </c>
      <c r="O63" s="1" t="b">
        <f t="shared" si="5"/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9.3369999999999998E-3</v>
      </c>
    </row>
    <row r="64" spans="1:22" ht="64" x14ac:dyDescent="0.2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3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4"/>
        <v>238</v>
      </c>
      <c r="O64" s="1" t="b">
        <f t="shared" si="5"/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0.29275600000000002</v>
      </c>
    </row>
    <row r="65" spans="1:22" ht="64" x14ac:dyDescent="0.2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3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4"/>
        <v>246</v>
      </c>
      <c r="O65" s="1" t="b">
        <f t="shared" si="5"/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0.112092</v>
      </c>
    </row>
    <row r="66" spans="1:22" ht="64" x14ac:dyDescent="0.2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ref="M66:M97" si="6">_xlfn.CONCAT(I66,L66,J66)</f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ref="N66:N97" si="7">LEN(M66)</f>
        <v>246</v>
      </c>
      <c r="O66" s="1" t="b">
        <f t="shared" ref="O66:O97" si="8">IF(N66&lt;=250,TRUE,FALSE)</f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0.498143</v>
      </c>
    </row>
    <row r="67" spans="1:22" ht="64" x14ac:dyDescent="0.2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si="6"/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7"/>
        <v>235</v>
      </c>
      <c r="O67" s="1" t="b">
        <f t="shared" si="8"/>
        <v>1</v>
      </c>
      <c r="P67" s="1" t="b">
        <v>0</v>
      </c>
      <c r="Q67" s="1" t="b">
        <v>0</v>
      </c>
      <c r="T67" s="10">
        <v>45976</v>
      </c>
      <c r="U67" s="2" t="s">
        <v>475</v>
      </c>
      <c r="V67" s="4">
        <v>5.3290000000000004E-3</v>
      </c>
    </row>
    <row r="68" spans="1:22" ht="64" x14ac:dyDescent="0.2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6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7"/>
        <v>241</v>
      </c>
      <c r="O68" s="1" t="b">
        <f t="shared" si="8"/>
        <v>1</v>
      </c>
      <c r="P68" s="1" t="b">
        <v>0</v>
      </c>
      <c r="Q68" s="1" t="b">
        <v>0</v>
      </c>
      <c r="T68" s="10">
        <v>45976</v>
      </c>
      <c r="U68" s="2" t="s">
        <v>476</v>
      </c>
      <c r="V68" s="4">
        <v>0.20996500000000001</v>
      </c>
    </row>
    <row r="69" spans="1:22" ht="64" x14ac:dyDescent="0.2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6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7"/>
        <v>240</v>
      </c>
      <c r="O69" s="1" t="b">
        <f t="shared" si="8"/>
        <v>1</v>
      </c>
      <c r="P69" s="1" t="b">
        <v>0</v>
      </c>
      <c r="Q69" s="1" t="b">
        <v>0</v>
      </c>
      <c r="T69" s="10">
        <v>45977</v>
      </c>
      <c r="U69" s="2" t="s">
        <v>483</v>
      </c>
      <c r="V69" s="4">
        <v>0.293068</v>
      </c>
    </row>
    <row r="70" spans="1:22" ht="64" x14ac:dyDescent="0.2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6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7"/>
        <v>239</v>
      </c>
      <c r="O70" s="1" t="b">
        <f t="shared" si="8"/>
        <v>1</v>
      </c>
      <c r="P70" s="1" t="b">
        <v>0</v>
      </c>
      <c r="Q70" s="1" t="b">
        <v>0</v>
      </c>
      <c r="T70" s="10"/>
      <c r="U70" s="11" t="s">
        <v>381</v>
      </c>
    </row>
    <row r="71" spans="1:22" ht="64" x14ac:dyDescent="0.2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6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si="7"/>
        <v>249</v>
      </c>
      <c r="O71" s="1" t="b">
        <f t="shared" si="8"/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5.2950000000000002E-3</v>
      </c>
    </row>
    <row r="72" spans="1:22" ht="64" x14ac:dyDescent="0.2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6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7"/>
        <v>241</v>
      </c>
      <c r="O72" s="1" t="b">
        <f t="shared" si="8"/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4" x14ac:dyDescent="0.2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6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7"/>
        <v>240</v>
      </c>
      <c r="O73" s="1" t="b">
        <f t="shared" si="8"/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5.0549999999999996E-3</v>
      </c>
    </row>
    <row r="74" spans="1:22" ht="64" x14ac:dyDescent="0.2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6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7"/>
        <v>242</v>
      </c>
      <c r="O74" s="1" t="b">
        <f t="shared" si="8"/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0.17583499999999999</v>
      </c>
    </row>
    <row r="75" spans="1:22" ht="64" x14ac:dyDescent="0.2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6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7"/>
        <v>243</v>
      </c>
      <c r="O75" s="1" t="b">
        <f t="shared" si="8"/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4" x14ac:dyDescent="0.2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6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7"/>
        <v>237</v>
      </c>
      <c r="O76" s="1" t="b">
        <f t="shared" si="8"/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5.666E-3</v>
      </c>
    </row>
    <row r="77" spans="1:22" ht="64" x14ac:dyDescent="0.2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6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7"/>
        <v>237</v>
      </c>
      <c r="O77" s="1" t="b">
        <f t="shared" si="8"/>
        <v>1</v>
      </c>
      <c r="P77" s="1" t="b">
        <v>0</v>
      </c>
      <c r="Q77" s="1" t="b">
        <v>0</v>
      </c>
      <c r="T77" s="10">
        <v>45976</v>
      </c>
      <c r="U77" s="2" t="s">
        <v>477</v>
      </c>
      <c r="V77" s="4">
        <v>0</v>
      </c>
    </row>
    <row r="78" spans="1:22" ht="64" x14ac:dyDescent="0.2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6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7"/>
        <v>247</v>
      </c>
      <c r="O78" s="1" t="b">
        <f t="shared" si="8"/>
        <v>1</v>
      </c>
      <c r="P78" s="1" t="b">
        <v>0</v>
      </c>
      <c r="Q78" s="1" t="b">
        <v>0</v>
      </c>
      <c r="T78" s="10">
        <v>45976</v>
      </c>
      <c r="U78" s="2" t="s">
        <v>478</v>
      </c>
      <c r="V78" s="4">
        <v>4.9170000000000004E-3</v>
      </c>
    </row>
    <row r="79" spans="1:22" ht="64" x14ac:dyDescent="0.2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6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7"/>
        <v>243</v>
      </c>
      <c r="O79" s="1" t="b">
        <f t="shared" si="8"/>
        <v>1</v>
      </c>
      <c r="P79" s="1" t="b">
        <v>0</v>
      </c>
      <c r="Q79" s="1" t="b">
        <v>0</v>
      </c>
      <c r="T79" s="10">
        <v>45977</v>
      </c>
      <c r="U79" s="2" t="s">
        <v>491</v>
      </c>
      <c r="V79" s="4">
        <v>0</v>
      </c>
    </row>
    <row r="80" spans="1:22" ht="64" x14ac:dyDescent="0.2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6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7"/>
        <v>240</v>
      </c>
      <c r="O80" s="1" t="b">
        <f t="shared" si="8"/>
        <v>1</v>
      </c>
      <c r="P80" s="1" t="b">
        <v>0</v>
      </c>
      <c r="Q80" s="1" t="b">
        <v>0</v>
      </c>
      <c r="T80" s="10">
        <v>45977</v>
      </c>
      <c r="U80" s="2" t="s">
        <v>484</v>
      </c>
      <c r="V80" s="4">
        <v>0.33998800000000001</v>
      </c>
    </row>
    <row r="81" spans="1:22" ht="64" x14ac:dyDescent="0.2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6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7"/>
        <v>243</v>
      </c>
      <c r="O81" s="1" t="b">
        <f t="shared" si="8"/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0.204621</v>
      </c>
    </row>
    <row r="82" spans="1:22" ht="64" x14ac:dyDescent="0.2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 t="shared" si="6"/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7"/>
        <v>240</v>
      </c>
      <c r="O82" s="1" t="b">
        <f t="shared" si="8"/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0.53450500000000001</v>
      </c>
    </row>
    <row r="83" spans="1:22" ht="64" x14ac:dyDescent="0.2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 t="shared" si="6"/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7"/>
        <v>239</v>
      </c>
      <c r="O83" s="1" t="b">
        <f t="shared" si="8"/>
        <v>1</v>
      </c>
      <c r="P83" s="1" t="b">
        <v>0</v>
      </c>
      <c r="Q83" s="1" t="b">
        <v>0</v>
      </c>
      <c r="T83" s="10">
        <v>45976</v>
      </c>
      <c r="U83" s="2" t="s">
        <v>479</v>
      </c>
      <c r="V83" s="4">
        <v>5.4400000000000004E-3</v>
      </c>
    </row>
    <row r="84" spans="1:22" ht="64" x14ac:dyDescent="0.2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 t="shared" si="6"/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si="7"/>
        <v>238</v>
      </c>
      <c r="O84" s="1" t="b">
        <f t="shared" si="8"/>
        <v>1</v>
      </c>
      <c r="P84" s="1" t="b">
        <v>0</v>
      </c>
      <c r="Q84" s="1" t="b">
        <v>0</v>
      </c>
      <c r="T84" s="10">
        <v>45976</v>
      </c>
      <c r="U84" s="2" t="s">
        <v>480</v>
      </c>
      <c r="V84" s="4">
        <v>0</v>
      </c>
    </row>
    <row r="85" spans="1:22" ht="64" x14ac:dyDescent="0.2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 t="shared" si="6"/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7"/>
        <v>239</v>
      </c>
      <c r="O85" s="1" t="b">
        <f t="shared" si="8"/>
        <v>1</v>
      </c>
      <c r="P85" s="1" t="b">
        <v>0</v>
      </c>
      <c r="Q85" s="1" t="b">
        <v>0</v>
      </c>
      <c r="T85" s="10">
        <v>45976</v>
      </c>
      <c r="U85" s="2" t="s">
        <v>482</v>
      </c>
      <c r="V85" s="4">
        <v>0</v>
      </c>
    </row>
    <row r="86" spans="1:22" ht="64" x14ac:dyDescent="0.2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 t="shared" si="6"/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 t="shared" si="7"/>
        <v>239</v>
      </c>
      <c r="O86" s="1" t="b">
        <f t="shared" si="8"/>
        <v>1</v>
      </c>
      <c r="P86" s="1" t="b">
        <v>0</v>
      </c>
      <c r="Q86" s="1" t="b">
        <v>0</v>
      </c>
      <c r="T86" s="10">
        <v>45976</v>
      </c>
      <c r="U86" s="2" t="s">
        <v>481</v>
      </c>
      <c r="V86" s="4">
        <v>0</v>
      </c>
    </row>
    <row r="87" spans="1:22" ht="64" x14ac:dyDescent="0.2">
      <c r="A87" s="1" t="s">
        <v>396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426</v>
      </c>
      <c r="J87" s="2" t="s">
        <v>296</v>
      </c>
      <c r="K87" s="1" t="b">
        <v>1</v>
      </c>
      <c r="L87" s="2" t="s">
        <v>125</v>
      </c>
      <c r="M87" s="2" t="str">
        <f t="shared" si="6"/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si="7"/>
        <v>240</v>
      </c>
      <c r="O87" s="1" t="b">
        <f t="shared" si="8"/>
        <v>1</v>
      </c>
      <c r="P87" s="1" t="b">
        <v>0</v>
      </c>
      <c r="Q87" s="1" t="b">
        <v>0</v>
      </c>
      <c r="T87" s="10"/>
      <c r="U87" s="11" t="s">
        <v>381</v>
      </c>
    </row>
    <row r="88" spans="1:22" ht="64" x14ac:dyDescent="0.2">
      <c r="A88" s="1" t="s">
        <v>397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427</v>
      </c>
      <c r="J88" s="2" t="s">
        <v>428</v>
      </c>
      <c r="K88" s="1" t="b">
        <v>1</v>
      </c>
      <c r="L88" s="2" t="s">
        <v>125</v>
      </c>
      <c r="M88" s="2" t="str">
        <f t="shared" si="6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7"/>
        <v>237</v>
      </c>
      <c r="O88" s="1" t="b">
        <f t="shared" si="8"/>
        <v>1</v>
      </c>
      <c r="P88" s="1" t="b">
        <v>0</v>
      </c>
      <c r="Q88" s="1" t="b">
        <v>0</v>
      </c>
      <c r="T88" s="10">
        <v>45977</v>
      </c>
      <c r="U88" s="2" t="s">
        <v>487</v>
      </c>
      <c r="V88" s="4">
        <v>9.7619999999999998E-3</v>
      </c>
    </row>
    <row r="89" spans="1:22" ht="64" x14ac:dyDescent="0.2">
      <c r="A89" s="1" t="s">
        <v>398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429</v>
      </c>
      <c r="J89" s="2" t="s">
        <v>296</v>
      </c>
      <c r="K89" s="1" t="b">
        <v>1</v>
      </c>
      <c r="L89" s="2" t="s">
        <v>125</v>
      </c>
      <c r="M89" s="2" t="str">
        <f t="shared" si="6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7"/>
        <v>242</v>
      </c>
      <c r="O89" s="1" t="b">
        <f t="shared" si="8"/>
        <v>1</v>
      </c>
      <c r="P89" s="1" t="b">
        <v>0</v>
      </c>
      <c r="Q89" s="1" t="b">
        <v>0</v>
      </c>
      <c r="T89" s="10">
        <v>45977</v>
      </c>
      <c r="U89" s="11" t="s">
        <v>381</v>
      </c>
    </row>
    <row r="90" spans="1:22" ht="64" x14ac:dyDescent="0.2">
      <c r="A90" s="1" t="s">
        <v>399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430</v>
      </c>
      <c r="J90" s="2" t="s">
        <v>296</v>
      </c>
      <c r="K90" s="1" t="b">
        <v>1</v>
      </c>
      <c r="L90" s="2" t="s">
        <v>125</v>
      </c>
      <c r="M90" s="2" t="str">
        <f t="shared" si="6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7"/>
        <v>240</v>
      </c>
      <c r="O90" s="1" t="b">
        <f t="shared" si="8"/>
        <v>1</v>
      </c>
      <c r="P90" s="1" t="b">
        <v>0</v>
      </c>
      <c r="Q90" s="1" t="b">
        <v>0</v>
      </c>
      <c r="T90" s="10">
        <v>45977</v>
      </c>
      <c r="U90" s="2" t="s">
        <v>486</v>
      </c>
      <c r="V90" s="4">
        <v>0.218168</v>
      </c>
    </row>
    <row r="91" spans="1:22" ht="64" x14ac:dyDescent="0.2">
      <c r="A91" s="1" t="s">
        <v>400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431</v>
      </c>
      <c r="J91" s="2" t="s">
        <v>296</v>
      </c>
      <c r="K91" s="1" t="b">
        <v>1</v>
      </c>
      <c r="L91" s="2" t="s">
        <v>125</v>
      </c>
      <c r="M91" s="2" t="str">
        <f t="shared" si="6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7"/>
        <v>243</v>
      </c>
      <c r="O91" s="1" t="b">
        <f t="shared" si="8"/>
        <v>1</v>
      </c>
      <c r="P91" s="1" t="b">
        <v>0</v>
      </c>
      <c r="Q91" s="1" t="b">
        <v>0</v>
      </c>
      <c r="T91" s="10"/>
      <c r="U91" s="11" t="s">
        <v>381</v>
      </c>
    </row>
    <row r="92" spans="1:22" ht="64" x14ac:dyDescent="0.2">
      <c r="A92" s="1" t="s">
        <v>401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432</v>
      </c>
      <c r="J92" s="2" t="s">
        <v>296</v>
      </c>
      <c r="K92" s="1" t="b">
        <v>1</v>
      </c>
      <c r="L92" s="2" t="s">
        <v>125</v>
      </c>
      <c r="M92" s="2" t="str">
        <f t="shared" si="6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7"/>
        <v>241</v>
      </c>
      <c r="O92" s="1" t="b">
        <f t="shared" si="8"/>
        <v>1</v>
      </c>
      <c r="P92" s="1" t="b">
        <v>0</v>
      </c>
      <c r="Q92" s="1" t="b">
        <v>0</v>
      </c>
      <c r="T92" s="10"/>
      <c r="U92" s="11" t="s">
        <v>381</v>
      </c>
    </row>
    <row r="93" spans="1:22" ht="64" x14ac:dyDescent="0.2">
      <c r="A93" s="1" t="s">
        <v>402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433</v>
      </c>
      <c r="J93" s="2" t="s">
        <v>296</v>
      </c>
      <c r="K93" s="1" t="b">
        <v>1</v>
      </c>
      <c r="L93" s="2" t="s">
        <v>125</v>
      </c>
      <c r="M93" s="2" t="str">
        <f t="shared" si="6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7"/>
        <v>244</v>
      </c>
      <c r="O93" s="1" t="b">
        <f t="shared" si="8"/>
        <v>1</v>
      </c>
      <c r="P93" s="1" t="b">
        <v>0</v>
      </c>
      <c r="Q93" s="1" t="b">
        <v>0</v>
      </c>
      <c r="T93" s="10"/>
      <c r="U93" s="11" t="s">
        <v>381</v>
      </c>
    </row>
    <row r="94" spans="1:22" ht="64" x14ac:dyDescent="0.2">
      <c r="A94" s="1" t="s">
        <v>403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434</v>
      </c>
      <c r="J94" s="2" t="s">
        <v>296</v>
      </c>
      <c r="K94" s="1" t="b">
        <v>1</v>
      </c>
      <c r="L94" s="2" t="s">
        <v>125</v>
      </c>
      <c r="M94" s="2" t="str">
        <f t="shared" si="6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7"/>
        <v>241</v>
      </c>
      <c r="O94" s="1" t="b">
        <f t="shared" si="8"/>
        <v>1</v>
      </c>
      <c r="P94" s="1" t="b">
        <v>0</v>
      </c>
      <c r="Q94" s="1" t="b">
        <v>0</v>
      </c>
      <c r="T94" s="10"/>
      <c r="U94" s="11" t="s">
        <v>381</v>
      </c>
    </row>
    <row r="95" spans="1:22" ht="64" x14ac:dyDescent="0.2">
      <c r="A95" s="1" t="s">
        <v>404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435</v>
      </c>
      <c r="J95" s="2" t="s">
        <v>296</v>
      </c>
      <c r="K95" s="1" t="b">
        <v>1</v>
      </c>
      <c r="L95" s="2" t="s">
        <v>125</v>
      </c>
      <c r="M95" s="2" t="str">
        <f t="shared" si="6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7"/>
        <v>242</v>
      </c>
      <c r="O95" s="1" t="b">
        <f t="shared" si="8"/>
        <v>1</v>
      </c>
      <c r="P95" s="1" t="b">
        <v>0</v>
      </c>
      <c r="Q95" s="1" t="b">
        <v>0</v>
      </c>
      <c r="T95" s="10"/>
      <c r="U95" s="11" t="s">
        <v>381</v>
      </c>
    </row>
    <row r="96" spans="1:22" ht="64" x14ac:dyDescent="0.2">
      <c r="A96" s="1" t="s">
        <v>405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436</v>
      </c>
      <c r="J96" s="2" t="s">
        <v>296</v>
      </c>
      <c r="K96" s="1" t="b">
        <v>1</v>
      </c>
      <c r="L96" s="2" t="s">
        <v>125</v>
      </c>
      <c r="M96" s="2" t="str">
        <f t="shared" si="6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7"/>
        <v>241</v>
      </c>
      <c r="O96" s="1" t="b">
        <f t="shared" si="8"/>
        <v>1</v>
      </c>
      <c r="P96" s="1" t="b">
        <v>0</v>
      </c>
      <c r="Q96" s="1" t="b">
        <v>0</v>
      </c>
      <c r="T96" s="10"/>
      <c r="U96" s="11" t="s">
        <v>381</v>
      </c>
    </row>
    <row r="97" spans="1:22" ht="64" x14ac:dyDescent="0.2">
      <c r="A97" s="1" t="s">
        <v>406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437</v>
      </c>
      <c r="J97" s="2" t="s">
        <v>438</v>
      </c>
      <c r="K97" s="1" t="b">
        <v>1</v>
      </c>
      <c r="L97" s="2" t="s">
        <v>125</v>
      </c>
      <c r="M97" s="2" t="str">
        <f t="shared" si="6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7"/>
        <v>245</v>
      </c>
      <c r="O97" s="1" t="b">
        <f t="shared" si="8"/>
        <v>1</v>
      </c>
      <c r="P97" s="1" t="b">
        <v>0</v>
      </c>
      <c r="Q97" s="1" t="b">
        <v>0</v>
      </c>
      <c r="T97" s="10">
        <v>45977</v>
      </c>
      <c r="U97" s="2" t="s">
        <v>485</v>
      </c>
      <c r="V97" s="4">
        <v>4.9849999999999998E-3</v>
      </c>
    </row>
    <row r="98" spans="1:22" ht="64" x14ac:dyDescent="0.2">
      <c r="A98" s="1" t="s">
        <v>407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439</v>
      </c>
      <c r="J98" s="2" t="s">
        <v>304</v>
      </c>
      <c r="K98" s="1" t="b">
        <v>1</v>
      </c>
      <c r="L98" s="2" t="s">
        <v>125</v>
      </c>
      <c r="M98" s="2" t="str">
        <f t="shared" ref="M98:M128" si="9">_xlfn.CONCAT(I98,L98,J98)</f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ref="N98:N128" si="10">LEN(M98)</f>
        <v>245</v>
      </c>
      <c r="O98" s="1" t="b">
        <f t="shared" ref="O98:O128" si="11">IF(N98&lt;=250,TRUE,FALSE)</f>
        <v>1</v>
      </c>
      <c r="P98" s="1" t="b">
        <v>0</v>
      </c>
      <c r="Q98" s="1" t="b">
        <v>0</v>
      </c>
      <c r="T98" s="10">
        <v>45977</v>
      </c>
      <c r="U98" s="2" t="s">
        <v>490</v>
      </c>
      <c r="V98" s="4">
        <v>0.12482500000000001</v>
      </c>
    </row>
    <row r="99" spans="1:22" ht="64" x14ac:dyDescent="0.2">
      <c r="A99" s="1" t="s">
        <v>408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440</v>
      </c>
      <c r="J99" s="2" t="s">
        <v>441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11"/>
        <v>1</v>
      </c>
      <c r="P99" s="1" t="b">
        <v>0</v>
      </c>
      <c r="Q99" s="1" t="b">
        <v>0</v>
      </c>
      <c r="T99" s="10">
        <v>45978</v>
      </c>
      <c r="U99" s="2" t="s">
        <v>492</v>
      </c>
      <c r="V99" s="4">
        <v>0.119756</v>
      </c>
    </row>
    <row r="100" spans="1:22" ht="64" x14ac:dyDescent="0.2">
      <c r="A100" s="1" t="s">
        <v>409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442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11"/>
        <v>1</v>
      </c>
      <c r="P100" s="1" t="b">
        <v>0</v>
      </c>
      <c r="Q100" s="1" t="b">
        <v>0</v>
      </c>
      <c r="T100" s="10"/>
      <c r="U100" s="11" t="s">
        <v>381</v>
      </c>
    </row>
    <row r="101" spans="1:22" ht="64" x14ac:dyDescent="0.2">
      <c r="A101" s="1" t="s">
        <v>410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443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11"/>
        <v>1</v>
      </c>
      <c r="P101" s="1" t="b">
        <v>0</v>
      </c>
      <c r="Q101" s="1" t="b">
        <v>0</v>
      </c>
      <c r="T101" s="10"/>
      <c r="U101" s="11" t="s">
        <v>381</v>
      </c>
    </row>
    <row r="102" spans="1:22" ht="64" x14ac:dyDescent="0.2">
      <c r="A102" s="1" t="s">
        <v>411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444</v>
      </c>
      <c r="J102" s="2" t="s">
        <v>445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11"/>
        <v>1</v>
      </c>
      <c r="P102" s="1" t="b">
        <v>0</v>
      </c>
      <c r="Q102" s="1" t="b">
        <v>0</v>
      </c>
      <c r="T102" s="10">
        <v>45978</v>
      </c>
      <c r="U102" s="2" t="s">
        <v>493</v>
      </c>
      <c r="V102" s="4">
        <v>0.25569399999999998</v>
      </c>
    </row>
    <row r="103" spans="1:22" ht="64" x14ac:dyDescent="0.2">
      <c r="A103" s="1" t="s">
        <v>412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446</v>
      </c>
      <c r="J103" s="2" t="s">
        <v>447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11"/>
        <v>1</v>
      </c>
      <c r="P103" s="1" t="b">
        <v>0</v>
      </c>
      <c r="Q103" s="1" t="b">
        <v>0</v>
      </c>
      <c r="T103" s="10">
        <v>45978</v>
      </c>
      <c r="U103" s="2" t="s">
        <v>514</v>
      </c>
      <c r="V103" s="4">
        <v>0.225609</v>
      </c>
    </row>
    <row r="104" spans="1:22" ht="64" x14ac:dyDescent="0.2">
      <c r="A104" s="1" t="s">
        <v>413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448</v>
      </c>
      <c r="J104" s="2" t="s">
        <v>449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11"/>
        <v>1</v>
      </c>
      <c r="P104" s="1" t="b">
        <v>0</v>
      </c>
      <c r="Q104" s="1" t="b">
        <v>0</v>
      </c>
      <c r="T104" s="10">
        <v>45978</v>
      </c>
      <c r="U104" s="2" t="s">
        <v>495</v>
      </c>
      <c r="V104" s="4">
        <v>0</v>
      </c>
    </row>
    <row r="105" spans="1:22" ht="64" x14ac:dyDescent="0.2">
      <c r="A105" s="1" t="s">
        <v>414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450</v>
      </c>
      <c r="J105" s="2" t="s">
        <v>451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11"/>
        <v>1</v>
      </c>
      <c r="P105" s="1" t="b">
        <v>0</v>
      </c>
      <c r="Q105" s="1" t="b">
        <v>0</v>
      </c>
      <c r="T105" s="10">
        <v>45978</v>
      </c>
      <c r="U105" s="2" t="s">
        <v>496</v>
      </c>
      <c r="V105" s="4">
        <v>5.1900000000000002E-3</v>
      </c>
    </row>
    <row r="106" spans="1:22" ht="64" x14ac:dyDescent="0.2">
      <c r="A106" s="1" t="s">
        <v>415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452</v>
      </c>
      <c r="J106" s="2" t="s">
        <v>453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11"/>
        <v>1</v>
      </c>
      <c r="P106" s="1" t="b">
        <v>0</v>
      </c>
      <c r="Q106" s="1" t="b">
        <v>0</v>
      </c>
      <c r="T106" s="10">
        <v>45978</v>
      </c>
      <c r="U106" s="2" t="s">
        <v>494</v>
      </c>
      <c r="V106" s="4">
        <v>0</v>
      </c>
    </row>
    <row r="107" spans="1:22" ht="64" x14ac:dyDescent="0.2">
      <c r="A107" s="1" t="s">
        <v>416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454</v>
      </c>
      <c r="J107" s="2" t="s">
        <v>455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11"/>
        <v>1</v>
      </c>
      <c r="P107" s="1" t="b">
        <v>0</v>
      </c>
      <c r="Q107" s="1" t="b">
        <v>0</v>
      </c>
      <c r="T107" s="10">
        <v>45977</v>
      </c>
      <c r="U107" s="2" t="s">
        <v>489</v>
      </c>
      <c r="V107" s="4">
        <v>6.4222000000000001E-2</v>
      </c>
    </row>
    <row r="108" spans="1:22" ht="64" x14ac:dyDescent="0.2">
      <c r="A108" s="1" t="s">
        <v>417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456</v>
      </c>
      <c r="J108" s="2" t="s">
        <v>457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11"/>
        <v>1</v>
      </c>
      <c r="P108" s="1" t="b">
        <v>0</v>
      </c>
      <c r="Q108" s="1" t="b">
        <v>0</v>
      </c>
      <c r="T108" s="10">
        <v>45977</v>
      </c>
      <c r="U108" s="2" t="s">
        <v>488</v>
      </c>
      <c r="V108" s="4">
        <v>0.136903</v>
      </c>
    </row>
    <row r="109" spans="1:22" ht="64" x14ac:dyDescent="0.2">
      <c r="A109" s="1" t="s">
        <v>418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458</v>
      </c>
      <c r="J109" s="2" t="s">
        <v>459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11"/>
        <v>1</v>
      </c>
      <c r="P109" s="1" t="b">
        <v>0</v>
      </c>
      <c r="Q109" s="1" t="b">
        <v>0</v>
      </c>
      <c r="T109" s="10">
        <v>45978</v>
      </c>
      <c r="U109" s="2" t="s">
        <v>498</v>
      </c>
      <c r="V109" s="4">
        <v>5.313E-3</v>
      </c>
    </row>
    <row r="110" spans="1:22" ht="64" x14ac:dyDescent="0.2">
      <c r="A110" s="1" t="s">
        <v>419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460</v>
      </c>
      <c r="J110" s="2" t="s">
        <v>461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11"/>
        <v>1</v>
      </c>
      <c r="P110" s="1" t="b">
        <v>0</v>
      </c>
      <c r="Q110" s="1" t="b">
        <v>0</v>
      </c>
      <c r="T110" s="10">
        <v>45978</v>
      </c>
      <c r="U110" s="2" t="s">
        <v>497</v>
      </c>
      <c r="V110" s="4">
        <v>0</v>
      </c>
    </row>
    <row r="111" spans="1:22" ht="64" x14ac:dyDescent="0.2">
      <c r="A111" s="1" t="s">
        <v>420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462</v>
      </c>
      <c r="J111" s="2" t="s">
        <v>463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11"/>
        <v>1</v>
      </c>
      <c r="P111" s="1" t="b">
        <v>0</v>
      </c>
      <c r="Q111" s="1" t="b">
        <v>0</v>
      </c>
      <c r="T111" s="10">
        <v>45978</v>
      </c>
      <c r="U111" s="2" t="s">
        <v>499</v>
      </c>
      <c r="V111" s="4">
        <v>0.274924</v>
      </c>
    </row>
    <row r="112" spans="1:22" ht="64" x14ac:dyDescent="0.2">
      <c r="A112" s="1" t="s">
        <v>421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464</v>
      </c>
      <c r="J112" s="2" t="s">
        <v>465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11"/>
        <v>1</v>
      </c>
      <c r="P112" s="1" t="b">
        <v>0</v>
      </c>
      <c r="Q112" s="1" t="b">
        <v>0</v>
      </c>
      <c r="T112" s="10">
        <v>45978</v>
      </c>
      <c r="U112" s="2" t="s">
        <v>500</v>
      </c>
      <c r="V112" s="4">
        <v>0.27380900000000002</v>
      </c>
    </row>
    <row r="113" spans="1:22" ht="64" x14ac:dyDescent="0.2">
      <c r="A113" s="1" t="s">
        <v>422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466</v>
      </c>
      <c r="J113" s="2" t="s">
        <v>467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11"/>
        <v>1</v>
      </c>
      <c r="P113" s="1" t="b">
        <v>0</v>
      </c>
      <c r="Q113" s="1" t="b">
        <v>0</v>
      </c>
      <c r="T113" s="10">
        <v>45979</v>
      </c>
      <c r="U113" s="2" t="s">
        <v>508</v>
      </c>
      <c r="V113" s="4">
        <v>0.61102100000000004</v>
      </c>
    </row>
    <row r="114" spans="1:22" ht="64" x14ac:dyDescent="0.2">
      <c r="A114" s="1" t="s">
        <v>423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468</v>
      </c>
      <c r="J114" s="2" t="s">
        <v>469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11"/>
        <v>1</v>
      </c>
      <c r="P114" s="1" t="b">
        <v>0</v>
      </c>
      <c r="Q114" s="1" t="b">
        <v>0</v>
      </c>
      <c r="T114" s="10">
        <v>45979</v>
      </c>
      <c r="U114" s="2" t="s">
        <v>510</v>
      </c>
      <c r="V114" s="4">
        <v>8.9335999999999999E-2</v>
      </c>
    </row>
    <row r="115" spans="1:22" ht="64" x14ac:dyDescent="0.2">
      <c r="A115" s="1" t="s">
        <v>424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470</v>
      </c>
      <c r="J115" s="2" t="s">
        <v>471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11"/>
        <v>1</v>
      </c>
      <c r="P115" s="1" t="b">
        <v>0</v>
      </c>
      <c r="Q115" s="1" t="b">
        <v>0</v>
      </c>
      <c r="T115" s="10">
        <v>45979</v>
      </c>
      <c r="U115" s="2" t="s">
        <v>511</v>
      </c>
      <c r="V115" s="4">
        <v>5.3220000000000003E-3</v>
      </c>
    </row>
    <row r="116" spans="1:22" ht="64" x14ac:dyDescent="0.2">
      <c r="A116" s="1" t="s">
        <v>425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472</v>
      </c>
      <c r="J116" s="2" t="s">
        <v>473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11"/>
        <v>1</v>
      </c>
      <c r="P116" s="1" t="b">
        <v>0</v>
      </c>
      <c r="Q116" s="1" t="b">
        <v>0</v>
      </c>
      <c r="T116" s="10">
        <v>45979</v>
      </c>
      <c r="U116" s="2" t="s">
        <v>509</v>
      </c>
      <c r="V116" s="4">
        <v>0</v>
      </c>
    </row>
    <row r="117" spans="1:22" ht="64" x14ac:dyDescent="0.2">
      <c r="A117" s="1" t="s">
        <v>502</v>
      </c>
      <c r="B117" s="1" t="s">
        <v>18</v>
      </c>
      <c r="C117" s="2" t="s">
        <v>505</v>
      </c>
      <c r="D117" s="4">
        <v>0.7</v>
      </c>
      <c r="E117" s="1" t="s">
        <v>49</v>
      </c>
      <c r="F117" s="1" t="s">
        <v>292</v>
      </c>
      <c r="G117" s="1" t="s">
        <v>258</v>
      </c>
      <c r="I117" s="2" t="s">
        <v>506</v>
      </c>
      <c r="J117" s="2" t="s">
        <v>507</v>
      </c>
      <c r="K117" s="1" t="b">
        <v>1</v>
      </c>
      <c r="L117" s="2" t="s">
        <v>125</v>
      </c>
      <c r="M117" s="2" t="str">
        <f t="shared" si="9"/>
        <v>EVQLLESGGGLVQPGGSLRLSCAASGFTFSSYAMSWVRQAPGKGLEWVSYISSSSSTIYYADSVKGRFTISRDNAKNSLYLQMNSLRAEDTAVYYCAKYSSYDYDYWGRGTMVTVSSGGGSGGGSGGGSGGGSDIQLTQSPSSLSASVGDRVTITCRASQGISSYLNWYQQKPGKAPKLLIYDASSLQSGVPSRFSGSGSGTDFTLTISSLQPEDFATYYCQQFYEWLRTFGQGTRLEIK</v>
      </c>
      <c r="N117" s="4">
        <f t="shared" si="10"/>
        <v>240</v>
      </c>
      <c r="O117" s="1" t="b">
        <f t="shared" si="11"/>
        <v>1</v>
      </c>
      <c r="P117" s="1" t="b">
        <v>0</v>
      </c>
      <c r="Q117" s="1" t="b">
        <v>0</v>
      </c>
      <c r="T117" s="10">
        <v>45979</v>
      </c>
      <c r="U117" s="2" t="s">
        <v>512</v>
      </c>
      <c r="V117" s="4">
        <v>0.1542</v>
      </c>
    </row>
    <row r="118" spans="1:22" ht="64" x14ac:dyDescent="0.2">
      <c r="A118" s="1" t="s">
        <v>503</v>
      </c>
      <c r="B118" s="1" t="s">
        <v>18</v>
      </c>
      <c r="C118" s="2" t="s">
        <v>505</v>
      </c>
      <c r="D118" s="4">
        <v>0.9</v>
      </c>
      <c r="E118" s="1" t="s">
        <v>49</v>
      </c>
      <c r="F118" s="1" t="s">
        <v>417</v>
      </c>
      <c r="G118" s="1" t="s">
        <v>258</v>
      </c>
      <c r="I118" s="2" t="s">
        <v>501</v>
      </c>
      <c r="J118" s="2" t="s">
        <v>504</v>
      </c>
      <c r="K118" s="1" t="b">
        <v>1</v>
      </c>
      <c r="L118" s="2" t="s">
        <v>126</v>
      </c>
      <c r="M118" s="2" t="str">
        <f t="shared" si="9"/>
        <v>EVQLVESGGGLVQPGGSLRLSCAASGFATVSSNYMSWVRQAPGKGLEWVSVIYSCGSTYYADSVKGRFTISRDNSKNTLYLQMNSLRAEDTAVYYCARYYYDSSRSGYYYYFDYWGQGTLVTVSSGGGSGGGSGGGSDIVLTQSPASLAVSLGQRATISCKASQSVDYDGDSYMHWYQQKPGQPPKLLIYRASNLESGIPARFSGSGSRTDFTLTINPVEADDVATYYCQQSNYPLTFGSGTKVEIK</v>
      </c>
      <c r="N118" s="4">
        <f t="shared" si="10"/>
        <v>247</v>
      </c>
      <c r="O118" s="1" t="b">
        <f t="shared" si="11"/>
        <v>1</v>
      </c>
      <c r="P118" s="1" t="b">
        <v>0</v>
      </c>
      <c r="Q118" s="1" t="b">
        <v>0</v>
      </c>
      <c r="T118" s="10">
        <v>45979</v>
      </c>
      <c r="U118" s="2" t="s">
        <v>513</v>
      </c>
      <c r="V118" s="4">
        <v>0</v>
      </c>
    </row>
    <row r="119" spans="1:22" ht="64" x14ac:dyDescent="0.2">
      <c r="A119" s="1" t="s">
        <v>516</v>
      </c>
      <c r="B119" s="1" t="s">
        <v>515</v>
      </c>
      <c r="C119" s="2" t="s">
        <v>526</v>
      </c>
      <c r="D119" s="4">
        <v>0.2</v>
      </c>
      <c r="E119" s="1" t="s">
        <v>49</v>
      </c>
      <c r="F119" s="1" t="s">
        <v>266</v>
      </c>
      <c r="G119" s="1" t="s">
        <v>258</v>
      </c>
      <c r="I119" s="2" t="s">
        <v>527</v>
      </c>
      <c r="J119" s="2" t="s">
        <v>296</v>
      </c>
      <c r="K119" s="1" t="b">
        <v>1</v>
      </c>
      <c r="L119" s="2" t="s">
        <v>126</v>
      </c>
      <c r="M119" s="2" t="str">
        <f t="shared" si="9"/>
        <v>EVQLVESGGGLVQPGGSLRLSCAASGFNISDSSIHWVRQAPGKGLEWVASISSYSGYTYYADSVKGRFTISADTSKNTAYLQMNSLRAEDTAVYYCARGGRDLFGLDALDYWGQGTLVTVSSGGGSGGGSGGGSDIQMTQSPSSLSASVGDRVTITCRASQSVSSAVAWYQQKPGKAPKLLIYSASSLYSGVPSRFSGSRSGTDFTLTISSLQPEDFATYYCQQYKYVPVTFGQGTKVEIK</v>
      </c>
      <c r="N119" s="4">
        <f t="shared" si="10"/>
        <v>241</v>
      </c>
      <c r="O119" s="1" t="b">
        <f t="shared" si="11"/>
        <v>1</v>
      </c>
      <c r="P119" s="1" t="b">
        <v>0</v>
      </c>
      <c r="Q119" s="1" t="b">
        <v>0</v>
      </c>
      <c r="T119" s="10">
        <v>45983</v>
      </c>
      <c r="U119" s="2" t="s">
        <v>537</v>
      </c>
      <c r="V119" s="4">
        <v>0.69</v>
      </c>
    </row>
    <row r="120" spans="1:22" ht="64" x14ac:dyDescent="0.2">
      <c r="A120" s="1" t="s">
        <v>517</v>
      </c>
      <c r="B120" s="1" t="s">
        <v>515</v>
      </c>
      <c r="C120" s="2" t="s">
        <v>526</v>
      </c>
      <c r="D120" s="4">
        <v>0.2</v>
      </c>
      <c r="E120" s="1" t="s">
        <v>49</v>
      </c>
      <c r="F120" s="1" t="s">
        <v>266</v>
      </c>
      <c r="G120" s="1" t="s">
        <v>258</v>
      </c>
      <c r="I120" s="2" t="s">
        <v>528</v>
      </c>
      <c r="J120" s="2" t="s">
        <v>296</v>
      </c>
      <c r="K120" s="1" t="b">
        <v>1</v>
      </c>
      <c r="L120" s="2" t="s">
        <v>126</v>
      </c>
      <c r="M120" s="2" t="str">
        <f t="shared" si="9"/>
        <v>EVQLVESGGGLVQPGGSLRLSCAASGFNISSSSIHWVRQAPGKGLEWVASIYSYSGLTYYADSVKGRFTISADTSKNTAYLQMNSLRAEDTAVYYCARGGYYLDGLYALDYWGQGTLVTVSSGGGSGGGSGGGSDIQMTQSPSSLSASVGDRVTITCRASQSVSSAVAWYQQKPGKAPKLLIYSASSLYSGVPSRFSGSRSGTDFTLTISSLQPEDFATYYCQQYKYVPVTFGQGTKVEIK</v>
      </c>
      <c r="N120" s="4">
        <f t="shared" si="10"/>
        <v>241</v>
      </c>
      <c r="O120" s="1" t="b">
        <f t="shared" si="11"/>
        <v>1</v>
      </c>
      <c r="P120" s="1" t="b">
        <v>0</v>
      </c>
      <c r="Q120" s="1" t="b">
        <v>0</v>
      </c>
      <c r="T120" s="10">
        <v>45983</v>
      </c>
      <c r="U120" s="2" t="s">
        <v>538</v>
      </c>
      <c r="V120" s="4">
        <v>0</v>
      </c>
    </row>
    <row r="121" spans="1:22" ht="64" x14ac:dyDescent="0.2">
      <c r="A121" s="1" t="s">
        <v>518</v>
      </c>
      <c r="B121" s="1" t="s">
        <v>515</v>
      </c>
      <c r="C121" s="2" t="s">
        <v>526</v>
      </c>
      <c r="D121" s="4">
        <v>0.2</v>
      </c>
      <c r="E121" s="1" t="s">
        <v>49</v>
      </c>
      <c r="F121" s="1" t="s">
        <v>266</v>
      </c>
      <c r="G121" s="1" t="s">
        <v>258</v>
      </c>
      <c r="I121" s="2" t="s">
        <v>529</v>
      </c>
      <c r="J121" s="2" t="s">
        <v>296</v>
      </c>
      <c r="K121" s="1" t="b">
        <v>1</v>
      </c>
      <c r="L121" s="2" t="s">
        <v>126</v>
      </c>
      <c r="M121" s="2" t="str">
        <f t="shared" si="9"/>
        <v>EVQLVESGGGLVQPGGSLRLSCAASGFNISSSSIHWVRQAPGKGLEWVASIYSYSGATYYADSVKGRFTISADTSKNTAYLQMNSLRAEDTAVYYCARGGNHLDGLYALDYWGQGTLVTVSSGGGSGGGSGGGSDIQMTQSPSSLSASVGDRVTITCRASQSVSSAVAWYQQKPGKAPKLLIYSASSLYSGVPSRFSGSRSGTDFTLTISSLQPEDFATYYCQQYKYVPVTFGQGTKVEIK</v>
      </c>
      <c r="N121" s="4">
        <f t="shared" si="10"/>
        <v>241</v>
      </c>
      <c r="O121" s="1" t="b">
        <f t="shared" si="11"/>
        <v>1</v>
      </c>
      <c r="P121" s="1" t="b">
        <v>0</v>
      </c>
      <c r="Q121" s="1" t="b">
        <v>0</v>
      </c>
      <c r="T121" s="10">
        <v>45983</v>
      </c>
      <c r="U121" s="2" t="s">
        <v>539</v>
      </c>
      <c r="V121" s="4">
        <v>0</v>
      </c>
    </row>
    <row r="122" spans="1:22" ht="64" x14ac:dyDescent="0.2">
      <c r="A122" s="1" t="s">
        <v>519</v>
      </c>
      <c r="B122" s="1" t="s">
        <v>515</v>
      </c>
      <c r="C122" s="2" t="s">
        <v>526</v>
      </c>
      <c r="D122" s="4">
        <v>0.2</v>
      </c>
      <c r="E122" s="1" t="s">
        <v>49</v>
      </c>
      <c r="F122" s="1" t="s">
        <v>266</v>
      </c>
      <c r="G122" s="1" t="s">
        <v>258</v>
      </c>
      <c r="I122" s="2" t="s">
        <v>530</v>
      </c>
      <c r="J122" s="2" t="s">
        <v>296</v>
      </c>
      <c r="K122" s="1" t="b">
        <v>1</v>
      </c>
      <c r="L122" s="2" t="s">
        <v>126</v>
      </c>
      <c r="M122" s="2" t="str">
        <f t="shared" si="9"/>
        <v>EVQLVESGGGLVQPGGSLRLSCAASGFNISSSSIHWVRQAPGKGLEWVASIYSYSGYTYYADSVKGRFTISADTSKNTAYLQMNSLRAEDTAVYYCARGGRYLDGLFALDYWGQGTLVTVSSGGGSGGGSGGGSDIQMTQSPSSLSASVGDRVTITCRASQSVSSAVAWYQQKPGKAPKLLIYSASSLYSGVPSRFSGSRSGTDFTLTISSLQPEDFATYYCQQYKYVPVTFGQGTKVEIK</v>
      </c>
      <c r="N122" s="4">
        <f t="shared" si="10"/>
        <v>241</v>
      </c>
      <c r="O122" s="1" t="b">
        <f t="shared" si="11"/>
        <v>1</v>
      </c>
      <c r="P122" s="1" t="b">
        <v>0</v>
      </c>
      <c r="Q122" s="1" t="b">
        <v>0</v>
      </c>
      <c r="T122" s="10">
        <v>45983</v>
      </c>
      <c r="U122" s="2" t="s">
        <v>542</v>
      </c>
      <c r="V122" s="4">
        <v>0.02</v>
      </c>
    </row>
    <row r="123" spans="1:22" ht="64" x14ac:dyDescent="0.2">
      <c r="A123" s="1" t="s">
        <v>520</v>
      </c>
      <c r="B123" s="1" t="s">
        <v>515</v>
      </c>
      <c r="C123" s="2" t="s">
        <v>526</v>
      </c>
      <c r="D123" s="4">
        <v>0.2</v>
      </c>
      <c r="E123" s="1" t="s">
        <v>49</v>
      </c>
      <c r="F123" s="1" t="s">
        <v>266</v>
      </c>
      <c r="G123" s="1" t="s">
        <v>258</v>
      </c>
      <c r="I123" s="2" t="s">
        <v>531</v>
      </c>
      <c r="J123" s="2" t="s">
        <v>296</v>
      </c>
      <c r="K123" s="1" t="b">
        <v>1</v>
      </c>
      <c r="L123" s="2" t="s">
        <v>126</v>
      </c>
      <c r="M123" s="2" t="str">
        <f t="shared" si="9"/>
        <v>EVQLVESGGGLVQPGGSLRLSCAASGFNISSSSIHWVRQAPGKGLEWVASISSYSGYTYYADSVKGRFTISADTSKNTAYLQMNSLRAEDTAVYYCARGGSLLRGLSALDYWGQGTLVTVSSGGGSGGGSGGGSDIQMTQSPSSLSASVGDRVTITCRASQSVSSAVAWYQQKPGKAPKLLIYSASSLYSGVPSRFSGSRSGTDFTLTISSLQPEDFATYYCQQYKYVPVTFGQGTKVEIK</v>
      </c>
      <c r="N123" s="4">
        <f t="shared" si="10"/>
        <v>241</v>
      </c>
      <c r="O123" s="1" t="b">
        <f t="shared" si="11"/>
        <v>1</v>
      </c>
      <c r="P123" s="1" t="b">
        <v>0</v>
      </c>
      <c r="Q123" s="1" t="b">
        <v>0</v>
      </c>
      <c r="T123" s="10">
        <v>45983</v>
      </c>
      <c r="U123" s="2" t="s">
        <v>540</v>
      </c>
      <c r="V123" s="4">
        <v>0.01</v>
      </c>
    </row>
    <row r="124" spans="1:22" ht="64" x14ac:dyDescent="0.2">
      <c r="A124" s="1" t="s">
        <v>521</v>
      </c>
      <c r="B124" s="1" t="s">
        <v>515</v>
      </c>
      <c r="C124" s="2" t="s">
        <v>526</v>
      </c>
      <c r="D124" s="4">
        <v>0.2</v>
      </c>
      <c r="E124" s="1" t="s">
        <v>49</v>
      </c>
      <c r="F124" s="1" t="s">
        <v>266</v>
      </c>
      <c r="G124" s="1" t="s">
        <v>258</v>
      </c>
      <c r="I124" s="2" t="s">
        <v>532</v>
      </c>
      <c r="J124" s="2" t="s">
        <v>296</v>
      </c>
      <c r="K124" s="1" t="b">
        <v>1</v>
      </c>
      <c r="L124" s="2" t="s">
        <v>126</v>
      </c>
      <c r="M124" s="2" t="str">
        <f t="shared" si="9"/>
        <v>EVQLVESGGGLVQPGGSLRLSCAASGFNISDSSIHWVRQAPGKGLEWVASISSYSGYTYYADSVKGRFTISADTSKNTAYLQMNSLRAEDTAVYYCARGGRYLDGLYALDYWGQGTLVTVSSGGGSGGGSGGGSDIQMTQSPSSLSASVGDRVTITCRASQSVSSAVAWYQQKPGKAPKLLIYSASSLYSGVPSRFSGSRSGTDFTLTISSLQPEDFATYYCQQYKYVPVTFGQGTKVEIK</v>
      </c>
      <c r="N124" s="4">
        <f t="shared" si="10"/>
        <v>241</v>
      </c>
      <c r="O124" s="1" t="b">
        <f t="shared" si="11"/>
        <v>1</v>
      </c>
      <c r="P124" s="1" t="b">
        <v>0</v>
      </c>
      <c r="Q124" s="1" t="b">
        <v>0</v>
      </c>
      <c r="T124" s="10">
        <v>45983</v>
      </c>
      <c r="U124" s="2" t="s">
        <v>541</v>
      </c>
      <c r="V124" s="4">
        <v>0.31</v>
      </c>
    </row>
    <row r="125" spans="1:22" ht="64" x14ac:dyDescent="0.2">
      <c r="A125" s="1" t="s">
        <v>522</v>
      </c>
      <c r="B125" s="1" t="s">
        <v>515</v>
      </c>
      <c r="C125" s="2" t="s">
        <v>526</v>
      </c>
      <c r="D125" s="4">
        <v>0.2</v>
      </c>
      <c r="E125" s="1" t="s">
        <v>49</v>
      </c>
      <c r="F125" s="1" t="s">
        <v>266</v>
      </c>
      <c r="G125" s="1" t="s">
        <v>258</v>
      </c>
      <c r="I125" s="2" t="s">
        <v>533</v>
      </c>
      <c r="J125" s="2" t="s">
        <v>296</v>
      </c>
      <c r="K125" s="1" t="b">
        <v>1</v>
      </c>
      <c r="L125" s="2" t="s">
        <v>126</v>
      </c>
      <c r="M125" s="2" t="str">
        <f t="shared" si="9"/>
        <v>EVQLVESGGGLVQPGGSLRLSCAASGFNISSSSIHWVRQAPGKGLEWVASISSYSGYTYYADSVKGRFTISADTSKNTAYLQMNSLRAEDTAVYYCARGGSYLDGLSALDYWGQGTLVTVSSGGGSGGGSGGGSDIQMTQSPSSLSASVGDRVTITCRASQSVSSAVAWYQQKPGKAPKLLIYSASSLYSGVPSRFSGSRSGTDFTLTISSLQPEDFATYYCQQYKYVPVTFGQGTKVEIK</v>
      </c>
      <c r="N125" s="4">
        <f t="shared" si="10"/>
        <v>241</v>
      </c>
      <c r="O125" s="1" t="b">
        <f t="shared" si="11"/>
        <v>1</v>
      </c>
      <c r="P125" s="1" t="b">
        <v>0</v>
      </c>
      <c r="Q125" s="1" t="b">
        <v>0</v>
      </c>
      <c r="T125" s="10">
        <v>45983</v>
      </c>
      <c r="U125" s="2" t="s">
        <v>546</v>
      </c>
      <c r="V125" s="4">
        <v>0.01</v>
      </c>
    </row>
    <row r="126" spans="1:22" ht="64" x14ac:dyDescent="0.2">
      <c r="A126" s="1" t="s">
        <v>523</v>
      </c>
      <c r="B126" s="1" t="s">
        <v>515</v>
      </c>
      <c r="C126" s="2" t="s">
        <v>526</v>
      </c>
      <c r="D126" s="4">
        <v>0.2</v>
      </c>
      <c r="E126" s="1" t="s">
        <v>49</v>
      </c>
      <c r="F126" s="1" t="s">
        <v>266</v>
      </c>
      <c r="G126" s="1" t="s">
        <v>258</v>
      </c>
      <c r="I126" s="2" t="s">
        <v>534</v>
      </c>
      <c r="J126" s="2" t="s">
        <v>296</v>
      </c>
      <c r="K126" s="1" t="b">
        <v>1</v>
      </c>
      <c r="L126" s="2" t="s">
        <v>126</v>
      </c>
      <c r="M126" s="2" t="str">
        <f t="shared" si="9"/>
        <v>EVQLVESGGGLVQPGGSLRLSCAASGFNISDSSIHWVRQAPGKGLEWVASIYNYSGYTYYADSVKGRFTISADTSKNTAYLQMNSLRAEDTAVYYCARGGYYLDGLDALDYWGQGTLVTVSSGGGSGGGSGGGSDIQMTQSPSSLSASVGDRVTITCRASQSVSSAVAWYQQKPGKAPKLLIYSASSLYSGVPSRFSGSRSGTDFTLTISSLQPEDFATYYCQQYKYVPVTFGQGTKVEIK</v>
      </c>
      <c r="N126" s="4">
        <f t="shared" si="10"/>
        <v>241</v>
      </c>
      <c r="O126" s="1" t="b">
        <f t="shared" si="11"/>
        <v>1</v>
      </c>
      <c r="P126" s="1" t="b">
        <v>0</v>
      </c>
      <c r="Q126" s="1" t="b">
        <v>0</v>
      </c>
      <c r="T126" s="10">
        <v>45983</v>
      </c>
      <c r="U126" s="2" t="s">
        <v>543</v>
      </c>
      <c r="V126" s="4">
        <v>0.47</v>
      </c>
    </row>
    <row r="127" spans="1:22" ht="64" x14ac:dyDescent="0.2">
      <c r="A127" s="1" t="s">
        <v>524</v>
      </c>
      <c r="B127" s="1" t="s">
        <v>515</v>
      </c>
      <c r="C127" s="2" t="s">
        <v>526</v>
      </c>
      <c r="D127" s="4">
        <v>0.2</v>
      </c>
      <c r="E127" s="1" t="s">
        <v>49</v>
      </c>
      <c r="F127" s="1" t="s">
        <v>266</v>
      </c>
      <c r="G127" s="1" t="s">
        <v>258</v>
      </c>
      <c r="I127" s="2" t="s">
        <v>535</v>
      </c>
      <c r="J127" s="2" t="s">
        <v>296</v>
      </c>
      <c r="K127" s="1" t="b">
        <v>1</v>
      </c>
      <c r="L127" s="2" t="s">
        <v>126</v>
      </c>
      <c r="M127" s="2" t="str">
        <f t="shared" si="9"/>
        <v>EVQLVESGGGLVQPGGSLRLSCAASGFNISDYSIHWVRQAPGKGLEWVASIYNRSGYTYYADSVKGRFTISADTSKNTAYLQMNSLRAEDTAVYYCARGGYYLDGLYALDYWGQGTLVTVSSGGGSGGGSGGGSDIQMTQSPSSLSASVGDRVTITCRASQSVSSAVAWYQQKPGKAPKLLIYSASSLYSGVPSRFSGSRSGTDFTLTISSLQPEDFATYYCQQYKYVPVTFGQGTKVEIK</v>
      </c>
      <c r="N127" s="4">
        <f t="shared" si="10"/>
        <v>241</v>
      </c>
      <c r="O127" s="1" t="b">
        <f t="shared" si="11"/>
        <v>1</v>
      </c>
      <c r="P127" s="1" t="b">
        <v>0</v>
      </c>
      <c r="Q127" s="1" t="b">
        <v>0</v>
      </c>
      <c r="T127" s="10">
        <v>45983</v>
      </c>
      <c r="U127" s="2" t="s">
        <v>545</v>
      </c>
      <c r="V127" s="4">
        <v>0.01</v>
      </c>
    </row>
    <row r="128" spans="1:22" ht="64" x14ac:dyDescent="0.2">
      <c r="A128" s="1" t="s">
        <v>525</v>
      </c>
      <c r="B128" s="1" t="s">
        <v>515</v>
      </c>
      <c r="C128" s="2" t="s">
        <v>526</v>
      </c>
      <c r="D128" s="4">
        <v>0.2</v>
      </c>
      <c r="E128" s="1" t="s">
        <v>49</v>
      </c>
      <c r="F128" s="1" t="s">
        <v>266</v>
      </c>
      <c r="G128" s="1" t="s">
        <v>258</v>
      </c>
      <c r="I128" s="2" t="s">
        <v>536</v>
      </c>
      <c r="J128" s="2" t="s">
        <v>296</v>
      </c>
      <c r="K128" s="1" t="b">
        <v>1</v>
      </c>
      <c r="L128" s="2" t="s">
        <v>126</v>
      </c>
      <c r="M128" s="2" t="str">
        <f t="shared" si="9"/>
        <v>EVQLVESGGGLVQPGGSLRLSCAASGFNISSSSIHWVRQAPGKGLEWVASISSYSGYTYYADSVKGRFTISADTSKNTAYLQMNSLRAEDTAVYYCARGGHDLDGLYALDYWGQGTLVTVSSGGGSGGGSGGGSDIQMTQSPSSLSASVGDRVTITCRASQSVSSAVAWYQQKPGKAPKLLIYSASSLYSGVPSRFSGSRSGTDFTLTISSLQPEDFATYYCQQYKYVPVTFGQGTKVEIK</v>
      </c>
      <c r="N128" s="4">
        <f t="shared" si="10"/>
        <v>241</v>
      </c>
      <c r="O128" s="1" t="b">
        <f t="shared" si="11"/>
        <v>1</v>
      </c>
      <c r="P128" s="1" t="b">
        <v>0</v>
      </c>
      <c r="Q128" s="1" t="b">
        <v>0</v>
      </c>
      <c r="T128" s="10">
        <v>45983</v>
      </c>
      <c r="U128" s="2" t="s">
        <v>544</v>
      </c>
      <c r="V128" s="4">
        <v>0</v>
      </c>
    </row>
    <row r="129" spans="1:21" ht="64" x14ac:dyDescent="0.2">
      <c r="A129" s="1" t="s">
        <v>547</v>
      </c>
      <c r="B129" s="1" t="s">
        <v>515</v>
      </c>
      <c r="C129" s="2" t="s">
        <v>526</v>
      </c>
      <c r="D129" s="4">
        <v>0.2</v>
      </c>
      <c r="E129" s="1" t="s">
        <v>49</v>
      </c>
      <c r="F129" s="1" t="s">
        <v>422</v>
      </c>
      <c r="G129" s="1" t="s">
        <v>258</v>
      </c>
      <c r="I129" s="2" t="s">
        <v>557</v>
      </c>
      <c r="J129" s="2" t="s">
        <v>467</v>
      </c>
      <c r="K129" s="1" t="b">
        <v>1</v>
      </c>
      <c r="L129" s="2" t="s">
        <v>126</v>
      </c>
      <c r="M129" s="2" t="str">
        <f t="shared" ref="M129:M138" si="12">_xlfn.CONCAT(I129,L129,J129)</f>
        <v>EVQLVESGGGLVKPGGSLKVSCAASGFTFSSYAMHWVRQAPGKGLEWVSYIWSGADSIGYADSVKGRFTISRDNAKNSLYLQMNSLRAGDTAVYYCARDDDAFDYWGQGTAVTVSSGGGSGGGSGGGSDIQMTQSPSSLSASVGDRVTITCQASQDIRFYLNWYQQKPGKAPKLLISAASTLQSGVPSRFSGSGSGTDFTLTITSLQPEDFATYYCAGYVPSYTFGPGTKVDIK</v>
      </c>
      <c r="N129" s="4">
        <f t="shared" ref="N129:N138" si="13">LEN(M129)</f>
        <v>234</v>
      </c>
      <c r="O129" s="1" t="b">
        <f t="shared" ref="O129:O138" si="14">IF(N129&lt;=250,TRUE,FALSE)</f>
        <v>1</v>
      </c>
      <c r="P129" s="1" t="b">
        <v>0</v>
      </c>
      <c r="Q129" s="1" t="b">
        <v>0</v>
      </c>
      <c r="T129" s="10">
        <v>45987</v>
      </c>
    </row>
    <row r="130" spans="1:21" ht="64" x14ac:dyDescent="0.2">
      <c r="A130" s="1" t="s">
        <v>548</v>
      </c>
      <c r="B130" s="1" t="s">
        <v>515</v>
      </c>
      <c r="C130" s="2" t="s">
        <v>526</v>
      </c>
      <c r="D130" s="4">
        <v>0.2</v>
      </c>
      <c r="E130" s="1" t="s">
        <v>49</v>
      </c>
      <c r="F130" s="1" t="s">
        <v>422</v>
      </c>
      <c r="G130" s="1" t="s">
        <v>258</v>
      </c>
      <c r="I130" s="2" t="s">
        <v>558</v>
      </c>
      <c r="J130" s="2" t="s">
        <v>467</v>
      </c>
      <c r="K130" s="1" t="b">
        <v>1</v>
      </c>
      <c r="L130" s="2" t="s">
        <v>126</v>
      </c>
      <c r="M130" s="2" t="str">
        <f t="shared" si="12"/>
        <v>EVQLVESGGGLVKPGGSLKVSCAASGFTFSSYSMHWVRQAPGKGLEWVSSIWSGADSTGYADSVKGRFTISRDNAKNSLYLQMNSLRAGDTAVYYCARDDDAFDYWGQGTAVTVSSGGGSGGGSGGGSDIQMTQSPSSLSASVGDRVTITCQASQDIRFYLNWYQQKPGKAPKLLISAASTLQSGVPSRFSGSGSGTDFTLTITSLQPEDFATYYCAGYVPSYTFGPGTKVDIK</v>
      </c>
      <c r="N130" s="4">
        <f t="shared" si="13"/>
        <v>234</v>
      </c>
      <c r="O130" s="1" t="b">
        <f t="shared" si="14"/>
        <v>1</v>
      </c>
      <c r="P130" s="1" t="b">
        <v>0</v>
      </c>
      <c r="Q130" s="1" t="b">
        <v>0</v>
      </c>
      <c r="T130" s="10">
        <v>45987</v>
      </c>
    </row>
    <row r="131" spans="1:21" ht="64" x14ac:dyDescent="0.2">
      <c r="A131" s="1" t="s">
        <v>549</v>
      </c>
      <c r="B131" s="1" t="s">
        <v>515</v>
      </c>
      <c r="C131" s="2" t="s">
        <v>526</v>
      </c>
      <c r="D131" s="4">
        <v>0.2</v>
      </c>
      <c r="E131" s="1" t="s">
        <v>49</v>
      </c>
      <c r="F131" s="1" t="s">
        <v>422</v>
      </c>
      <c r="G131" s="1" t="s">
        <v>258</v>
      </c>
      <c r="I131" s="2" t="s">
        <v>559</v>
      </c>
      <c r="J131" s="2" t="s">
        <v>467</v>
      </c>
      <c r="K131" s="1" t="b">
        <v>1</v>
      </c>
      <c r="L131" s="2" t="s">
        <v>126</v>
      </c>
      <c r="M131" s="2" t="str">
        <f t="shared" si="12"/>
        <v>EVQLVESGGGLVKPGGSLKVSCAASGFTFSSYAMHWVRQAPGKGLEWVSRIWSGADSTGYADSVKGRFTISRDNAKNSLYLQMNSLRAGDTAVYYCARDDDAFDYWGQGTAVTVSSGGGSGGGSGGGSDIQMTQSPSSLSASVGDRVTITCQASQDIRFYLNWYQQKPGKAPKLLISAASTLQSGVPSRFSGSGSGTDFTLTITSLQPEDFATYYCAGYVPSYTFGPGTKVDIK</v>
      </c>
      <c r="N131" s="4">
        <f t="shared" si="13"/>
        <v>234</v>
      </c>
      <c r="O131" s="1" t="b">
        <f t="shared" si="14"/>
        <v>1</v>
      </c>
      <c r="P131" s="1" t="b">
        <v>0</v>
      </c>
      <c r="Q131" s="1" t="b">
        <v>0</v>
      </c>
      <c r="T131" s="10">
        <v>45987</v>
      </c>
    </row>
    <row r="132" spans="1:21" ht="64" x14ac:dyDescent="0.2">
      <c r="A132" s="1" t="s">
        <v>550</v>
      </c>
      <c r="B132" s="1" t="s">
        <v>515</v>
      </c>
      <c r="C132" s="2" t="s">
        <v>526</v>
      </c>
      <c r="D132" s="4">
        <v>0.2</v>
      </c>
      <c r="E132" s="1" t="s">
        <v>49</v>
      </c>
      <c r="F132" s="1" t="s">
        <v>422</v>
      </c>
      <c r="G132" s="1" t="s">
        <v>258</v>
      </c>
      <c r="I132" s="2" t="s">
        <v>560</v>
      </c>
      <c r="J132" s="2" t="s">
        <v>467</v>
      </c>
      <c r="K132" s="1" t="b">
        <v>1</v>
      </c>
      <c r="L132" s="2" t="s">
        <v>126</v>
      </c>
      <c r="M132" s="2" t="str">
        <f t="shared" si="12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2" s="4">
        <f t="shared" si="13"/>
        <v>234</v>
      </c>
      <c r="O132" s="1" t="b">
        <f t="shared" si="14"/>
        <v>1</v>
      </c>
      <c r="P132" s="1" t="b">
        <v>0</v>
      </c>
      <c r="Q132" s="1" t="b">
        <v>0</v>
      </c>
      <c r="T132" s="10"/>
      <c r="U132" s="11" t="s">
        <v>381</v>
      </c>
    </row>
    <row r="133" spans="1:21" ht="64" x14ac:dyDescent="0.2">
      <c r="A133" s="1" t="s">
        <v>551</v>
      </c>
      <c r="B133" s="1" t="s">
        <v>515</v>
      </c>
      <c r="C133" s="2" t="s">
        <v>526</v>
      </c>
      <c r="D133" s="4">
        <v>0.2</v>
      </c>
      <c r="E133" s="1" t="s">
        <v>49</v>
      </c>
      <c r="F133" s="1" t="s">
        <v>422</v>
      </c>
      <c r="G133" s="1" t="s">
        <v>258</v>
      </c>
      <c r="I133" s="2" t="s">
        <v>561</v>
      </c>
      <c r="J133" s="2" t="s">
        <v>467</v>
      </c>
      <c r="K133" s="1" t="b">
        <v>1</v>
      </c>
      <c r="L133" s="2" t="s">
        <v>126</v>
      </c>
      <c r="M133" s="2" t="str">
        <f t="shared" si="12"/>
        <v>EVQLVESGGGLVKPGGSLKVSCAASGFTFSSYSMHWVRQAPGKGLEWVSRIWSGTDSIGYADSVKGRFTISRDNAKNSLYLQMNSLRAGDTAVYYCARDDDAFDYWGQGTAVTVSSGGGSGGGSGGGSDIQMTQSPSSLSASVGDRVTITCQASQDIRFYLNWYQQKPGKAPKLLISAASTLQSGVPSRFSGSGSGTDFTLTITSLQPEDFATYYCAGYVPSYTFGPGTKVDIK</v>
      </c>
      <c r="N133" s="4">
        <f t="shared" si="13"/>
        <v>234</v>
      </c>
      <c r="O133" s="1" t="b">
        <f t="shared" si="14"/>
        <v>1</v>
      </c>
      <c r="P133" s="1" t="b">
        <v>0</v>
      </c>
      <c r="Q133" s="1" t="b">
        <v>0</v>
      </c>
      <c r="T133" s="10">
        <v>45987</v>
      </c>
    </row>
    <row r="134" spans="1:21" ht="64" x14ac:dyDescent="0.2">
      <c r="A134" s="1" t="s">
        <v>552</v>
      </c>
      <c r="B134" s="1" t="s">
        <v>515</v>
      </c>
      <c r="C134" s="2" t="s">
        <v>526</v>
      </c>
      <c r="D134" s="4">
        <v>0.2</v>
      </c>
      <c r="E134" s="1" t="s">
        <v>49</v>
      </c>
      <c r="F134" s="1" t="s">
        <v>422</v>
      </c>
      <c r="G134" s="1" t="s">
        <v>258</v>
      </c>
      <c r="I134" s="2" t="s">
        <v>562</v>
      </c>
      <c r="J134" s="2" t="s">
        <v>467</v>
      </c>
      <c r="K134" s="1" t="b">
        <v>1</v>
      </c>
      <c r="L134" s="2" t="s">
        <v>126</v>
      </c>
      <c r="M134" s="2" t="str">
        <f t="shared" si="12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4" s="4">
        <f t="shared" si="13"/>
        <v>234</v>
      </c>
      <c r="O134" s="1" t="b">
        <f t="shared" si="14"/>
        <v>1</v>
      </c>
      <c r="P134" s="1" t="b">
        <v>0</v>
      </c>
      <c r="Q134" s="1" t="b">
        <v>0</v>
      </c>
      <c r="T134" s="10"/>
      <c r="U134" s="11" t="s">
        <v>381</v>
      </c>
    </row>
    <row r="135" spans="1:21" ht="64" x14ac:dyDescent="0.2">
      <c r="A135" s="1" t="s">
        <v>553</v>
      </c>
      <c r="B135" s="1" t="s">
        <v>515</v>
      </c>
      <c r="C135" s="2" t="s">
        <v>526</v>
      </c>
      <c r="D135" s="4">
        <v>0.2</v>
      </c>
      <c r="E135" s="1" t="s">
        <v>49</v>
      </c>
      <c r="F135" s="1" t="s">
        <v>422</v>
      </c>
      <c r="G135" s="1" t="s">
        <v>258</v>
      </c>
      <c r="I135" s="2" t="s">
        <v>563</v>
      </c>
      <c r="J135" s="2" t="s">
        <v>467</v>
      </c>
      <c r="K135" s="1" t="b">
        <v>1</v>
      </c>
      <c r="L135" s="2" t="s">
        <v>126</v>
      </c>
      <c r="M135" s="2" t="str">
        <f t="shared" si="12"/>
        <v>EVQLVESGGGLVKPGGSLKVSCAASGFTFSSFAMHWVRQAPGKGLEWVSYIWSGADSTGYADSVKGRFTISRDNAKNSLYLQMNSLRAGDTAVYYCARDDDAFDYWGQGTAVTVSSGGGSGGGSGGGSDIQMTQSPSSLSASVGDRVTITCQASQDIRFYLNWYQQKPGKAPKLLISAASTLQSGVPSRFSGSGSGTDFTLTITSLQPEDFATYYCAGYVPSYTFGPGTKVDIK</v>
      </c>
      <c r="N135" s="4">
        <f t="shared" si="13"/>
        <v>234</v>
      </c>
      <c r="O135" s="1" t="b">
        <f t="shared" si="14"/>
        <v>1</v>
      </c>
      <c r="P135" s="1" t="b">
        <v>0</v>
      </c>
      <c r="Q135" s="1" t="b">
        <v>0</v>
      </c>
      <c r="T135" s="10">
        <v>45987</v>
      </c>
    </row>
    <row r="136" spans="1:21" ht="64" x14ac:dyDescent="0.2">
      <c r="A136" s="1" t="s">
        <v>554</v>
      </c>
      <c r="B136" s="1" t="s">
        <v>515</v>
      </c>
      <c r="C136" s="2" t="s">
        <v>526</v>
      </c>
      <c r="D136" s="4">
        <v>0.2</v>
      </c>
      <c r="E136" s="1" t="s">
        <v>49</v>
      </c>
      <c r="F136" s="1" t="s">
        <v>422</v>
      </c>
      <c r="G136" s="1" t="s">
        <v>258</v>
      </c>
      <c r="I136" s="2" t="s">
        <v>560</v>
      </c>
      <c r="J136" s="2" t="s">
        <v>467</v>
      </c>
      <c r="K136" s="1" t="b">
        <v>1</v>
      </c>
      <c r="L136" s="2" t="s">
        <v>126</v>
      </c>
      <c r="M136" s="2" t="str">
        <f t="shared" si="12"/>
        <v>EVQLVESGGGLVKPGGSLKVSCAASGFTFSSYAMHWVRQAPGKGLEWVSYIWSGADSIGYADSVKGRFTISRDNAKNSLYLQMNSLRAGDTAVYYCARYDDAFDYWGQGTAVTVSSGGGSGGGSGGGSDIQMTQSPSSLSASVGDRVTITCQASQDIRFYLNWYQQKPGKAPKLLISAASTLQSGVPSRFSGSGSGTDFTLTITSLQPEDFATYYCAGYVPSYTFGPGTKVDIK</v>
      </c>
      <c r="N136" s="4">
        <f t="shared" si="13"/>
        <v>234</v>
      </c>
      <c r="O136" s="1" t="b">
        <f t="shared" si="14"/>
        <v>1</v>
      </c>
      <c r="P136" s="1" t="b">
        <v>0</v>
      </c>
      <c r="Q136" s="1" t="b">
        <v>0</v>
      </c>
      <c r="T136" s="10"/>
      <c r="U136" s="11" t="s">
        <v>381</v>
      </c>
    </row>
    <row r="137" spans="1:21" ht="64" x14ac:dyDescent="0.2">
      <c r="A137" s="1" t="s">
        <v>555</v>
      </c>
      <c r="B137" s="1" t="s">
        <v>515</v>
      </c>
      <c r="C137" s="2" t="s">
        <v>526</v>
      </c>
      <c r="D137" s="4">
        <v>0.2</v>
      </c>
      <c r="E137" s="1" t="s">
        <v>49</v>
      </c>
      <c r="F137" s="1" t="s">
        <v>422</v>
      </c>
      <c r="G137" s="1" t="s">
        <v>258</v>
      </c>
      <c r="I137" s="2" t="s">
        <v>562</v>
      </c>
      <c r="J137" s="2" t="s">
        <v>467</v>
      </c>
      <c r="K137" s="1" t="b">
        <v>1</v>
      </c>
      <c r="L137" s="2" t="s">
        <v>126</v>
      </c>
      <c r="M137" s="2" t="str">
        <f t="shared" si="12"/>
        <v>EVQLVESGGGLVKPGGSLKVSCAASGFTFSSYAMHWVRQAPGKGLEWVSYIWSGVDSIGYADSVKGRFTISRDNAKNSLYLQMNSLRAGDTAVYYCARDDDAFDYWGQGTAVTVSSGGGSGGGSGGGSDIQMTQSPSSLSASVGDRVTITCQASQDIRFYLNWYQQKPGKAPKLLISAASTLQSGVPSRFSGSGSGTDFTLTITSLQPEDFATYYCAGYVPSYTFGPGTKVDIK</v>
      </c>
      <c r="N137" s="4">
        <f t="shared" si="13"/>
        <v>234</v>
      </c>
      <c r="O137" s="1" t="b">
        <f t="shared" si="14"/>
        <v>1</v>
      </c>
      <c r="P137" s="1" t="b">
        <v>0</v>
      </c>
      <c r="Q137" s="1" t="b">
        <v>0</v>
      </c>
      <c r="T137" s="10"/>
      <c r="U137" s="11" t="s">
        <v>381</v>
      </c>
    </row>
    <row r="138" spans="1:21" ht="64" x14ac:dyDescent="0.2">
      <c r="A138" s="1" t="s">
        <v>556</v>
      </c>
      <c r="B138" s="1" t="s">
        <v>515</v>
      </c>
      <c r="C138" s="2" t="s">
        <v>526</v>
      </c>
      <c r="D138" s="4">
        <v>0.2</v>
      </c>
      <c r="E138" s="1" t="s">
        <v>49</v>
      </c>
      <c r="F138" s="1" t="s">
        <v>422</v>
      </c>
      <c r="G138" s="1" t="s">
        <v>258</v>
      </c>
      <c r="I138" s="2" t="s">
        <v>564</v>
      </c>
      <c r="J138" s="2" t="s">
        <v>467</v>
      </c>
      <c r="K138" s="1" t="b">
        <v>1</v>
      </c>
      <c r="L138" s="2" t="s">
        <v>126</v>
      </c>
      <c r="M138" s="2" t="str">
        <f t="shared" si="12"/>
        <v>EVQLVESGGGLVKPGGSLKVSCAASGFTFSSYSMVWVRQAPGKGLEWVSRIWSGVDSTGYADSVKGRFTISRDNAKNSLYLQMNSLRAGDTAVYYCARDDDAFDYWGQGTAVTVSSGGGSGGGSGGGSDIQMTQSPSSLSASVGDRVTITCQASQDIRFYLNWYQQKPGKAPKLLISAASTLQSGVPSRFSGSGSGTDFTLTITSLQPEDFATYYCAGYVPSYTFGPGTKVDIK</v>
      </c>
      <c r="N138" s="4">
        <f t="shared" si="13"/>
        <v>234</v>
      </c>
      <c r="O138" s="1" t="b">
        <f t="shared" si="14"/>
        <v>1</v>
      </c>
      <c r="P138" s="1" t="b">
        <v>0</v>
      </c>
      <c r="Q138" s="1" t="b">
        <v>0</v>
      </c>
      <c r="T138" s="10">
        <v>45987</v>
      </c>
    </row>
  </sheetData>
  <autoFilter ref="A1:V138" xr:uid="{00000000-0001-0000-0100-000000000000}"/>
  <phoneticPr fontId="1" type="noConversion"/>
  <conditionalFormatting sqref="K1:L1048576">
    <cfRule type="cellIs" dxfId="24" priority="20" operator="equal">
      <formula>TRUE</formula>
    </cfRule>
    <cfRule type="cellIs" dxfId="23" priority="21" operator="equal">
      <formula>FALSE</formula>
    </cfRule>
    <cfRule type="containsBlanks" dxfId="22" priority="21">
      <formula>LEN(TRIM(K1))=0</formula>
    </cfRule>
  </conditionalFormatting>
  <conditionalFormatting sqref="O2:O138">
    <cfRule type="containsBlanks" dxfId="21" priority="13">
      <formula>LEN(TRIM(O2))=0</formula>
    </cfRule>
  </conditionalFormatting>
  <conditionalFormatting sqref="O84:Q138">
    <cfRule type="cellIs" dxfId="20" priority="1" operator="equal">
      <formula>FALSE</formula>
    </cfRule>
    <cfRule type="cellIs" dxfId="19" priority="2" operator="equal">
      <formula>TRUE</formula>
    </cfRule>
  </conditionalFormatting>
  <conditionalFormatting sqref="O2:S2 O3:Q83 R3:S22">
    <cfRule type="cellIs" dxfId="18" priority="14" operator="equal">
      <formula>FALSE</formula>
    </cfRule>
    <cfRule type="cellIs" dxfId="17" priority="22" operator="equal">
      <formula>TRUE</formula>
    </cfRule>
  </conditionalFormatting>
  <conditionalFormatting sqref="R1:S1048576 V1:V1048576">
    <cfRule type="colorScale" priority="1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6" priority="8" operator="equal">
      <formula>FALSE</formula>
    </cfRule>
    <cfRule type="cellIs" dxfId="15" priority="9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baseColWidth="10" defaultColWidth="9.1640625" defaultRowHeight="15" x14ac:dyDescent="0.2"/>
  <cols>
    <col min="1" max="2" width="19.5" style="1" bestFit="1" customWidth="1"/>
    <col min="3" max="3" width="14.5" style="4" customWidth="1"/>
    <col min="4" max="4" width="122.1640625" style="1" customWidth="1"/>
    <col min="5" max="5" width="44.1640625" style="1" customWidth="1"/>
    <col min="6" max="6" width="93.33203125" style="1" customWidth="1"/>
    <col min="7" max="7" width="10.83203125" style="1" bestFit="1" customWidth="1"/>
    <col min="8" max="8" width="41" style="1" customWidth="1"/>
    <col min="9" max="9" width="10.5" style="1" bestFit="1" customWidth="1"/>
    <col min="10" max="10" width="10.1640625" style="1" bestFit="1" customWidth="1"/>
    <col min="11" max="1027" width="9.1640625" style="1"/>
  </cols>
  <sheetData>
    <row r="1" spans="1:10" x14ac:dyDescent="0.2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80" x14ac:dyDescent="0.2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12" x14ac:dyDescent="0.2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12" x14ac:dyDescent="0.2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5"/>
  <sheetViews>
    <sheetView workbookViewId="0">
      <selection activeCell="J13" sqref="J13"/>
    </sheetView>
  </sheetViews>
  <sheetFormatPr baseColWidth="10" defaultColWidth="9.1640625" defaultRowHeight="15" x14ac:dyDescent="0.2"/>
  <cols>
    <col min="1" max="1" width="15" style="1" bestFit="1" customWidth="1"/>
    <col min="2" max="2" width="11.5" style="1" customWidth="1"/>
    <col min="3" max="3" width="46.1640625" style="2" customWidth="1"/>
    <col min="4" max="4" width="48.83203125" style="2" customWidth="1"/>
    <col min="5" max="5" width="20.6640625" style="1" bestFit="1" customWidth="1"/>
    <col min="6" max="6" width="74" style="1" customWidth="1"/>
    <col min="7" max="7" width="17.5" style="1" bestFit="1" customWidth="1"/>
    <col min="8" max="8" width="11" style="1" bestFit="1" customWidth="1"/>
    <col min="9" max="9" width="10.1640625" style="1" bestFit="1" customWidth="1"/>
    <col min="10" max="10" width="10.5" style="1" bestFit="1" customWidth="1"/>
    <col min="11" max="16384" width="9.1640625" style="1"/>
  </cols>
  <sheetData>
    <row r="1" spans="1:10" ht="16" x14ac:dyDescent="0.2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4" x14ac:dyDescent="0.2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4" x14ac:dyDescent="0.2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4" x14ac:dyDescent="0.2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  <row r="5" spans="1:10" ht="64" x14ac:dyDescent="0.2">
      <c r="A5" s="1" t="s">
        <v>575</v>
      </c>
      <c r="B5" s="1" t="s">
        <v>576</v>
      </c>
      <c r="C5" s="2" t="s">
        <v>574</v>
      </c>
      <c r="D5" s="2" t="s">
        <v>573</v>
      </c>
      <c r="E5" s="2" t="s">
        <v>577</v>
      </c>
      <c r="F5" s="2" t="str">
        <f>_xlfn.CONCAT(C5,E5,D5)</f>
        <v>EVQLVQSGAEVKKRGSSVKVSCKSSGGTFSNYAINWVRQAPGQGLEWMGGIIPILGIANYAQKFQGRVTITTDESTSTAYMELSSLRSEDTAVYYCARGWGREQLAPHPSQYYYYYYGMDVWGQGTTVTVSSGGGSGGGSGGGEIVMTQSPGTPSLSPGERATLSCRASQSIRSTYLAWYQQKPGQAPRLLIYGASSRATGIPDRFSGSGSGTDFTLTISRLEPEDFAVYYCQQYGRSPSFGQGTKVEIK</v>
      </c>
      <c r="G5" s="4">
        <f>LEN(F5)</f>
        <v>250</v>
      </c>
      <c r="H5" s="1" t="b">
        <f>IF(G5&lt;=250,TRUE,FALSE)</f>
        <v>1</v>
      </c>
      <c r="I5" s="4">
        <v>0.47112500000000002</v>
      </c>
      <c r="J5" s="4">
        <v>0.66756800000000005</v>
      </c>
    </row>
  </sheetData>
  <conditionalFormatting sqref="E1:E5">
    <cfRule type="cellIs" dxfId="14" priority="18" operator="equal">
      <formula>TRUE</formula>
    </cfRule>
    <cfRule type="cellIs" dxfId="13" priority="19" operator="equal">
      <formula>FALSE</formula>
    </cfRule>
  </conditionalFormatting>
  <conditionalFormatting sqref="H2:H5">
    <cfRule type="containsBlanks" dxfId="12" priority="16">
      <formula>LEN(TRIM(H2))=0</formula>
    </cfRule>
    <cfRule type="cellIs" dxfId="11" priority="17" operator="equal">
      <formula>FALSE</formula>
    </cfRule>
    <cfRule type="cellIs" dxfId="10" priority="20" operator="equal">
      <formula>TRUE</formula>
    </cfRule>
  </conditionalFormatting>
  <conditionalFormatting sqref="I5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9" priority="5" operator="equal">
      <formula>FALSE</formula>
    </cfRule>
    <cfRule type="cellIs" dxfId="8" priority="6" operator="equal">
      <formula>TRUE</formula>
    </cfRule>
  </conditionalFormatting>
  <conditionalFormatting sqref="I1:J2">
    <cfRule type="colorScale" priority="1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7" priority="14" operator="equal">
      <formula>FALSE</formula>
    </cfRule>
    <cfRule type="cellIs" dxfId="6" priority="15" operator="equal">
      <formula>TRUE</formula>
    </cfRule>
  </conditionalFormatting>
  <conditionalFormatting sqref="I3:J3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5" priority="11" operator="equal">
      <formula>FALSE</formula>
    </cfRule>
    <cfRule type="cellIs" dxfId="4" priority="12" operator="equal">
      <formula>TRUE</formula>
    </cfRule>
  </conditionalFormatting>
  <conditionalFormatting sqref="I4:J4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8" operator="equal">
      <formula>FALSE</formula>
    </cfRule>
    <cfRule type="cellIs" dxfId="2" priority="9" operator="equal">
      <formula>TRUE</formula>
    </cfRule>
  </conditionalFormatting>
  <conditionalFormatting sqref="J5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baseColWidth="10" defaultColWidth="9.1640625" defaultRowHeight="15" x14ac:dyDescent="0.2"/>
  <cols>
    <col min="1" max="1" width="9.1640625" style="4"/>
    <col min="2" max="2" width="53" style="2" customWidth="1"/>
    <col min="3" max="16384" width="9.1640625" style="1"/>
  </cols>
  <sheetData>
    <row r="1" spans="1:2" ht="16" x14ac:dyDescent="0.2">
      <c r="A1" s="3" t="s">
        <v>94</v>
      </c>
      <c r="B1" s="6" t="s">
        <v>95</v>
      </c>
    </row>
    <row r="2" spans="1:2" ht="64" x14ac:dyDescent="0.2">
      <c r="A2" s="4">
        <v>1</v>
      </c>
      <c r="B2" s="2" t="s">
        <v>93</v>
      </c>
    </row>
    <row r="3" spans="1:2" ht="64" x14ac:dyDescent="0.2">
      <c r="A3" s="4">
        <v>2</v>
      </c>
      <c r="B3" s="2" t="s">
        <v>111</v>
      </c>
    </row>
    <row r="4" spans="1:2" ht="16" x14ac:dyDescent="0.2">
      <c r="A4" s="4">
        <v>3</v>
      </c>
      <c r="B4" s="2" t="s">
        <v>342</v>
      </c>
    </row>
    <row r="5" spans="1:2" ht="16" x14ac:dyDescent="0.2">
      <c r="A5" s="4" t="s">
        <v>233</v>
      </c>
      <c r="B5" s="2" t="s">
        <v>235</v>
      </c>
    </row>
    <row r="6" spans="1:2" ht="16" x14ac:dyDescent="0.2">
      <c r="A6" s="4" t="s">
        <v>234</v>
      </c>
      <c r="B6" s="2" t="s">
        <v>262</v>
      </c>
    </row>
    <row r="7" spans="1:2" ht="16" x14ac:dyDescent="0.2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C23" sqref="C23"/>
    </sheetView>
  </sheetViews>
  <sheetFormatPr baseColWidth="10" defaultColWidth="11.5" defaultRowHeight="15" x14ac:dyDescent="0.2"/>
  <cols>
    <col min="1" max="1" width="20.83203125" customWidth="1"/>
    <col min="2" max="2" width="28.5" bestFit="1" customWidth="1"/>
    <col min="3" max="3" width="244.6640625" bestFit="1" customWidth="1"/>
    <col min="4" max="4" width="255.6640625" bestFit="1" customWidth="1"/>
    <col min="5" max="5" width="10" bestFit="1" customWidth="1"/>
  </cols>
  <sheetData>
    <row r="2" spans="1:3" x14ac:dyDescent="0.2">
      <c r="A2" s="8" t="s">
        <v>98</v>
      </c>
      <c r="B2" s="9">
        <v>45984</v>
      </c>
    </row>
    <row r="4" spans="1:3" x14ac:dyDescent="0.2">
      <c r="A4" t="s">
        <v>547</v>
      </c>
      <c r="B4" t="s">
        <v>526</v>
      </c>
      <c r="C4" t="s">
        <v>565</v>
      </c>
    </row>
    <row r="5" spans="1:3" x14ac:dyDescent="0.2">
      <c r="A5" t="s">
        <v>548</v>
      </c>
      <c r="B5" t="s">
        <v>526</v>
      </c>
      <c r="C5" t="s">
        <v>566</v>
      </c>
    </row>
    <row r="6" spans="1:3" x14ac:dyDescent="0.2">
      <c r="A6" t="s">
        <v>549</v>
      </c>
      <c r="B6" t="s">
        <v>526</v>
      </c>
      <c r="C6" t="s">
        <v>567</v>
      </c>
    </row>
    <row r="7" spans="1:3" x14ac:dyDescent="0.2">
      <c r="A7" t="s">
        <v>550</v>
      </c>
      <c r="B7" t="s">
        <v>526</v>
      </c>
      <c r="C7" t="s">
        <v>568</v>
      </c>
    </row>
    <row r="8" spans="1:3" x14ac:dyDescent="0.2">
      <c r="A8" t="s">
        <v>551</v>
      </c>
      <c r="B8" t="s">
        <v>526</v>
      </c>
      <c r="C8" t="s">
        <v>569</v>
      </c>
    </row>
    <row r="9" spans="1:3" x14ac:dyDescent="0.2">
      <c r="A9" t="s">
        <v>552</v>
      </c>
      <c r="B9" t="s">
        <v>526</v>
      </c>
      <c r="C9" t="s">
        <v>570</v>
      </c>
    </row>
    <row r="10" spans="1:3" x14ac:dyDescent="0.2">
      <c r="A10" t="s">
        <v>553</v>
      </c>
      <c r="B10" t="s">
        <v>526</v>
      </c>
      <c r="C10" t="s">
        <v>571</v>
      </c>
    </row>
    <row r="11" spans="1:3" x14ac:dyDescent="0.2">
      <c r="A11" t="s">
        <v>554</v>
      </c>
      <c r="B11" t="s">
        <v>526</v>
      </c>
      <c r="C11" t="s">
        <v>568</v>
      </c>
    </row>
    <row r="12" spans="1:3" x14ac:dyDescent="0.2">
      <c r="A12" t="s">
        <v>555</v>
      </c>
      <c r="B12" t="s">
        <v>526</v>
      </c>
      <c r="C12" t="s">
        <v>570</v>
      </c>
    </row>
    <row r="13" spans="1:3" x14ac:dyDescent="0.2">
      <c r="A13" t="s">
        <v>556</v>
      </c>
      <c r="B13" t="s">
        <v>526</v>
      </c>
      <c r="C13" t="s">
        <v>572</v>
      </c>
    </row>
    <row r="29" spans="1:1" x14ac:dyDescent="0.2">
      <c r="A29" t="str">
        <f>_xlfn.CONCAT("&gt;",A4,"\n",C4)</f>
        <v>&gt;sbio-nipahgpg-130\nEVQLVESGGGLVKPGGSLKVSCAASGFTFSSYAMHWVRQAPGKGLEWVSYIWSGADSIGYADSVKGRFTISRDNAKNSLYLQMNSLRAGDTAVYYCARDDDAFDYWGQGTAVTVSSGGGSGGGSGGGSDIQMTQSPSSLSASVGDRVTITCQASQDIRFYLNWYQQKPGKAPKLLISAASTLQSGVPSRFSGSGSGTDFTLTITSLQPEDFATYYCAGYVPSYTFGPGTKVDIK</v>
      </c>
    </row>
    <row r="30" spans="1:1" x14ac:dyDescent="0.2">
      <c r="A30" t="str">
        <f t="shared" ref="A30:A38" si="0">_xlfn.CONCAT("&gt;",A5,"\n",C5)</f>
        <v>&gt;sbio-nipahgpg-131\nEVQLVESGGGLVKPGGSLKVSCAASGFTFSSYSMHWVRQAPGKGLEWVSSIWSGADSTGYADSVKGRFTISRDNAKNSLYLQMNSLRAGDTAVYYCARDDDAFDYWGQGTAVTVSSGGGSGGGSGGGSDIQMTQSPSSLSASVGDRVTITCQASQDIRFYLNWYQQKPGKAPKLLISAASTLQSGVPSRFSGSGSGTDFTLTITSLQPEDFATYYCAGYVPSYTFGPGTKVDIK</v>
      </c>
    </row>
    <row r="31" spans="1:1" x14ac:dyDescent="0.2">
      <c r="A31" t="str">
        <f t="shared" si="0"/>
        <v>&gt;sbio-nipahgpg-132\nEVQLVESGGGLVKPGGSLKVSCAASGFTFSSYAMHWVRQAPGKGLEWVSRIWSGADSTGYADSVKGRFTISRDNAKNSLYLQMNSLRAGDTAVYYCARDDDAFDYWGQGTAVTVSSGGGSGGGSGGGSDIQMTQSPSSLSASVGDRVTITCQASQDIRFYLNWYQQKPGKAPKLLISAASTLQSGVPSRFSGSGSGTDFTLTITSLQPEDFATYYCAGYVPSYTFGPGTKVDIK</v>
      </c>
    </row>
    <row r="32" spans="1:1" x14ac:dyDescent="0.2">
      <c r="A32" t="str">
        <f t="shared" si="0"/>
        <v>&gt;sbio-nipahgpg-133\nEVQLVESGGGLVKPGGSLKVSCAASGFTFSSYAMHWVRQAPGKGLEWVSYIWSGADSIGYADSVKGRFTISRDNAKNSLYLQMNSLRAGDTAVYYCARYDDAFDYWGQGTAVTVSSGGGSGGGSGGGSDIQMTQSPSSLSASVGDRVTITCQASQDIRFYLNWYQQKPGKAPKLLISAASTLQSGVPSRFSGSGSGTDFTLTITSLQPEDFATYYCAGYVPSYTFGPGTKVDIK</v>
      </c>
    </row>
    <row r="33" spans="1:1" x14ac:dyDescent="0.2">
      <c r="A33" t="str">
        <f t="shared" si="0"/>
        <v>&gt;sbio-nipahgpg-134\nEVQLVESGGGLVKPGGSLKVSCAASGFTFSSYSMHWVRQAPGKGLEWVSRIWSGTDSIGYADSVKGRFTISRDNAKNSLYLQMNSLRAGDTAVYYCARDDDAFDYWGQGTAVTVSSGGGSGGGSGGGSDIQMTQSPSSLSASVGDRVTITCQASQDIRFYLNWYQQKPGKAPKLLISAASTLQSGVPSRFSGSGSGTDFTLTITSLQPEDFATYYCAGYVPSYTFGPGTKVDIK</v>
      </c>
    </row>
    <row r="34" spans="1:1" x14ac:dyDescent="0.2">
      <c r="A34" t="str">
        <f t="shared" si="0"/>
        <v>&gt;sbio-nipahgpg-135\nEVQLVESGGGLVKPGGSLKVSCAASGFTFSSYAMHWVRQAPGKGLEWVSYIWSGVDSIGYADSVKGRFTISRDNAKNSLYLQMNSLRAGDTAVYYCARDDDAFDYWGQGTAVTVSSGGGSGGGSGGGSDIQMTQSPSSLSASVGDRVTITCQASQDIRFYLNWYQQKPGKAPKLLISAASTLQSGVPSRFSGSGSGTDFTLTITSLQPEDFATYYCAGYVPSYTFGPGTKVDIK</v>
      </c>
    </row>
    <row r="35" spans="1:1" x14ac:dyDescent="0.2">
      <c r="A35" t="str">
        <f t="shared" si="0"/>
        <v>&gt;sbio-nipahgpg-136\nEVQLVESGGGLVKPGGSLKVSCAASGFTFSSFAMHWVRQAPGKGLEWVSYIWSGADSTGYADSVKGRFTISRDNAKNSLYLQMNSLRAGDTAVYYCARDDDAFDYWGQGTAVTVSSGGGSGGGSGGGSDIQMTQSPSSLSASVGDRVTITCQASQDIRFYLNWYQQKPGKAPKLLISAASTLQSGVPSRFSGSGSGTDFTLTITSLQPEDFATYYCAGYVPSYTFGPGTKVDIK</v>
      </c>
    </row>
    <row r="36" spans="1:1" x14ac:dyDescent="0.2">
      <c r="A36" t="str">
        <f t="shared" si="0"/>
        <v>&gt;sbio-nipahgpg-137\nEVQLVESGGGLVKPGGSLKVSCAASGFTFSSYAMHWVRQAPGKGLEWVSYIWSGADSIGYADSVKGRFTISRDNAKNSLYLQMNSLRAGDTAVYYCARYDDAFDYWGQGTAVTVSSGGGSGGGSGGGSDIQMTQSPSSLSASVGDRVTITCQASQDIRFYLNWYQQKPGKAPKLLISAASTLQSGVPSRFSGSGSGTDFTLTITSLQPEDFATYYCAGYVPSYTFGPGTKVDIK</v>
      </c>
    </row>
    <row r="37" spans="1:1" x14ac:dyDescent="0.2">
      <c r="A37" t="str">
        <f t="shared" si="0"/>
        <v>&gt;sbio-nipahgpg-138\nEVQLVESGGGLVKPGGSLKVSCAASGFTFSSYAMHWVRQAPGKGLEWVSYIWSGVDSIGYADSVKGRFTISRDNAKNSLYLQMNSLRAGDTAVYYCARDDDAFDYWGQGTAVTVSSGGGSGGGSGGGSDIQMTQSPSSLSASVGDRVTITCQASQDIRFYLNWYQQKPGKAPKLLISAASTLQSGVPSRFSGSGSGTDFTLTITSLQPEDFATYYCAGYVPSYTFGPGTKVDIK</v>
      </c>
    </row>
    <row r="38" spans="1:1" x14ac:dyDescent="0.2">
      <c r="A38" t="str">
        <f t="shared" si="0"/>
        <v>&gt;sbio-nipahgpg-139\nEVQLVESGGGLVKPGGSLKVSCAASGFTFSSYSMVWVRQAPGKGLEWVSRIWSGVDSTGYADSVKGRFTISRDNAKNSLYLQMNSLRAGDTAVYYCARDDDAFDYWGQGTAVTVSSGGGSGGGSGGGSDIQMTQSPSSLSASVGDRVTITCQASQDIRFYLNWYQQKPGKAPKLLISAASTLQSGVPSRFSGSGSGTDFTLTITSLQPEDFATYYCAGYVPSYTFGPGTKVDIK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2025-11-27T02:00:16Z</dcterms:modified>
  <dc:language>en-US</dc:language>
</cp:coreProperties>
</file>