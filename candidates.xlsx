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ford/Documents/GitHub/Nipah_gpG_Fv_Generation/"/>
    </mc:Choice>
  </mc:AlternateContent>
  <xr:revisionPtr revIDLastSave="0" documentId="13_ncr:1_{EB16DC7B-F618-9B42-8EAB-798713776910}" xr6:coauthVersionLast="47" xr6:coauthVersionMax="47" xr10:uidLastSave="{00000000-0000-0000-0000-000000000000}"/>
  <bookViews>
    <workbookView xWindow="0" yWindow="620" windowWidth="44800" windowHeight="22520" tabRatio="500" activeTab="2" xr2:uid="{00000000-000D-0000-FFFF-FFFF00000000}"/>
  </bookViews>
  <sheets>
    <sheet name="Antigens" sheetId="1" r:id="rId1"/>
    <sheet name="Antibody Candidates" sheetId="2" r:id="rId2"/>
    <sheet name="20251107 Submission FASTA" sheetId="4" r:id="rId3"/>
    <sheet name="Notes" sheetId="3" r:id="rId4"/>
  </sheets>
  <calcPr calcId="191029" iterateDelta="1E-4"/>
  <pivotCaches>
    <pivotCache cacheId="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4" l="1"/>
  <c r="A30" i="4"/>
  <c r="A31" i="4"/>
  <c r="A32" i="4"/>
  <c r="A33" i="4"/>
  <c r="A34" i="4"/>
  <c r="A35" i="4"/>
  <c r="A36" i="4"/>
  <c r="A37" i="4"/>
  <c r="A28" i="4"/>
  <c r="P3" i="2"/>
  <c r="P4" i="2"/>
  <c r="P5" i="2"/>
  <c r="P6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2" i="2"/>
  <c r="L2" i="2"/>
  <c r="O25" i="2"/>
  <c r="O26" i="2"/>
  <c r="O27" i="2"/>
  <c r="O28" i="2"/>
  <c r="O29" i="2"/>
  <c r="O30" i="2"/>
  <c r="O31" i="2"/>
  <c r="O3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2" i="2"/>
  <c r="L23" i="2"/>
  <c r="L24" i="2"/>
  <c r="L25" i="2"/>
  <c r="M25" i="2" s="1"/>
  <c r="N25" i="2" s="1"/>
  <c r="L26" i="2"/>
  <c r="M26" i="2" s="1"/>
  <c r="N26" i="2" s="1"/>
  <c r="L27" i="2"/>
  <c r="M27" i="2" s="1"/>
  <c r="N27" i="2" s="1"/>
  <c r="L28" i="2"/>
  <c r="M28" i="2" s="1"/>
  <c r="N28" i="2" s="1"/>
  <c r="L29" i="2"/>
  <c r="M29" i="2" s="1"/>
  <c r="N29" i="2" s="1"/>
  <c r="L30" i="2"/>
  <c r="M30" i="2" s="1"/>
  <c r="N30" i="2" s="1"/>
  <c r="L31" i="2"/>
  <c r="M31" i="2" s="1"/>
  <c r="N31" i="2" s="1"/>
  <c r="L32" i="2"/>
  <c r="M32" i="2" s="1"/>
  <c r="N32" i="2" s="1"/>
  <c r="S18" i="2"/>
  <c r="S16" i="2"/>
  <c r="S10" i="2"/>
  <c r="S2" i="2"/>
  <c r="O3" i="2"/>
  <c r="O4" i="2"/>
  <c r="O5" i="2"/>
  <c r="O6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" i="2"/>
  <c r="M22" i="2"/>
  <c r="N22" i="2" s="1"/>
  <c r="M23" i="2"/>
  <c r="N23" i="2" s="1"/>
  <c r="M24" i="2"/>
  <c r="N24" i="2" s="1"/>
  <c r="M13" i="2" l="1"/>
  <c r="N13" i="2" s="1"/>
  <c r="M14" i="2"/>
  <c r="N14" i="2" s="1"/>
  <c r="M15" i="2"/>
  <c r="N15" i="2" s="1"/>
  <c r="M16" i="2"/>
  <c r="N16" i="2" s="1"/>
  <c r="M12" i="2"/>
  <c r="N12" i="2" s="1"/>
  <c r="M11" i="2"/>
  <c r="N11" i="2" s="1"/>
  <c r="M10" i="2"/>
  <c r="N10" i="2" s="1"/>
  <c r="M9" i="2"/>
  <c r="N9" i="2" s="1"/>
  <c r="M7" i="2"/>
  <c r="N7" i="2" s="1"/>
  <c r="M8" i="2"/>
  <c r="N8" i="2" s="1"/>
  <c r="M6" i="2"/>
  <c r="N6" i="2" s="1"/>
  <c r="J6" i="2"/>
  <c r="M5" i="2"/>
  <c r="N5" i="2" s="1"/>
  <c r="J5" i="2"/>
  <c r="M4" i="2"/>
  <c r="N4" i="2" s="1"/>
  <c r="J4" i="2"/>
  <c r="M3" i="2"/>
  <c r="N3" i="2" s="1"/>
  <c r="J3" i="2"/>
  <c r="M2" i="2"/>
  <c r="N2" i="2" s="1"/>
  <c r="J2" i="2"/>
</calcChain>
</file>

<file path=xl/sharedStrings.xml><?xml version="1.0" encoding="utf-8"?>
<sst xmlns="http://schemas.openxmlformats.org/spreadsheetml/2006/main" count="309" uniqueCount="154">
  <si>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</si>
  <si>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</si>
  <si>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</si>
  <si>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</si>
  <si>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</si>
  <si>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</si>
  <si>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</si>
  <si>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</si>
  <si>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</si>
  <si>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</si>
  <si>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</si>
  <si>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</si>
  <si>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</si>
  <si>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</si>
  <si>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</si>
  <si>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</si>
  <si>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</si>
  <si>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</si>
  <si>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</si>
  <si>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</si>
  <si>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</si>
  <si>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</si>
  <si>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</si>
  <si>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</si>
  <si>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</si>
  <si>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</si>
  <si>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</si>
  <si>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</si>
  <si>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</si>
  <si>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</si>
  <si>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</si>
  <si>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</si>
  <si>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</si>
  <si>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</si>
  <si>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</si>
  <si>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</si>
  <si>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</si>
  <si>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</si>
  <si>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</si>
  <si>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</si>
  <si>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</si>
  <si>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</si>
  <si>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</si>
  <si>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</si>
  <si>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</si>
  <si>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</si>
  <si>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</si>
  <si>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</si>
  <si>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</si>
  <si>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</si>
  <si>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</si>
  <si>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</si>
  <si>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</si>
  <si>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</si>
  <si>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</si>
  <si>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</si>
  <si>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</si>
  <si>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</si>
  <si>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</si>
  <si>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</si>
  <si>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</si>
  <si>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</si>
  <si>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</si>
  <si>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</si>
  <si>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</si>
  <si>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</si>
  <si>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</si>
  <si>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</si>
  <si>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</si>
  <si>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</si>
  <si>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</si>
  <si>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</si>
  <si>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</si>
  <si>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</si>
  <si>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</si>
  <si>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</si>
  <si>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</si>
  <si>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</si>
  <si>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</si>
  <si>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</si>
  <si>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</si>
  <si>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</si>
  <si>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</si>
  <si>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</si>
  <si>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</si>
  <si>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</si>
  <si>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</si>
  <si>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</si>
  <si>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</si>
  <si>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</si>
  <si>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</si>
  <si>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</si>
  <si>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</si>
  <si>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</si>
  <si>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</si>
  <si>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</si>
  <si>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</si>
  <si>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</si>
  <si>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</si>
  <si>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</si>
  <si>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</si>
  <si>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</si>
  <si>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</si>
  <si>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</si>
  <si>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</si>
  <si>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candidate_for_submission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</si>
  <si>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</si>
  <si>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</si>
  <si>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</si>
  <si>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</si>
  <si>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</si>
  <si>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</si>
  <si>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</si>
  <si>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</si>
  <si>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</si>
  <si>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</si>
  <si>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</si>
  <si>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</si>
  <si>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</si>
  <si>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</si>
  <si>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</si>
  <si>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</si>
  <si>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</si>
  <si>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</si>
  <si>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</si>
  <si>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</si>
  <si>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</si>
  <si>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</si>
  <si>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</si>
  <si>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</si>
  <si>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</si>
  <si>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</si>
  <si>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</si>
  <si>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</si>
  <si>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</si>
  <si>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</si>
  <si>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</si>
  <si>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</si>
  <si>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</si>
  <si>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</si>
  <si>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</si>
  <si>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</si>
  <si>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</si>
  <si>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</si>
  <si>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</si>
  <si>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</si>
  <si>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</si>
  <si>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</si>
  <si>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</si>
  <si>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</si>
  <si>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</si>
  <si>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</si>
  <si>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TRUE</t>
  </si>
  <si>
    <t>FASTA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</si>
</sst>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sz val="11"/>
      <color theme="1"/>
      <name val="Aptos Narrow"/>
      <family val="2"/>
      <charset val="1"/>
    </font>
    <font>
      <b/>
      <sz val="11"/>
      <color rgb="FF000000"/>
      <name val="Aptos Narrow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7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18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68.534644097221" createdVersion="8" refreshedVersion="8" minRefreshableVersion="3" recordCount="31" xr:uid="{F849F4EE-A06F-6143-95E5-DE9F322614C7}">
  <cacheSource type="worksheet">
    <worksheetSource ref="A1:T32" sheet="Antibody Candidates"/>
  </cacheSource>
  <cacheFields count="20">
    <cacheField name="antibody_id" numFmtId="0">
      <sharedItems count="31">
        <s v="sbio-nipahgpg-001"/>
        <s v="sbio-nipahgpg-002"/>
        <s v="sbio-nipahgpg-003"/>
        <s v="sbio-nipahgpg-004"/>
        <s v="sbio-nipahgpg-005"/>
        <s v="sbio-nipahgpg-006"/>
        <s v="sbio-nipahgpg-007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</sharedItems>
    </cacheField>
    <cacheField name="method" numFmtId="0">
      <sharedItems count="4">
        <s v="peleke-1"/>
        <s v="General LLM"/>
        <s v="peleke-1 + ProteinMPNN"/>
        <s v="ProteinMPNN"/>
      </sharedItems>
    </cacheField>
    <cacheField name="model_version" numFmtId="0">
      <sharedItems/>
    </cacheField>
    <cacheField name="temperature" numFmtId="0">
      <sharedItems containsString="0" containsBlank="1" containsNumber="1" minValue="0.1" maxValue="0.9"/>
    </cacheField>
    <cacheField name="type" numFmtId="0">
      <sharedItems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/>
    </cacheField>
    <cacheField name="l_chain" numFmtId="0">
      <sharedItems/>
    </cacheField>
    <cacheField name="test_chotia_pass" numFmtId="0">
      <sharedItems/>
    </cacheField>
    <cacheField name="linker_seq" numFmtId="0">
      <sharedItems/>
    </cacheField>
    <cacheField name="franken_chain" numFmtId="0">
      <sharedItems count="31" longText="1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VGPRTTLTVSLRSGASVKMSCKASGYSFTWVRQKPGQGLEWVKISYDGLKDYTNYKFQGVKATITADKSSNTAYLQISNLTSEDTAVYFCSRRAVYYDYWGQGTTLTVSSGGGSGGGSGGGSGGGSVTVALGTVSLAPGTVSLRSCRASQSVSLSYLHWYQQKPGQAPLLVYGDNSKRPSGIPDRFSGSSSGNTASLTISGVQAEDEADYYCQSSDSSNWVFGGGTKLTVL"/>
        <s v="DRPSLTVKTSLTVSEPGSSISCASGIGTFSSYDFIVKQPSQGFDLEWIGGISYDSTYVNYSLKHRISRTIITNWKNTLQFTISLTSLKPASVYFDVWGAGTWISPYWGQGTTLTVSSSSAVSSFYVKNKGLDVWGHVITVNGGGSGGGSGGGSGGGSDIQLTQSPFLSLSPGSTASISCSGSSYDYTSGYRYKSSGKSPKPWMQRFLYSGSKRFSGVPERFIGSGTDFALTISRVEAEDVGFCSGWIFPFTFGPGTKVD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</sharedItems>
    </cacheField>
    <cacheField name="len_franken_chain" numFmtId="0">
      <sharedItems containsSemiMixedTypes="0" containsString="0" containsNumber="1" containsInteger="1" minValue="231" maxValue="261"/>
    </cacheField>
    <cacheField name="len_lte_250" numFmtId="0">
      <sharedItems/>
    </cacheField>
    <cacheField name="status_folded_boltz2" numFmtId="0">
      <sharedItems/>
    </cacheField>
    <cacheField name="status_folded_franken_boltz2" numFmtId="0">
      <sharedItems/>
    </cacheField>
    <cacheField name="max_ipsae" numFmtId="0">
      <sharedItems containsString="0" containsBlank="1" containsNumber="1" minValue="0" maxValue="0.64176299999999997"/>
    </cacheField>
    <cacheField name="min_ipsae" numFmtId="0">
      <sharedItems containsString="0" containsBlank="1" containsNumber="1" minValue="0" maxValue="0.69121100000000002"/>
    </cacheField>
    <cacheField name="candidate_for_submission" numFmtId="0">
      <sharedItems containsBlank="1" count="3">
        <b v="1"/>
        <b v="0"/>
        <m/>
      </sharedItems>
    </cacheField>
    <cacheField name="submitted_to_comp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  <m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  <m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  <m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  <m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  <m/>
  </r>
  <r>
    <x v="5"/>
    <x v="0"/>
    <s v="peleke-mistral-7b-instruct-v0.2"/>
    <m/>
    <s v="base"/>
    <m/>
    <m/>
    <s v="VGPRTTLTVSLRSGASVKMSCKASGYSFTWVRQKPGQGLEWVKISYDGLKDYTNYKFQGVKATITADKSSNTAYLQISNLTSEDTAVYFCSRRAVYYDYWGQGTTLTVSS"/>
    <s v="VTVALGTVSLAPGTVSLRSCRASQSVSLSYLHWYQQKPGQAPLLVYGDNSKRPSGIPDRFSGSSSGNTASLTISGVQAEDEADYYCQSSDSSNWVFGGGTKLTVL"/>
    <b v="0"/>
    <s v="GGGSGGGSGGGSGGGS"/>
    <x v="5"/>
    <n v="231"/>
    <b v="1"/>
    <b v="0"/>
    <b v="0"/>
    <m/>
    <m/>
    <x v="1"/>
    <m/>
  </r>
  <r>
    <x v="6"/>
    <x v="0"/>
    <s v="peleke-mistral-7b-instruct-v0.2"/>
    <m/>
    <s v="base"/>
    <m/>
    <m/>
    <s v="DRPSLTVKTSLTVSEPGSSISCASGIGTFSSYDFIVKQPSQGFDLEWIGGISYDSTYVNYSLKHRISRTIITNWKNTLQFTISLTSLKPASVYFDVWGAGTWISPYWGQGTTLTVSSSSAVSSFYVKNKGLDVWGHVITVN"/>
    <s v="DIQLTQSPFLSLSPGSTASISCSGSSYDYTSGYRYKSSGKSPKPWMQRFLYSGSKRFSGVPERFIGSGTDFALTISRVEAEDVGFCSGWIFPFTFGPGTKVDIK"/>
    <b v="0"/>
    <s v="GGGSGGGSGGGSGGGS"/>
    <x v="6"/>
    <n v="261"/>
    <b v="0"/>
    <b v="0"/>
    <b v="0"/>
    <m/>
    <m/>
    <x v="1"/>
    <m/>
  </r>
  <r>
    <x v="7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7"/>
    <n v="247"/>
    <b v="1"/>
    <b v="1"/>
    <b v="1"/>
    <n v="0"/>
    <n v="1.302E-2"/>
    <x v="1"/>
    <m/>
  </r>
  <r>
    <x v="8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8"/>
    <n v="246"/>
    <b v="1"/>
    <b v="1"/>
    <b v="1"/>
    <n v="5.2820000000000002E-3"/>
    <n v="8.6638999999999994E-2"/>
    <x v="0"/>
    <m/>
  </r>
  <r>
    <x v="9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9"/>
    <n v="246"/>
    <b v="1"/>
    <b v="1"/>
    <b v="1"/>
    <n v="0"/>
    <n v="0"/>
    <x v="1"/>
    <m/>
  </r>
  <r>
    <x v="10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10"/>
    <n v="246"/>
    <b v="1"/>
    <b v="1"/>
    <b v="1"/>
    <n v="0.116301"/>
    <n v="0.18454400000000001"/>
    <x v="0"/>
    <m/>
  </r>
  <r>
    <x v="11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11"/>
    <n v="246"/>
    <b v="1"/>
    <b v="1"/>
    <b v="1"/>
    <n v="0"/>
    <n v="4.8060000000000004E-3"/>
    <x v="0"/>
    <m/>
  </r>
  <r>
    <x v="12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2"/>
    <n v="247"/>
    <b v="1"/>
    <b v="1"/>
    <b v="1"/>
    <m/>
    <m/>
    <x v="2"/>
    <m/>
  </r>
  <r>
    <x v="13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3"/>
    <n v="246"/>
    <b v="1"/>
    <b v="1"/>
    <b v="1"/>
    <n v="0"/>
    <n v="0"/>
    <x v="1"/>
    <m/>
  </r>
  <r>
    <x v="14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4"/>
    <n v="246"/>
    <b v="1"/>
    <b v="1"/>
    <b v="1"/>
    <n v="5.7704999999999999E-2"/>
    <n v="0.165157"/>
    <x v="0"/>
    <m/>
  </r>
  <r>
    <x v="15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5"/>
    <n v="247"/>
    <b v="1"/>
    <b v="1"/>
    <b v="1"/>
    <m/>
    <m/>
    <x v="2"/>
    <m/>
  </r>
  <r>
    <x v="16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6"/>
    <n v="246"/>
    <b v="1"/>
    <b v="1"/>
    <b v="1"/>
    <n v="0.15156800000000001"/>
    <n v="0.23256399999999999"/>
    <x v="0"/>
    <m/>
  </r>
  <r>
    <x v="17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7"/>
    <n v="246"/>
    <b v="1"/>
    <b v="1"/>
    <b v="1"/>
    <n v="0"/>
    <n v="0"/>
    <x v="1"/>
    <m/>
  </r>
  <r>
    <x v="18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8"/>
    <n v="246"/>
    <b v="1"/>
    <b v="1"/>
    <b v="1"/>
    <n v="0"/>
    <n v="0"/>
    <x v="1"/>
    <m/>
  </r>
  <r>
    <x v="19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9"/>
    <n v="246"/>
    <b v="1"/>
    <b v="1"/>
    <b v="1"/>
    <n v="0"/>
    <n v="6.1079999999999997E-3"/>
    <x v="1"/>
    <m/>
  </r>
  <r>
    <x v="20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20"/>
    <n v="246"/>
    <b v="1"/>
    <b v="1"/>
    <b v="1"/>
    <n v="0"/>
    <n v="0"/>
    <x v="1"/>
    <m/>
  </r>
  <r>
    <x v="21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21"/>
    <n v="246"/>
    <b v="1"/>
    <b v="1"/>
    <b v="1"/>
    <n v="0"/>
    <n v="0"/>
    <x v="1"/>
    <m/>
  </r>
  <r>
    <x v="22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2"/>
    <n v="246"/>
    <b v="1"/>
    <b v="1"/>
    <b v="1"/>
    <n v="0"/>
    <n v="5.0870000000000004E-3"/>
    <x v="1"/>
    <m/>
  </r>
  <r>
    <x v="23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3"/>
    <n v="250"/>
    <b v="1"/>
    <b v="1"/>
    <b v="1"/>
    <m/>
    <m/>
    <x v="2"/>
    <m/>
  </r>
  <r>
    <x v="24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4"/>
    <n v="249"/>
    <b v="1"/>
    <b v="1"/>
    <b v="1"/>
    <n v="0.31751499999999999"/>
    <n v="0.405559"/>
    <x v="0"/>
    <m/>
  </r>
  <r>
    <x v="25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5"/>
    <n v="249"/>
    <b v="1"/>
    <b v="1"/>
    <b v="1"/>
    <n v="0.64176299999999997"/>
    <n v="0.69121100000000002"/>
    <x v="0"/>
    <m/>
  </r>
  <r>
    <x v="26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6"/>
    <n v="249"/>
    <b v="1"/>
    <b v="1"/>
    <b v="1"/>
    <n v="5.2189999999999997E-3"/>
    <n v="5.4400000000000004E-3"/>
    <x v="1"/>
    <m/>
  </r>
  <r>
    <x v="27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7"/>
    <n v="249"/>
    <b v="1"/>
    <b v="1"/>
    <b v="1"/>
    <n v="0"/>
    <n v="0"/>
    <x v="1"/>
    <m/>
  </r>
  <r>
    <x v="28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8"/>
    <n v="249"/>
    <b v="1"/>
    <b v="1"/>
    <b v="1"/>
    <n v="5.1520000000000003E-3"/>
    <n v="5.3605E-2"/>
    <x v="1"/>
    <m/>
  </r>
  <r>
    <x v="29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9"/>
    <n v="249"/>
    <b v="1"/>
    <b v="1"/>
    <b v="1"/>
    <n v="0.32629000000000002"/>
    <n v="0.41575699999999999"/>
    <x v="0"/>
    <m/>
  </r>
  <r>
    <x v="30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30"/>
    <n v="249"/>
    <b v="1"/>
    <b v="1"/>
    <b v="1"/>
    <n v="0.50901600000000002"/>
    <n v="0.56638100000000002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F0D312-8073-644F-BACB-C3BF6FDB30B2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3:C12" firstHeaderRow="0" firstDataRow="0" firstDataCol="3" rowPageCount="1" colPageCount="1"/>
  <pivotFields count="20">
    <pivotField axis="axisRow" compact="0" outline="0" showAll="0" defaultSubtota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compact="0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1">
        <item x="21"/>
        <item x="17"/>
        <item x="25"/>
        <item x="9"/>
        <item x="30"/>
        <item x="8"/>
        <item x="13"/>
        <item x="19"/>
        <item x="6"/>
        <item x="4"/>
        <item x="3"/>
        <item x="12"/>
        <item x="14"/>
        <item x="24"/>
        <item x="11"/>
        <item x="20"/>
        <item x="15"/>
        <item x="2"/>
        <item x="1"/>
        <item x="7"/>
        <item x="0"/>
        <item x="16"/>
        <item x="22"/>
        <item x="18"/>
        <item x="10"/>
        <item x="29"/>
        <item x="26"/>
        <item x="28"/>
        <item x="23"/>
        <item x="27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3">
    <field x="0"/>
    <field x="1"/>
    <field x="11"/>
  </rowFields>
  <rowItems count="10">
    <i>
      <x/>
      <x v="1"/>
      <x v="20"/>
    </i>
    <i>
      <x v="8"/>
      <x v="2"/>
      <x v="5"/>
    </i>
    <i>
      <x v="10"/>
      <x v="2"/>
      <x v="24"/>
    </i>
    <i>
      <x v="11"/>
      <x v="2"/>
      <x v="14"/>
    </i>
    <i>
      <x v="14"/>
      <x v="2"/>
      <x v="12"/>
    </i>
    <i>
      <x v="16"/>
      <x v="2"/>
      <x v="21"/>
    </i>
    <i>
      <x v="24"/>
      <x v="3"/>
      <x v="13"/>
    </i>
    <i>
      <x v="25"/>
      <x v="3"/>
      <x v="2"/>
    </i>
    <i>
      <x v="29"/>
      <x v="3"/>
      <x v="25"/>
    </i>
    <i>
      <x v="30"/>
      <x v="3"/>
      <x v="4"/>
    </i>
  </rowItems>
  <colItems count="1">
    <i/>
  </colItems>
  <pageFields count="1">
    <pageField fld="18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E1" zoomScaleNormal="100" workbookViewId="0">
      <selection activeCell="F1" sqref="F1:G1"/>
    </sheetView>
  </sheetViews>
  <sheetFormatPr baseColWidth="10" defaultColWidth="9.1640625" defaultRowHeight="15" x14ac:dyDescent="0.2"/>
  <cols>
    <col min="1" max="1" width="10.5" style="1" customWidth="1"/>
    <col min="2" max="2" width="14.5" style="1" customWidth="1"/>
    <col min="3" max="3" width="78.5" style="1" customWidth="1"/>
    <col min="4" max="4" width="44.1640625" style="1" customWidth="1"/>
    <col min="5" max="5" width="93.33203125" style="1" customWidth="1"/>
    <col min="6" max="1024" width="9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140</v>
      </c>
      <c r="G1" s="1" t="s">
        <v>141</v>
      </c>
    </row>
    <row r="2" spans="1:7" ht="96" x14ac:dyDescent="0.2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  <c r="F2" s="1">
        <v>0.79488899999999996</v>
      </c>
      <c r="G2" s="1">
        <v>0.72998799999999997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zoomScaleNormal="10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T29" sqref="T29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8.6640625" style="1" bestFit="1" customWidth="1"/>
    <col min="8" max="8" width="54" style="2" customWidth="1"/>
    <col min="9" max="9" width="42.1640625" style="2" customWidth="1"/>
    <col min="10" max="10" width="16" style="1" customWidth="1"/>
    <col min="11" max="11" width="12" style="2" customWidth="1"/>
    <col min="12" max="12" width="71.33203125" style="2" customWidth="1"/>
    <col min="13" max="13" width="17.5" style="1" bestFit="1" customWidth="1"/>
    <col min="14" max="14" width="17.5" style="1" customWidth="1"/>
    <col min="15" max="15" width="19.83203125" style="1" bestFit="1" customWidth="1"/>
    <col min="16" max="16" width="24.1640625" style="1" bestFit="1" customWidth="1"/>
    <col min="17" max="18" width="12" style="4" bestFit="1" customWidth="1"/>
    <col min="19" max="19" width="25" style="1" bestFit="1" customWidth="1"/>
    <col min="20" max="20" width="19.1640625" style="1" bestFit="1" customWidth="1"/>
    <col min="21" max="21" width="9.1640625" style="10"/>
    <col min="22" max="16384" width="9.1640625" style="1"/>
  </cols>
  <sheetData>
    <row r="1" spans="1:21" s="3" customFormat="1" ht="16" x14ac:dyDescent="0.2">
      <c r="A1" s="3" t="s">
        <v>10</v>
      </c>
      <c r="B1" s="3" t="s">
        <v>11</v>
      </c>
      <c r="C1" s="6" t="s">
        <v>12</v>
      </c>
      <c r="D1" s="3" t="s">
        <v>13</v>
      </c>
      <c r="E1" s="3" t="s">
        <v>48</v>
      </c>
      <c r="F1" s="3" t="s">
        <v>57</v>
      </c>
      <c r="G1" s="3" t="s">
        <v>104</v>
      </c>
      <c r="H1" s="6" t="s">
        <v>14</v>
      </c>
      <c r="I1" s="6" t="s">
        <v>15</v>
      </c>
      <c r="J1" s="3" t="s">
        <v>47</v>
      </c>
      <c r="K1" s="6" t="s">
        <v>132</v>
      </c>
      <c r="L1" s="6" t="s">
        <v>16</v>
      </c>
      <c r="M1" s="3" t="s">
        <v>17</v>
      </c>
      <c r="N1" s="3" t="s">
        <v>107</v>
      </c>
      <c r="O1" s="3" t="s">
        <v>103</v>
      </c>
      <c r="P1" s="3" t="s">
        <v>139</v>
      </c>
      <c r="Q1" s="11" t="s">
        <v>140</v>
      </c>
      <c r="R1" s="11" t="s">
        <v>141</v>
      </c>
      <c r="S1" s="3" t="s">
        <v>105</v>
      </c>
      <c r="T1" s="3" t="s">
        <v>106</v>
      </c>
      <c r="U1" s="8"/>
    </row>
    <row r="2" spans="1:21" ht="64" x14ac:dyDescent="0.2">
      <c r="A2" s="1" t="s">
        <v>18</v>
      </c>
      <c r="B2" s="1" t="s">
        <v>19</v>
      </c>
      <c r="C2" s="2" t="s">
        <v>20</v>
      </c>
      <c r="D2" s="4">
        <v>0.7</v>
      </c>
      <c r="E2" s="1" t="s">
        <v>49</v>
      </c>
      <c r="H2" s="2" t="s">
        <v>21</v>
      </c>
      <c r="I2" s="2" t="s">
        <v>22</v>
      </c>
      <c r="J2" s="1" t="b">
        <f>TRUE()</f>
        <v>1</v>
      </c>
      <c r="K2" s="2" t="s">
        <v>133</v>
      </c>
      <c r="L2" s="2" t="str">
        <f>_xlfn.CONCAT(H2,K2,I2)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M2" s="1">
        <f>LEN(L2)</f>
        <v>246</v>
      </c>
      <c r="N2" s="1" t="b">
        <f>IF(M2&lt;=250,TRUE,FALSE)</f>
        <v>1</v>
      </c>
      <c r="O2" s="1" t="b">
        <f>TRUE()</f>
        <v>1</v>
      </c>
      <c r="P2" s="1" t="b">
        <f>TRUE()</f>
        <v>1</v>
      </c>
      <c r="Q2" s="4">
        <v>0.25843100000000002</v>
      </c>
      <c r="R2" s="4">
        <v>0.33503300000000003</v>
      </c>
      <c r="S2" s="1" t="b">
        <f>TRUE()</f>
        <v>1</v>
      </c>
      <c r="T2" s="13">
        <v>45968</v>
      </c>
      <c r="U2" s="9"/>
    </row>
    <row r="3" spans="1:21" ht="64" x14ac:dyDescent="0.2">
      <c r="A3" s="1" t="s">
        <v>23</v>
      </c>
      <c r="B3" s="1" t="s">
        <v>19</v>
      </c>
      <c r="C3" s="2" t="s">
        <v>20</v>
      </c>
      <c r="D3" s="4">
        <v>0.7</v>
      </c>
      <c r="E3" s="1" t="s">
        <v>49</v>
      </c>
      <c r="H3" s="2" t="s">
        <v>24</v>
      </c>
      <c r="I3" s="2" t="s">
        <v>25</v>
      </c>
      <c r="J3" s="1" t="b">
        <f>TRUE()</f>
        <v>1</v>
      </c>
      <c r="K3" s="2" t="s">
        <v>133</v>
      </c>
      <c r="L3" s="2" t="str">
        <f t="shared" ref="L3:L32" si="0">_xlfn.CONCAT(H3,K3,I3)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M3" s="1">
        <f>LEN(L3)</f>
        <v>240</v>
      </c>
      <c r="N3" s="1" t="b">
        <f t="shared" ref="N3:N32" si="1">IF(M3&lt;=250,TRUE,FALSE)</f>
        <v>1</v>
      </c>
      <c r="O3" s="1" t="b">
        <f>TRUE()</f>
        <v>1</v>
      </c>
      <c r="P3" s="1" t="b">
        <f>TRUE()</f>
        <v>1</v>
      </c>
      <c r="Q3" s="4">
        <v>0</v>
      </c>
      <c r="R3" s="4">
        <v>5.4939999999999998E-3</v>
      </c>
      <c r="S3" s="1" t="b">
        <v>0</v>
      </c>
      <c r="U3" s="9"/>
    </row>
    <row r="4" spans="1:21" ht="64" x14ac:dyDescent="0.2">
      <c r="A4" s="1" t="s">
        <v>26</v>
      </c>
      <c r="B4" s="1" t="s">
        <v>19</v>
      </c>
      <c r="C4" s="2" t="s">
        <v>20</v>
      </c>
      <c r="D4" s="4">
        <v>0.9</v>
      </c>
      <c r="E4" s="1" t="s">
        <v>49</v>
      </c>
      <c r="H4" s="2" t="s">
        <v>27</v>
      </c>
      <c r="I4" s="2" t="s">
        <v>28</v>
      </c>
      <c r="J4" s="1" t="b">
        <f>TRUE()</f>
        <v>1</v>
      </c>
      <c r="K4" s="2" t="s">
        <v>133</v>
      </c>
      <c r="L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M4" s="1">
        <f>LEN(L4)</f>
        <v>239</v>
      </c>
      <c r="N4" s="1" t="b">
        <f t="shared" si="1"/>
        <v>1</v>
      </c>
      <c r="O4" s="1" t="b">
        <f>TRUE()</f>
        <v>1</v>
      </c>
      <c r="P4" s="1" t="b">
        <f>TRUE()</f>
        <v>1</v>
      </c>
      <c r="Q4" s="4">
        <v>0</v>
      </c>
      <c r="R4" s="4">
        <v>0</v>
      </c>
      <c r="S4" s="1" t="b">
        <v>0</v>
      </c>
      <c r="U4" s="9"/>
    </row>
    <row r="5" spans="1:21" ht="64" x14ac:dyDescent="0.2">
      <c r="A5" s="1" t="s">
        <v>29</v>
      </c>
      <c r="B5" s="1" t="s">
        <v>19</v>
      </c>
      <c r="C5" s="2" t="s">
        <v>20</v>
      </c>
      <c r="D5" s="4">
        <v>0.9</v>
      </c>
      <c r="E5" s="1" t="s">
        <v>49</v>
      </c>
      <c r="H5" s="2" t="s">
        <v>30</v>
      </c>
      <c r="I5" s="2" t="s">
        <v>31</v>
      </c>
      <c r="J5" s="1" t="b">
        <f>TRUE()</f>
        <v>1</v>
      </c>
      <c r="K5" s="2" t="s">
        <v>133</v>
      </c>
      <c r="L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M5" s="1">
        <f>LEN(L5)</f>
        <v>240</v>
      </c>
      <c r="N5" s="1" t="b">
        <f t="shared" si="1"/>
        <v>1</v>
      </c>
      <c r="O5" s="1" t="b">
        <f>TRUE()</f>
        <v>1</v>
      </c>
      <c r="P5" s="1" t="b">
        <f>TRUE()</f>
        <v>1</v>
      </c>
      <c r="Q5" s="4">
        <v>5.2389999999999997E-3</v>
      </c>
      <c r="R5" s="4">
        <v>8.0114000000000005E-2</v>
      </c>
      <c r="S5" s="1" t="b">
        <v>0</v>
      </c>
      <c r="U5" s="9"/>
    </row>
    <row r="6" spans="1:21" ht="64" x14ac:dyDescent="0.2">
      <c r="A6" s="1" t="s">
        <v>32</v>
      </c>
      <c r="B6" s="1" t="s">
        <v>19</v>
      </c>
      <c r="C6" s="2" t="s">
        <v>20</v>
      </c>
      <c r="D6" s="4">
        <v>0.5</v>
      </c>
      <c r="E6" s="1" t="s">
        <v>49</v>
      </c>
      <c r="H6" s="2" t="s">
        <v>33</v>
      </c>
      <c r="I6" s="2" t="s">
        <v>34</v>
      </c>
      <c r="J6" s="1" t="b">
        <f>TRUE()</f>
        <v>1</v>
      </c>
      <c r="K6" s="2" t="s">
        <v>133</v>
      </c>
      <c r="L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M6" s="1">
        <f>LEN(L6)</f>
        <v>238</v>
      </c>
      <c r="N6" s="1" t="b">
        <f t="shared" si="1"/>
        <v>1</v>
      </c>
      <c r="O6" s="1" t="b">
        <f>TRUE()</f>
        <v>1</v>
      </c>
      <c r="P6" s="1" t="b">
        <f>TRUE()</f>
        <v>1</v>
      </c>
      <c r="Q6" s="4">
        <v>0</v>
      </c>
      <c r="R6" s="4">
        <v>5.3489999999999996E-3</v>
      </c>
      <c r="S6" s="1" t="b">
        <v>0</v>
      </c>
      <c r="U6" s="9"/>
    </row>
    <row r="7" spans="1:21" ht="64" x14ac:dyDescent="0.2">
      <c r="A7" s="1" t="s">
        <v>35</v>
      </c>
      <c r="B7" s="1" t="s">
        <v>19</v>
      </c>
      <c r="C7" s="2" t="s">
        <v>36</v>
      </c>
      <c r="E7" s="1" t="s">
        <v>49</v>
      </c>
      <c r="H7" s="2" t="s">
        <v>37</v>
      </c>
      <c r="I7" s="5" t="s">
        <v>38</v>
      </c>
      <c r="J7" s="1" t="b">
        <v>0</v>
      </c>
      <c r="K7" s="2" t="s">
        <v>133</v>
      </c>
      <c r="L7" s="2" t="str">
        <f t="shared" si="0"/>
        <v>VGPRTTLTVSLRSGASVKMSCKASGYSFTWVRQKPGQGLEWVKISYDGLKDYTNYKFQGVKATITADKSSNTAYLQISNLTSEDTAVYFCSRRAVYYDYWGQGTTLTVSSGGGSGGGSGGGSGGGSVTVALGTVSLAPGTVSLRSCRASQSVSLSYLHWYQQKPGQAPLLVYGDNSKRPSGIPDRFSGSSSGNTASLTISGVQAEDEADYYCQSSDSSNWVFGGGTKLTVL</v>
      </c>
      <c r="M7" s="1">
        <f t="shared" ref="M7:M32" si="2">LEN(L7)</f>
        <v>231</v>
      </c>
      <c r="N7" s="1" t="b">
        <f t="shared" si="1"/>
        <v>1</v>
      </c>
      <c r="O7" s="1" t="b">
        <v>0</v>
      </c>
      <c r="P7" s="1" t="b">
        <v>0</v>
      </c>
      <c r="S7" s="1" t="b">
        <v>0</v>
      </c>
      <c r="U7" s="9"/>
    </row>
    <row r="8" spans="1:21" ht="64" x14ac:dyDescent="0.2">
      <c r="A8" s="1" t="s">
        <v>39</v>
      </c>
      <c r="B8" s="1" t="s">
        <v>19</v>
      </c>
      <c r="C8" s="2" t="s">
        <v>36</v>
      </c>
      <c r="E8" s="1" t="s">
        <v>49</v>
      </c>
      <c r="H8" s="2" t="s">
        <v>40</v>
      </c>
      <c r="I8" s="5" t="s">
        <v>41</v>
      </c>
      <c r="J8" s="1" t="b">
        <v>0</v>
      </c>
      <c r="K8" s="2" t="s">
        <v>133</v>
      </c>
      <c r="L8" s="2" t="str">
        <f t="shared" si="0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M8" s="1">
        <f t="shared" si="2"/>
        <v>261</v>
      </c>
      <c r="N8" s="1" t="b">
        <f t="shared" si="1"/>
        <v>0</v>
      </c>
      <c r="O8" s="1" t="b">
        <v>0</v>
      </c>
      <c r="P8" s="1" t="b">
        <v>0</v>
      </c>
      <c r="S8" s="1" t="b">
        <v>0</v>
      </c>
      <c r="U8" s="9"/>
    </row>
    <row r="9" spans="1:21" ht="64" x14ac:dyDescent="0.2">
      <c r="A9" s="1" t="s">
        <v>44</v>
      </c>
      <c r="B9" s="1" t="s">
        <v>42</v>
      </c>
      <c r="C9" s="2" t="s">
        <v>43</v>
      </c>
      <c r="E9" s="1" t="s">
        <v>49</v>
      </c>
      <c r="H9" s="2" t="s">
        <v>45</v>
      </c>
      <c r="I9" s="2" t="s">
        <v>46</v>
      </c>
      <c r="J9" s="1" t="b">
        <v>1</v>
      </c>
      <c r="K9" s="2" t="s">
        <v>133</v>
      </c>
      <c r="L9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M9" s="1">
        <f t="shared" si="2"/>
        <v>247</v>
      </c>
      <c r="N9" s="1" t="b">
        <f t="shared" si="1"/>
        <v>1</v>
      </c>
      <c r="O9" s="1" t="b">
        <f>TRUE()</f>
        <v>1</v>
      </c>
      <c r="P9" s="1" t="b">
        <f>TRUE()</f>
        <v>1</v>
      </c>
      <c r="Q9" s="4">
        <v>0</v>
      </c>
      <c r="R9" s="4">
        <v>1.302E-2</v>
      </c>
      <c r="S9" s="1" t="b">
        <v>0</v>
      </c>
      <c r="U9" s="9"/>
    </row>
    <row r="10" spans="1:21" ht="64" x14ac:dyDescent="0.2">
      <c r="A10" s="1" t="s">
        <v>50</v>
      </c>
      <c r="B10" s="1" t="s">
        <v>58</v>
      </c>
      <c r="C10" s="2" t="s">
        <v>59</v>
      </c>
      <c r="D10" s="4">
        <v>0.1</v>
      </c>
      <c r="E10" s="1" t="s">
        <v>56</v>
      </c>
      <c r="F10" s="1" t="s">
        <v>18</v>
      </c>
      <c r="G10" s="1">
        <v>1</v>
      </c>
      <c r="H10" s="2" t="s">
        <v>61</v>
      </c>
      <c r="I10" s="2" t="s">
        <v>62</v>
      </c>
      <c r="J10" s="1" t="b">
        <v>1</v>
      </c>
      <c r="K10" s="2" t="s">
        <v>133</v>
      </c>
      <c r="L10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M10" s="1">
        <f t="shared" si="2"/>
        <v>246</v>
      </c>
      <c r="N10" s="1" t="b">
        <f t="shared" si="1"/>
        <v>1</v>
      </c>
      <c r="O10" s="1" t="b">
        <f>TRUE()</f>
        <v>1</v>
      </c>
      <c r="P10" s="1" t="b">
        <f>TRUE()</f>
        <v>1</v>
      </c>
      <c r="Q10" s="4">
        <v>5.2820000000000002E-3</v>
      </c>
      <c r="R10" s="4">
        <v>8.6638999999999994E-2</v>
      </c>
      <c r="S10" s="1" t="b">
        <f>TRUE()</f>
        <v>1</v>
      </c>
      <c r="T10" s="13">
        <v>45968</v>
      </c>
      <c r="U10" s="9"/>
    </row>
    <row r="11" spans="1:21" ht="64" x14ac:dyDescent="0.2">
      <c r="A11" s="1" t="s">
        <v>51</v>
      </c>
      <c r="B11" s="1" t="s">
        <v>58</v>
      </c>
      <c r="C11" s="2" t="s">
        <v>59</v>
      </c>
      <c r="D11" s="4">
        <v>0.1</v>
      </c>
      <c r="E11" s="1" t="s">
        <v>56</v>
      </c>
      <c r="F11" s="1" t="s">
        <v>18</v>
      </c>
      <c r="G11" s="1">
        <v>1</v>
      </c>
      <c r="H11" s="2" t="s">
        <v>63</v>
      </c>
      <c r="I11" s="2" t="s">
        <v>64</v>
      </c>
      <c r="J11" s="1" t="b">
        <v>1</v>
      </c>
      <c r="K11" s="2" t="s">
        <v>133</v>
      </c>
      <c r="L11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M11" s="1">
        <f t="shared" si="2"/>
        <v>246</v>
      </c>
      <c r="N11" s="1" t="b">
        <f t="shared" si="1"/>
        <v>1</v>
      </c>
      <c r="O11" s="1" t="b">
        <f>TRUE()</f>
        <v>1</v>
      </c>
      <c r="P11" s="1" t="b">
        <f>TRUE()</f>
        <v>1</v>
      </c>
      <c r="Q11" s="4">
        <v>0</v>
      </c>
      <c r="R11" s="4">
        <v>0</v>
      </c>
      <c r="S11" s="1" t="b">
        <v>0</v>
      </c>
      <c r="U11" s="9"/>
    </row>
    <row r="12" spans="1:21" ht="64" x14ac:dyDescent="0.2">
      <c r="A12" s="1" t="s">
        <v>52</v>
      </c>
      <c r="B12" s="1" t="s">
        <v>58</v>
      </c>
      <c r="C12" s="2" t="s">
        <v>59</v>
      </c>
      <c r="D12" s="4">
        <v>0.1</v>
      </c>
      <c r="E12" s="1" t="s">
        <v>56</v>
      </c>
      <c r="F12" s="1" t="s">
        <v>18</v>
      </c>
      <c r="G12" s="1">
        <v>1</v>
      </c>
      <c r="H12" s="2" t="s">
        <v>65</v>
      </c>
      <c r="I12" s="2" t="s">
        <v>66</v>
      </c>
      <c r="J12" s="1" t="b">
        <v>1</v>
      </c>
      <c r="K12" s="2" t="s">
        <v>133</v>
      </c>
      <c r="L12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M12" s="1">
        <f t="shared" si="2"/>
        <v>246</v>
      </c>
      <c r="N12" s="1" t="b">
        <f t="shared" si="1"/>
        <v>1</v>
      </c>
      <c r="O12" s="1" t="b">
        <f>TRUE()</f>
        <v>1</v>
      </c>
      <c r="P12" s="1" t="b">
        <f>TRUE()</f>
        <v>1</v>
      </c>
      <c r="Q12" s="4">
        <v>0.116301</v>
      </c>
      <c r="R12" s="4">
        <v>0.18454400000000001</v>
      </c>
      <c r="S12" s="1" t="b">
        <v>1</v>
      </c>
      <c r="T12" s="13">
        <v>45968</v>
      </c>
      <c r="U12" s="9"/>
    </row>
    <row r="13" spans="1:21" ht="64" x14ac:dyDescent="0.2">
      <c r="A13" s="1" t="s">
        <v>53</v>
      </c>
      <c r="B13" s="1" t="s">
        <v>58</v>
      </c>
      <c r="C13" s="2" t="s">
        <v>59</v>
      </c>
      <c r="D13" s="4">
        <v>0.1</v>
      </c>
      <c r="E13" s="1" t="s">
        <v>56</v>
      </c>
      <c r="F13" s="1" t="s">
        <v>18</v>
      </c>
      <c r="G13" s="1">
        <v>1</v>
      </c>
      <c r="H13" s="2" t="s">
        <v>69</v>
      </c>
      <c r="I13" s="2" t="s">
        <v>70</v>
      </c>
      <c r="J13" s="1" t="b">
        <v>1</v>
      </c>
      <c r="K13" s="2" t="s">
        <v>133</v>
      </c>
      <c r="L13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M13" s="1">
        <f t="shared" si="2"/>
        <v>246</v>
      </c>
      <c r="N13" s="1" t="b">
        <f t="shared" si="1"/>
        <v>1</v>
      </c>
      <c r="O13" s="1" t="b">
        <f>TRUE()</f>
        <v>1</v>
      </c>
      <c r="P13" s="1" t="b">
        <f>TRUE()</f>
        <v>1</v>
      </c>
      <c r="Q13" s="4">
        <v>0</v>
      </c>
      <c r="R13" s="4">
        <v>4.8060000000000004E-3</v>
      </c>
      <c r="S13" s="1" t="b">
        <v>1</v>
      </c>
      <c r="T13" s="13">
        <v>45968</v>
      </c>
      <c r="U13" s="9"/>
    </row>
    <row r="14" spans="1:21" ht="64" x14ac:dyDescent="0.2">
      <c r="A14" s="1" t="s">
        <v>54</v>
      </c>
      <c r="B14" s="1" t="s">
        <v>58</v>
      </c>
      <c r="C14" s="2" t="s">
        <v>59</v>
      </c>
      <c r="D14" s="4">
        <v>0.1</v>
      </c>
      <c r="E14" s="1" t="s">
        <v>56</v>
      </c>
      <c r="F14" s="1" t="s">
        <v>18</v>
      </c>
      <c r="G14" s="1">
        <v>1</v>
      </c>
      <c r="H14" s="2" t="s">
        <v>71</v>
      </c>
      <c r="I14" s="2" t="s">
        <v>72</v>
      </c>
      <c r="J14" s="1" t="b">
        <v>1</v>
      </c>
      <c r="K14" s="2" t="s">
        <v>133</v>
      </c>
      <c r="L14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M14" s="1">
        <f t="shared" si="2"/>
        <v>247</v>
      </c>
      <c r="N14" s="1" t="b">
        <f t="shared" si="1"/>
        <v>1</v>
      </c>
      <c r="O14" s="1" t="b">
        <f>TRUE()</f>
        <v>1</v>
      </c>
      <c r="P14" s="1" t="b">
        <f>TRUE()</f>
        <v>1</v>
      </c>
      <c r="U14" s="9"/>
    </row>
    <row r="15" spans="1:21" ht="64" x14ac:dyDescent="0.2">
      <c r="A15" s="1" t="s">
        <v>55</v>
      </c>
      <c r="B15" s="1" t="s">
        <v>58</v>
      </c>
      <c r="C15" s="2" t="s">
        <v>59</v>
      </c>
      <c r="D15" s="4">
        <v>0.1</v>
      </c>
      <c r="E15" s="1" t="s">
        <v>56</v>
      </c>
      <c r="F15" s="1" t="s">
        <v>18</v>
      </c>
      <c r="G15" s="1">
        <v>1</v>
      </c>
      <c r="H15" s="2" t="s">
        <v>73</v>
      </c>
      <c r="I15" s="2" t="s">
        <v>74</v>
      </c>
      <c r="J15" s="1" t="b">
        <v>1</v>
      </c>
      <c r="K15" s="2" t="s">
        <v>133</v>
      </c>
      <c r="L15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M15" s="1">
        <f t="shared" si="2"/>
        <v>246</v>
      </c>
      <c r="N15" s="1" t="b">
        <f t="shared" si="1"/>
        <v>1</v>
      </c>
      <c r="O15" s="1" t="b">
        <f>TRUE()</f>
        <v>1</v>
      </c>
      <c r="P15" s="1" t="b">
        <f>TRUE()</f>
        <v>1</v>
      </c>
      <c r="Q15" s="4">
        <v>0</v>
      </c>
      <c r="R15" s="4">
        <v>0</v>
      </c>
      <c r="S15" s="1" t="b">
        <v>0</v>
      </c>
      <c r="U15" s="9"/>
    </row>
    <row r="16" spans="1:21" ht="64" x14ac:dyDescent="0.2">
      <c r="A16" s="1" t="s">
        <v>60</v>
      </c>
      <c r="B16" s="1" t="s">
        <v>58</v>
      </c>
      <c r="C16" s="2" t="s">
        <v>59</v>
      </c>
      <c r="D16" s="4">
        <v>0.1</v>
      </c>
      <c r="E16" s="1" t="s">
        <v>56</v>
      </c>
      <c r="F16" s="1" t="s">
        <v>18</v>
      </c>
      <c r="G16" s="1">
        <v>1</v>
      </c>
      <c r="H16" s="2" t="s">
        <v>67</v>
      </c>
      <c r="I16" s="2" t="s">
        <v>68</v>
      </c>
      <c r="J16" s="1" t="b">
        <v>1</v>
      </c>
      <c r="K16" s="2" t="s">
        <v>133</v>
      </c>
      <c r="L16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M16" s="1">
        <f t="shared" si="2"/>
        <v>246</v>
      </c>
      <c r="N16" s="1" t="b">
        <f t="shared" si="1"/>
        <v>1</v>
      </c>
      <c r="O16" s="1" t="b">
        <f>TRUE()</f>
        <v>1</v>
      </c>
      <c r="P16" s="1" t="b">
        <f>TRUE()</f>
        <v>1</v>
      </c>
      <c r="Q16" s="4">
        <v>5.7704999999999999E-2</v>
      </c>
      <c r="R16" s="4">
        <v>0.165157</v>
      </c>
      <c r="S16" s="1" t="b">
        <f>TRUE()</f>
        <v>1</v>
      </c>
      <c r="T16" s="13">
        <v>45968</v>
      </c>
      <c r="U16" s="9"/>
    </row>
    <row r="17" spans="1:21" ht="64" x14ac:dyDescent="0.2">
      <c r="A17" s="1" t="s">
        <v>76</v>
      </c>
      <c r="B17" s="1" t="s">
        <v>58</v>
      </c>
      <c r="C17" s="2" t="s">
        <v>75</v>
      </c>
      <c r="D17" s="4">
        <v>0.15</v>
      </c>
      <c r="E17" s="1" t="s">
        <v>56</v>
      </c>
      <c r="F17" s="1" t="s">
        <v>18</v>
      </c>
      <c r="G17" s="1">
        <v>1</v>
      </c>
      <c r="H17" s="2" t="s">
        <v>84</v>
      </c>
      <c r="I17" s="2" t="s">
        <v>85</v>
      </c>
      <c r="J17" s="1" t="b">
        <v>1</v>
      </c>
      <c r="K17" s="2" t="s">
        <v>133</v>
      </c>
      <c r="L17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M17" s="1">
        <f t="shared" si="2"/>
        <v>247</v>
      </c>
      <c r="N17" s="1" t="b">
        <f t="shared" si="1"/>
        <v>1</v>
      </c>
      <c r="O17" s="1" t="b">
        <f>TRUE()</f>
        <v>1</v>
      </c>
      <c r="P17" s="1" t="b">
        <f>TRUE()</f>
        <v>1</v>
      </c>
      <c r="U17" s="9"/>
    </row>
    <row r="18" spans="1:21" ht="64" x14ac:dyDescent="0.2">
      <c r="A18" s="1" t="s">
        <v>77</v>
      </c>
      <c r="B18" s="1" t="s">
        <v>58</v>
      </c>
      <c r="C18" s="2" t="s">
        <v>75</v>
      </c>
      <c r="D18" s="4">
        <v>0.15</v>
      </c>
      <c r="E18" s="1" t="s">
        <v>56</v>
      </c>
      <c r="F18" s="1" t="s">
        <v>18</v>
      </c>
      <c r="G18" s="1">
        <v>1</v>
      </c>
      <c r="H18" s="2" t="s">
        <v>86</v>
      </c>
      <c r="I18" s="2" t="s">
        <v>87</v>
      </c>
      <c r="J18" s="1" t="b">
        <v>1</v>
      </c>
      <c r="K18" s="2" t="s">
        <v>133</v>
      </c>
      <c r="L18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M18" s="1">
        <f t="shared" si="2"/>
        <v>246</v>
      </c>
      <c r="N18" s="1" t="b">
        <f t="shared" si="1"/>
        <v>1</v>
      </c>
      <c r="O18" s="1" t="b">
        <f>TRUE()</f>
        <v>1</v>
      </c>
      <c r="P18" s="1" t="b">
        <f>TRUE()</f>
        <v>1</v>
      </c>
      <c r="Q18" s="4">
        <v>0.15156800000000001</v>
      </c>
      <c r="R18" s="4">
        <v>0.23256399999999999</v>
      </c>
      <c r="S18" s="1" t="b">
        <f>TRUE()</f>
        <v>1</v>
      </c>
      <c r="T18" s="13">
        <v>45968</v>
      </c>
      <c r="U18" s="9"/>
    </row>
    <row r="19" spans="1:21" ht="64" x14ac:dyDescent="0.2">
      <c r="A19" s="1" t="s">
        <v>78</v>
      </c>
      <c r="B19" s="1" t="s">
        <v>58</v>
      </c>
      <c r="C19" s="2" t="s">
        <v>75</v>
      </c>
      <c r="D19" s="4">
        <v>0.15</v>
      </c>
      <c r="E19" s="1" t="s">
        <v>56</v>
      </c>
      <c r="F19" s="1" t="s">
        <v>18</v>
      </c>
      <c r="G19" s="1">
        <v>1</v>
      </c>
      <c r="H19" s="2" t="s">
        <v>88</v>
      </c>
      <c r="I19" s="2" t="s">
        <v>89</v>
      </c>
      <c r="J19" s="1" t="b">
        <v>1</v>
      </c>
      <c r="K19" s="2" t="s">
        <v>133</v>
      </c>
      <c r="L19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M19" s="1">
        <f t="shared" si="2"/>
        <v>246</v>
      </c>
      <c r="N19" s="1" t="b">
        <f t="shared" si="1"/>
        <v>1</v>
      </c>
      <c r="O19" s="1" t="b">
        <f>TRUE()</f>
        <v>1</v>
      </c>
      <c r="P19" s="1" t="b">
        <f>TRUE()</f>
        <v>1</v>
      </c>
      <c r="Q19" s="4">
        <v>0</v>
      </c>
      <c r="R19" s="4">
        <v>0</v>
      </c>
      <c r="S19" s="1" t="b">
        <v>0</v>
      </c>
      <c r="U19" s="9"/>
    </row>
    <row r="20" spans="1:21" ht="64" x14ac:dyDescent="0.2">
      <c r="A20" s="1" t="s">
        <v>79</v>
      </c>
      <c r="B20" s="1" t="s">
        <v>58</v>
      </c>
      <c r="C20" s="2" t="s">
        <v>75</v>
      </c>
      <c r="D20" s="4">
        <v>0.15</v>
      </c>
      <c r="E20" s="1" t="s">
        <v>56</v>
      </c>
      <c r="F20" s="1" t="s">
        <v>18</v>
      </c>
      <c r="G20" s="1">
        <v>1</v>
      </c>
      <c r="H20" s="2" t="s">
        <v>90</v>
      </c>
      <c r="I20" s="2" t="s">
        <v>91</v>
      </c>
      <c r="J20" s="1" t="b">
        <v>1</v>
      </c>
      <c r="K20" s="2" t="s">
        <v>133</v>
      </c>
      <c r="L20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M20" s="1">
        <f t="shared" si="2"/>
        <v>246</v>
      </c>
      <c r="N20" s="1" t="b">
        <f t="shared" si="1"/>
        <v>1</v>
      </c>
      <c r="O20" s="1" t="b">
        <f>TRUE()</f>
        <v>1</v>
      </c>
      <c r="P20" s="1" t="b">
        <f>TRUE()</f>
        <v>1</v>
      </c>
      <c r="Q20" s="4">
        <v>0</v>
      </c>
      <c r="R20" s="4">
        <v>0</v>
      </c>
      <c r="S20" s="1" t="b">
        <v>0</v>
      </c>
      <c r="U20" s="9"/>
    </row>
    <row r="21" spans="1:21" ht="64" x14ac:dyDescent="0.2">
      <c r="A21" s="1" t="s">
        <v>80</v>
      </c>
      <c r="B21" s="1" t="s">
        <v>58</v>
      </c>
      <c r="C21" s="2" t="s">
        <v>75</v>
      </c>
      <c r="D21" s="4">
        <v>0.15</v>
      </c>
      <c r="E21" s="1" t="s">
        <v>56</v>
      </c>
      <c r="F21" s="1" t="s">
        <v>18</v>
      </c>
      <c r="G21" s="1">
        <v>1</v>
      </c>
      <c r="H21" s="2" t="s">
        <v>92</v>
      </c>
      <c r="I21" s="2" t="s">
        <v>93</v>
      </c>
      <c r="J21" s="1" t="b">
        <v>1</v>
      </c>
      <c r="K21" s="2" t="s">
        <v>133</v>
      </c>
      <c r="L21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M21" s="1">
        <f t="shared" si="2"/>
        <v>246</v>
      </c>
      <c r="N21" s="1" t="b">
        <f t="shared" si="1"/>
        <v>1</v>
      </c>
      <c r="O21" s="1" t="b">
        <f>TRUE()</f>
        <v>1</v>
      </c>
      <c r="P21" s="1" t="b">
        <f>TRUE()</f>
        <v>1</v>
      </c>
      <c r="Q21" s="4">
        <v>0</v>
      </c>
      <c r="R21" s="4">
        <v>6.1079999999999997E-3</v>
      </c>
      <c r="S21" s="1" t="b">
        <v>0</v>
      </c>
      <c r="U21" s="9"/>
    </row>
    <row r="22" spans="1:21" ht="64" x14ac:dyDescent="0.2">
      <c r="A22" s="1" t="s">
        <v>81</v>
      </c>
      <c r="B22" s="1" t="s">
        <v>58</v>
      </c>
      <c r="C22" s="2" t="s">
        <v>75</v>
      </c>
      <c r="D22" s="4">
        <v>0.15</v>
      </c>
      <c r="E22" s="1" t="s">
        <v>56</v>
      </c>
      <c r="F22" s="1" t="s">
        <v>18</v>
      </c>
      <c r="G22" s="1">
        <v>1</v>
      </c>
      <c r="H22" s="2" t="s">
        <v>94</v>
      </c>
      <c r="I22" s="2" t="s">
        <v>95</v>
      </c>
      <c r="J22" s="1" t="b">
        <v>1</v>
      </c>
      <c r="K22" s="2" t="s">
        <v>133</v>
      </c>
      <c r="L22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M22" s="1">
        <f t="shared" si="2"/>
        <v>246</v>
      </c>
      <c r="N22" s="1" t="b">
        <f t="shared" si="1"/>
        <v>1</v>
      </c>
      <c r="O22" s="1" t="b">
        <f>TRUE()</f>
        <v>1</v>
      </c>
      <c r="P22" s="1" t="b">
        <f>TRUE()</f>
        <v>1</v>
      </c>
      <c r="Q22" s="4">
        <v>0</v>
      </c>
      <c r="R22" s="4">
        <v>0</v>
      </c>
      <c r="S22" s="1" t="b">
        <v>0</v>
      </c>
      <c r="U22" s="9"/>
    </row>
    <row r="23" spans="1:21" ht="64" x14ac:dyDescent="0.2">
      <c r="A23" s="1" t="s">
        <v>82</v>
      </c>
      <c r="B23" s="1" t="s">
        <v>58</v>
      </c>
      <c r="C23" s="2" t="s">
        <v>75</v>
      </c>
      <c r="D23" s="4">
        <v>0.15</v>
      </c>
      <c r="E23" s="1" t="s">
        <v>56</v>
      </c>
      <c r="F23" s="1" t="s">
        <v>18</v>
      </c>
      <c r="G23" s="1">
        <v>1</v>
      </c>
      <c r="H23" s="2" t="s">
        <v>96</v>
      </c>
      <c r="I23" s="2" t="s">
        <v>97</v>
      </c>
      <c r="J23" s="1" t="b">
        <v>1</v>
      </c>
      <c r="K23" s="2" t="s">
        <v>133</v>
      </c>
      <c r="L23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M23" s="1">
        <f t="shared" si="2"/>
        <v>246</v>
      </c>
      <c r="N23" s="1" t="b">
        <f t="shared" si="1"/>
        <v>1</v>
      </c>
      <c r="O23" s="1" t="b">
        <f>TRUE()</f>
        <v>1</v>
      </c>
      <c r="P23" s="1" t="b">
        <f>TRUE()</f>
        <v>1</v>
      </c>
      <c r="Q23" s="4">
        <v>0</v>
      </c>
      <c r="R23" s="4">
        <v>0</v>
      </c>
      <c r="S23" s="1" t="b">
        <v>0</v>
      </c>
      <c r="U23" s="9"/>
    </row>
    <row r="24" spans="1:21" ht="64" x14ac:dyDescent="0.2">
      <c r="A24" s="1" t="s">
        <v>83</v>
      </c>
      <c r="B24" s="1" t="s">
        <v>58</v>
      </c>
      <c r="C24" s="2" t="s">
        <v>75</v>
      </c>
      <c r="D24" s="4">
        <v>0.15</v>
      </c>
      <c r="E24" s="1" t="s">
        <v>56</v>
      </c>
      <c r="F24" s="1" t="s">
        <v>18</v>
      </c>
      <c r="G24" s="1">
        <v>1</v>
      </c>
      <c r="H24" s="2" t="s">
        <v>98</v>
      </c>
      <c r="I24" s="2" t="s">
        <v>99</v>
      </c>
      <c r="J24" s="1" t="b">
        <v>1</v>
      </c>
      <c r="K24" s="2" t="s">
        <v>133</v>
      </c>
      <c r="L24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M24" s="1">
        <f t="shared" si="2"/>
        <v>246</v>
      </c>
      <c r="N24" s="1" t="b">
        <f t="shared" si="1"/>
        <v>1</v>
      </c>
      <c r="O24" s="1" t="b">
        <f>TRUE()</f>
        <v>1</v>
      </c>
      <c r="P24" s="1" t="b">
        <f>TRUE()</f>
        <v>1</v>
      </c>
      <c r="Q24" s="4">
        <v>0</v>
      </c>
      <c r="R24" s="4">
        <v>5.0870000000000004E-3</v>
      </c>
      <c r="S24" s="1" t="b">
        <v>0</v>
      </c>
      <c r="U24" s="9"/>
    </row>
    <row r="25" spans="1:21" ht="64" x14ac:dyDescent="0.2">
      <c r="A25" s="1" t="s">
        <v>109</v>
      </c>
      <c r="B25" s="1" t="s">
        <v>117</v>
      </c>
      <c r="C25" s="2" t="s">
        <v>118</v>
      </c>
      <c r="D25" s="4">
        <v>0.1</v>
      </c>
      <c r="E25" s="1" t="s">
        <v>56</v>
      </c>
      <c r="F25" s="1" t="s">
        <v>108</v>
      </c>
      <c r="G25" s="1">
        <v>2</v>
      </c>
      <c r="H25" s="2" t="s">
        <v>121</v>
      </c>
      <c r="I25" s="2" t="s">
        <v>123</v>
      </c>
      <c r="J25" s="1" t="b">
        <v>1</v>
      </c>
      <c r="K25" s="2" t="s">
        <v>134</v>
      </c>
      <c r="L25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M25" s="1">
        <f t="shared" si="2"/>
        <v>250</v>
      </c>
      <c r="N25" s="1" t="b">
        <f t="shared" si="1"/>
        <v>1</v>
      </c>
      <c r="O25" s="1" t="b">
        <f>TRUE()</f>
        <v>1</v>
      </c>
      <c r="P25" s="1" t="b">
        <f>TRUE()</f>
        <v>1</v>
      </c>
      <c r="U25" s="9"/>
    </row>
    <row r="26" spans="1:21" ht="64" x14ac:dyDescent="0.2">
      <c r="A26" s="1" t="s">
        <v>110</v>
      </c>
      <c r="B26" s="1" t="s">
        <v>117</v>
      </c>
      <c r="C26" s="2" t="s">
        <v>118</v>
      </c>
      <c r="D26" s="4">
        <v>0.1</v>
      </c>
      <c r="E26" s="1" t="s">
        <v>56</v>
      </c>
      <c r="F26" s="1" t="s">
        <v>108</v>
      </c>
      <c r="G26" s="1">
        <v>2</v>
      </c>
      <c r="H26" s="2" t="s">
        <v>124</v>
      </c>
      <c r="I26" s="2" t="s">
        <v>122</v>
      </c>
      <c r="J26" s="1" t="b">
        <v>1</v>
      </c>
      <c r="K26" s="2" t="s">
        <v>134</v>
      </c>
      <c r="L26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M26" s="1">
        <f t="shared" si="2"/>
        <v>249</v>
      </c>
      <c r="N26" s="1" t="b">
        <f t="shared" si="1"/>
        <v>1</v>
      </c>
      <c r="O26" s="1" t="b">
        <f>TRUE()</f>
        <v>1</v>
      </c>
      <c r="P26" s="1" t="b">
        <f>TRUE()</f>
        <v>1</v>
      </c>
      <c r="Q26" s="4">
        <v>0.31751499999999999</v>
      </c>
      <c r="R26" s="4">
        <v>0.405559</v>
      </c>
      <c r="S26" s="1" t="b">
        <v>1</v>
      </c>
      <c r="T26" s="13">
        <v>45968</v>
      </c>
      <c r="U26" s="9"/>
    </row>
    <row r="27" spans="1:21" ht="64" x14ac:dyDescent="0.2">
      <c r="A27" s="1" t="s">
        <v>111</v>
      </c>
      <c r="B27" s="1" t="s">
        <v>117</v>
      </c>
      <c r="C27" s="2" t="s">
        <v>118</v>
      </c>
      <c r="D27" s="4">
        <v>0.1</v>
      </c>
      <c r="E27" s="1" t="s">
        <v>56</v>
      </c>
      <c r="F27" s="1" t="s">
        <v>108</v>
      </c>
      <c r="G27" s="1">
        <v>2</v>
      </c>
      <c r="H27" s="2" t="s">
        <v>125</v>
      </c>
      <c r="I27" s="2" t="s">
        <v>126</v>
      </c>
      <c r="J27" s="1" t="b">
        <v>1</v>
      </c>
      <c r="K27" s="2" t="s">
        <v>134</v>
      </c>
      <c r="L27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M27" s="1">
        <f t="shared" si="2"/>
        <v>249</v>
      </c>
      <c r="N27" s="1" t="b">
        <f t="shared" si="1"/>
        <v>1</v>
      </c>
      <c r="O27" s="1" t="b">
        <f>TRUE()</f>
        <v>1</v>
      </c>
      <c r="P27" s="1" t="b">
        <f>TRUE()</f>
        <v>1</v>
      </c>
      <c r="Q27" s="4">
        <v>0.64176299999999997</v>
      </c>
      <c r="R27" s="4">
        <v>0.69121100000000002</v>
      </c>
      <c r="S27" s="1" t="b">
        <v>1</v>
      </c>
      <c r="T27" s="13">
        <v>45968</v>
      </c>
      <c r="U27" s="9"/>
    </row>
    <row r="28" spans="1:21" ht="64" x14ac:dyDescent="0.2">
      <c r="A28" s="1" t="s">
        <v>112</v>
      </c>
      <c r="B28" s="1" t="s">
        <v>117</v>
      </c>
      <c r="C28" s="2" t="s">
        <v>118</v>
      </c>
      <c r="D28" s="4">
        <v>0.1</v>
      </c>
      <c r="E28" s="1" t="s">
        <v>56</v>
      </c>
      <c r="F28" s="1" t="s">
        <v>108</v>
      </c>
      <c r="G28" s="1">
        <v>2</v>
      </c>
      <c r="H28" s="2" t="s">
        <v>120</v>
      </c>
      <c r="I28" s="2" t="s">
        <v>127</v>
      </c>
      <c r="J28" s="1" t="b">
        <v>1</v>
      </c>
      <c r="K28" s="2" t="s">
        <v>134</v>
      </c>
      <c r="L28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M28" s="1">
        <f t="shared" si="2"/>
        <v>249</v>
      </c>
      <c r="N28" s="1" t="b">
        <f t="shared" si="1"/>
        <v>1</v>
      </c>
      <c r="O28" s="1" t="b">
        <f>TRUE()</f>
        <v>1</v>
      </c>
      <c r="P28" s="1" t="b">
        <f>TRUE()</f>
        <v>1</v>
      </c>
      <c r="Q28" s="4">
        <v>5.2189999999999997E-3</v>
      </c>
      <c r="R28" s="4">
        <v>5.4400000000000004E-3</v>
      </c>
      <c r="S28" s="1" t="b">
        <v>0</v>
      </c>
    </row>
    <row r="29" spans="1:21" ht="64" x14ac:dyDescent="0.2">
      <c r="A29" s="1" t="s">
        <v>113</v>
      </c>
      <c r="B29" s="1" t="s">
        <v>117</v>
      </c>
      <c r="C29" s="2" t="s">
        <v>118</v>
      </c>
      <c r="D29" s="4">
        <v>0.1</v>
      </c>
      <c r="E29" s="1" t="s">
        <v>56</v>
      </c>
      <c r="F29" s="1" t="s">
        <v>108</v>
      </c>
      <c r="G29" s="1">
        <v>2</v>
      </c>
      <c r="H29" s="2" t="s">
        <v>128</v>
      </c>
      <c r="I29" s="2" t="s">
        <v>129</v>
      </c>
      <c r="J29" s="1" t="b">
        <v>1</v>
      </c>
      <c r="K29" s="2" t="s">
        <v>134</v>
      </c>
      <c r="L29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M29" s="1">
        <f t="shared" si="2"/>
        <v>249</v>
      </c>
      <c r="N29" s="1" t="b">
        <f t="shared" si="1"/>
        <v>1</v>
      </c>
      <c r="O29" s="1" t="b">
        <f>TRUE()</f>
        <v>1</v>
      </c>
      <c r="P29" s="1" t="b">
        <f>TRUE()</f>
        <v>1</v>
      </c>
      <c r="Q29" s="4">
        <v>0</v>
      </c>
      <c r="R29" s="4">
        <v>0</v>
      </c>
      <c r="S29" s="1" t="b">
        <v>0</v>
      </c>
    </row>
    <row r="30" spans="1:21" ht="64" x14ac:dyDescent="0.2">
      <c r="A30" s="1" t="s">
        <v>114</v>
      </c>
      <c r="B30" s="1" t="s">
        <v>117</v>
      </c>
      <c r="C30" s="2" t="s">
        <v>118</v>
      </c>
      <c r="D30" s="4">
        <v>0.1</v>
      </c>
      <c r="E30" s="1" t="s">
        <v>56</v>
      </c>
      <c r="F30" s="1" t="s">
        <v>108</v>
      </c>
      <c r="G30" s="1">
        <v>2</v>
      </c>
      <c r="H30" s="2" t="s">
        <v>131</v>
      </c>
      <c r="I30" s="2" t="s">
        <v>130</v>
      </c>
      <c r="J30" s="1" t="b">
        <v>1</v>
      </c>
      <c r="K30" s="2" t="s">
        <v>134</v>
      </c>
      <c r="L30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M30" s="1">
        <f t="shared" si="2"/>
        <v>249</v>
      </c>
      <c r="N30" s="1" t="b">
        <f t="shared" si="1"/>
        <v>1</v>
      </c>
      <c r="O30" s="1" t="b">
        <f>TRUE()</f>
        <v>1</v>
      </c>
      <c r="P30" s="1" t="b">
        <f>TRUE()</f>
        <v>1</v>
      </c>
      <c r="Q30" s="4">
        <v>5.1520000000000003E-3</v>
      </c>
      <c r="R30" s="4">
        <v>5.3605E-2</v>
      </c>
      <c r="S30" s="1" t="b">
        <v>0</v>
      </c>
    </row>
    <row r="31" spans="1:21" ht="64" x14ac:dyDescent="0.2">
      <c r="A31" s="1" t="s">
        <v>115</v>
      </c>
      <c r="B31" s="1" t="s">
        <v>117</v>
      </c>
      <c r="C31" s="2" t="s">
        <v>118</v>
      </c>
      <c r="D31" s="4">
        <v>0.1</v>
      </c>
      <c r="E31" s="1" t="s">
        <v>56</v>
      </c>
      <c r="F31" s="1" t="s">
        <v>108</v>
      </c>
      <c r="G31" s="1">
        <v>2</v>
      </c>
      <c r="H31" s="2" t="s">
        <v>136</v>
      </c>
      <c r="I31" s="2" t="s">
        <v>135</v>
      </c>
      <c r="J31" s="1" t="b">
        <v>1</v>
      </c>
      <c r="K31" s="2" t="s">
        <v>134</v>
      </c>
      <c r="L31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M31" s="1">
        <f t="shared" si="2"/>
        <v>249</v>
      </c>
      <c r="N31" s="1" t="b">
        <f t="shared" si="1"/>
        <v>1</v>
      </c>
      <c r="O31" s="1" t="b">
        <f>TRUE()</f>
        <v>1</v>
      </c>
      <c r="P31" s="1" t="b">
        <f>TRUE()</f>
        <v>1</v>
      </c>
      <c r="Q31" s="4">
        <v>0.32629000000000002</v>
      </c>
      <c r="R31" s="4">
        <v>0.41575699999999999</v>
      </c>
      <c r="S31" s="1" t="b">
        <v>1</v>
      </c>
      <c r="T31" s="13">
        <v>45968</v>
      </c>
    </row>
    <row r="32" spans="1:21" ht="64" x14ac:dyDescent="0.2">
      <c r="A32" s="1" t="s">
        <v>116</v>
      </c>
      <c r="B32" s="1" t="s">
        <v>117</v>
      </c>
      <c r="C32" s="2" t="s">
        <v>118</v>
      </c>
      <c r="D32" s="4">
        <v>0.1</v>
      </c>
      <c r="E32" s="1" t="s">
        <v>56</v>
      </c>
      <c r="F32" s="1" t="s">
        <v>108</v>
      </c>
      <c r="G32" s="1">
        <v>2</v>
      </c>
      <c r="H32" s="2" t="s">
        <v>137</v>
      </c>
      <c r="I32" s="2" t="s">
        <v>138</v>
      </c>
      <c r="J32" s="1" t="b">
        <v>1</v>
      </c>
      <c r="K32" s="2" t="s">
        <v>134</v>
      </c>
      <c r="L32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M32" s="1">
        <f t="shared" si="2"/>
        <v>249</v>
      </c>
      <c r="N32" s="1" t="b">
        <f t="shared" si="1"/>
        <v>1</v>
      </c>
      <c r="O32" s="1" t="b">
        <f>TRUE()</f>
        <v>1</v>
      </c>
      <c r="P32" s="1" t="b">
        <f>TRUE()</f>
        <v>1</v>
      </c>
      <c r="Q32" s="4">
        <v>0.50901600000000002</v>
      </c>
      <c r="R32" s="4">
        <v>0.56638100000000002</v>
      </c>
      <c r="S32" s="1" t="b">
        <v>1</v>
      </c>
      <c r="T32" s="13">
        <v>45968</v>
      </c>
    </row>
  </sheetData>
  <phoneticPr fontId="2" type="noConversion"/>
  <conditionalFormatting sqref="J1:K1048576">
    <cfRule type="cellIs" dxfId="11" priority="9" operator="equal">
      <formula>TRUE</formula>
    </cfRule>
    <cfRule type="cellIs" dxfId="10" priority="10" operator="equal">
      <formula>FALSE</formula>
    </cfRule>
    <cfRule type="containsBlanks" dxfId="9" priority="10">
      <formula>LEN(TRIM(J1))=0</formula>
    </cfRule>
  </conditionalFormatting>
  <conditionalFormatting sqref="N2:N32">
    <cfRule type="containsBlanks" dxfId="8" priority="2">
      <formula>LEN(TRIM(N2))=0</formula>
    </cfRule>
  </conditionalFormatting>
  <conditionalFormatting sqref="S25:S32 N2:S2 N3:P32 Q3:S24">
    <cfRule type="cellIs" dxfId="7" priority="3" operator="equal">
      <formula>FALSE</formula>
    </cfRule>
    <cfRule type="cellIs" dxfId="6" priority="11" operator="equal">
      <formula>TRUE</formula>
    </cfRule>
  </conditionalFormatting>
  <conditionalFormatting sqref="Q1:R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1:C37"/>
  <sheetViews>
    <sheetView tabSelected="1" workbookViewId="0">
      <selection activeCell="C21" sqref="C21"/>
    </sheetView>
  </sheetViews>
  <sheetFormatPr baseColWidth="10" defaultRowHeight="15" x14ac:dyDescent="0.2"/>
  <cols>
    <col min="1" max="1" width="20.83203125" bestFit="1" customWidth="1"/>
    <col min="2" max="2" width="22" bestFit="1" customWidth="1"/>
    <col min="3" max="3" width="255.83203125" bestFit="1" customWidth="1"/>
    <col min="4" max="4" width="11.6640625" bestFit="1" customWidth="1"/>
    <col min="5" max="5" width="10" bestFit="1" customWidth="1"/>
  </cols>
  <sheetData>
    <row r="1" spans="1:3" x14ac:dyDescent="0.2">
      <c r="A1" s="12" t="s">
        <v>105</v>
      </c>
      <c r="B1" t="s">
        <v>152</v>
      </c>
    </row>
    <row r="3" spans="1:3" x14ac:dyDescent="0.2">
      <c r="A3" t="s">
        <v>18</v>
      </c>
      <c r="B3" t="s">
        <v>19</v>
      </c>
      <c r="C3" t="s">
        <v>142</v>
      </c>
    </row>
    <row r="4" spans="1:3" x14ac:dyDescent="0.2">
      <c r="A4" t="s">
        <v>50</v>
      </c>
      <c r="B4" t="s">
        <v>58</v>
      </c>
      <c r="C4" t="s">
        <v>143</v>
      </c>
    </row>
    <row r="5" spans="1:3" x14ac:dyDescent="0.2">
      <c r="A5" t="s">
        <v>52</v>
      </c>
      <c r="B5" t="s">
        <v>58</v>
      </c>
      <c r="C5" t="s">
        <v>144</v>
      </c>
    </row>
    <row r="6" spans="1:3" x14ac:dyDescent="0.2">
      <c r="A6" t="s">
        <v>53</v>
      </c>
      <c r="B6" t="s">
        <v>58</v>
      </c>
      <c r="C6" t="s">
        <v>145</v>
      </c>
    </row>
    <row r="7" spans="1:3" x14ac:dyDescent="0.2">
      <c r="A7" t="s">
        <v>60</v>
      </c>
      <c r="B7" t="s">
        <v>58</v>
      </c>
      <c r="C7" t="s">
        <v>146</v>
      </c>
    </row>
    <row r="8" spans="1:3" x14ac:dyDescent="0.2">
      <c r="A8" t="s">
        <v>77</v>
      </c>
      <c r="B8" t="s">
        <v>58</v>
      </c>
      <c r="C8" t="s">
        <v>147</v>
      </c>
    </row>
    <row r="9" spans="1:3" x14ac:dyDescent="0.2">
      <c r="A9" t="s">
        <v>110</v>
      </c>
      <c r="B9" t="s">
        <v>117</v>
      </c>
      <c r="C9" t="s">
        <v>148</v>
      </c>
    </row>
    <row r="10" spans="1:3" x14ac:dyDescent="0.2">
      <c r="A10" t="s">
        <v>111</v>
      </c>
      <c r="B10" t="s">
        <v>117</v>
      </c>
      <c r="C10" t="s">
        <v>149</v>
      </c>
    </row>
    <row r="11" spans="1:3" x14ac:dyDescent="0.2">
      <c r="A11" t="s">
        <v>115</v>
      </c>
      <c r="B11" t="s">
        <v>117</v>
      </c>
      <c r="C11" t="s">
        <v>150</v>
      </c>
    </row>
    <row r="12" spans="1:3" x14ac:dyDescent="0.2">
      <c r="A12" t="s">
        <v>116</v>
      </c>
      <c r="B12" t="s">
        <v>117</v>
      </c>
      <c r="C12" t="s">
        <v>151</v>
      </c>
    </row>
    <row r="27" spans="1:1" x14ac:dyDescent="0.2">
      <c r="A27" t="s">
        <v>153</v>
      </c>
    </row>
    <row r="28" spans="1:1" x14ac:dyDescent="0.2">
      <c r="A28" t="str">
        <f>_xlfn.CONCAT("&gt;",A3,"|anti-Nipha virus glycoprotein G Fv sequence|Designed by Silico Biosciences using: ",B3,"\n",C3)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9" spans="1:1" x14ac:dyDescent="0.2">
      <c r="A29" t="str">
        <f t="shared" ref="A29:A37" si="0">_xlfn.CONCAT("&gt;",A4,"|anti-Nipha virus glycoprotein G Fv sequence|Designed by Silico Biosciences using: ",B4,"\n",C4)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30" spans="1:1" x14ac:dyDescent="0.2">
      <c r="A30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31" spans="1:1" x14ac:dyDescent="0.2">
      <c r="A31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32" spans="1:1" x14ac:dyDescent="0.2">
      <c r="A32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33" spans="1:1" x14ac:dyDescent="0.2">
      <c r="A33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34" spans="1:1" x14ac:dyDescent="0.2">
      <c r="A34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35" spans="1:1" x14ac:dyDescent="0.2">
      <c r="A35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6" spans="1:1" x14ac:dyDescent="0.2">
      <c r="A36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7" spans="1:1" x14ac:dyDescent="0.2">
      <c r="A37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3"/>
  <sheetViews>
    <sheetView workbookViewId="0">
      <selection activeCell="F4" sqref="F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101</v>
      </c>
      <c r="B1" s="7" t="s">
        <v>102</v>
      </c>
    </row>
    <row r="2" spans="1:2" ht="64" x14ac:dyDescent="0.2">
      <c r="A2" s="4">
        <v>1</v>
      </c>
      <c r="B2" s="2" t="s">
        <v>100</v>
      </c>
    </row>
    <row r="3" spans="1:2" ht="64" x14ac:dyDescent="0.2">
      <c r="A3" s="4">
        <v>2</v>
      </c>
      <c r="B3" s="2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Antigens</vt:lpstr>
      <vt:lpstr>Antibody Candidates</vt:lpstr>
      <vt:lpstr>20251107 Submission FASTA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2025-11-07T17:58:59Z</dcterms:modified>
  <dc:language>en-US</dc:language>
</cp:coreProperties>
</file>