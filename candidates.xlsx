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03BD0159-EE67-40A2-954B-23BBF8C67905}" xr6:coauthVersionLast="47" xr6:coauthVersionMax="47" xr10:uidLastSave="{00000000-0000-0000-0000-000000000000}"/>
  <bookViews>
    <workbookView xWindow="38280" yWindow="-120" windowWidth="38640" windowHeight="21240" tabRatio="500" xr2:uid="{00000000-000D-0000-FFFF-FFFF00000000}"/>
  </bookViews>
  <sheets>
    <sheet name="Antibody Candidates" sheetId="2" r:id="rId1"/>
    <sheet name="Antigens" sheetId="1" r:id="rId2"/>
    <sheet name="Notes" sheetId="3" r:id="rId3"/>
    <sheet name="20251107 Submission FASTA" sheetId="4" r:id="rId4"/>
    <sheet name="20251108 Submission FASTA" sheetId="5" r:id="rId5"/>
  </sheets>
  <definedNames>
    <definedName name="_xlnm._FilterDatabase" localSheetId="0" hidden="1">'Antibody Candidates'!$A$1:$S$50</definedName>
  </definedNames>
  <calcPr calcId="191029" iterateDelta="1E-4"/>
  <pivotCaches>
    <pivotCache cacheId="1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5" l="1"/>
  <c r="A24" i="5"/>
  <c r="A25" i="5"/>
  <c r="A26" i="5"/>
  <c r="A27" i="5"/>
  <c r="A28" i="5"/>
  <c r="A29" i="5"/>
  <c r="A30" i="5"/>
  <c r="A31" i="5"/>
  <c r="A22" i="5"/>
  <c r="A23" i="4"/>
  <c r="A24" i="4"/>
  <c r="A25" i="4"/>
  <c r="A26" i="4"/>
  <c r="A27" i="4"/>
  <c r="A28" i="4"/>
  <c r="A29" i="4"/>
  <c r="A30" i="4"/>
  <c r="A31" i="4"/>
  <c r="A22" i="4"/>
  <c r="G5" i="5"/>
  <c r="G4" i="5"/>
  <c r="G3" i="5"/>
  <c r="L31" i="2"/>
  <c r="M31" i="2" s="1"/>
  <c r="N31" i="2" s="1"/>
  <c r="L32" i="2"/>
  <c r="M32" i="2" s="1"/>
  <c r="N32" i="2" s="1"/>
  <c r="L33" i="2"/>
  <c r="M33" i="2" s="1"/>
  <c r="N33" i="2" s="1"/>
  <c r="L34" i="2"/>
  <c r="M34" i="2" s="1"/>
  <c r="N34" i="2" s="1"/>
  <c r="L35" i="2"/>
  <c r="M35" i="2" s="1"/>
  <c r="N35" i="2" s="1"/>
  <c r="L36" i="2"/>
  <c r="M36" i="2" s="1"/>
  <c r="N36" i="2" s="1"/>
  <c r="L37" i="2"/>
  <c r="M37" i="2" s="1"/>
  <c r="N37" i="2" s="1"/>
  <c r="L38" i="2"/>
  <c r="M38" i="2" s="1"/>
  <c r="N38" i="2" s="1"/>
  <c r="L39" i="2"/>
  <c r="M39" i="2" s="1"/>
  <c r="N39" i="2" s="1"/>
  <c r="L40" i="2"/>
  <c r="M40" i="2" s="1"/>
  <c r="N40" i="2" s="1"/>
  <c r="L41" i="2"/>
  <c r="M41" i="2" s="1"/>
  <c r="N41" i="2" s="1"/>
  <c r="L42" i="2"/>
  <c r="M42" i="2" s="1"/>
  <c r="N42" i="2" s="1"/>
  <c r="L43" i="2"/>
  <c r="M43" i="2" s="1"/>
  <c r="N43" i="2" s="1"/>
  <c r="L44" i="2"/>
  <c r="M44" i="2" s="1"/>
  <c r="N44" i="2" s="1"/>
  <c r="L45" i="2"/>
  <c r="M45" i="2" s="1"/>
  <c r="N45" i="2" s="1"/>
  <c r="L46" i="2"/>
  <c r="M46" i="2" s="1"/>
  <c r="N46" i="2" s="1"/>
  <c r="L47" i="2"/>
  <c r="M47" i="2" s="1"/>
  <c r="N47" i="2" s="1"/>
  <c r="L48" i="2"/>
  <c r="M48" i="2" s="1"/>
  <c r="N48" i="2" s="1"/>
  <c r="L49" i="2"/>
  <c r="M49" i="2" s="1"/>
  <c r="N49" i="2" s="1"/>
  <c r="L50" i="2"/>
  <c r="M50" i="2" s="1"/>
  <c r="N5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2" i="2"/>
  <c r="L2" i="2"/>
  <c r="O23" i="2"/>
  <c r="O24" i="2"/>
  <c r="O25" i="2"/>
  <c r="O26" i="2"/>
  <c r="O27" i="2"/>
  <c r="O28" i="2"/>
  <c r="O29" i="2"/>
  <c r="O30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M15" i="2" s="1"/>
  <c r="N15" i="2" s="1"/>
  <c r="L16" i="2"/>
  <c r="M16" i="2" s="1"/>
  <c r="N16" i="2" s="1"/>
  <c r="L17" i="2"/>
  <c r="M17" i="2" s="1"/>
  <c r="N17" i="2" s="1"/>
  <c r="L18" i="2"/>
  <c r="M18" i="2" s="1"/>
  <c r="N18" i="2" s="1"/>
  <c r="L19" i="2"/>
  <c r="M19" i="2" s="1"/>
  <c r="N19" i="2" s="1"/>
  <c r="L20" i="2"/>
  <c r="M20" i="2" s="1"/>
  <c r="N20" i="2" s="1"/>
  <c r="L21" i="2"/>
  <c r="M21" i="2" s="1"/>
  <c r="N21" i="2" s="1"/>
  <c r="L22" i="2"/>
  <c r="M22" i="2" s="1"/>
  <c r="N22" i="2" s="1"/>
  <c r="L23" i="2"/>
  <c r="M23" i="2" s="1"/>
  <c r="N23" i="2" s="1"/>
  <c r="L24" i="2"/>
  <c r="M24" i="2" s="1"/>
  <c r="N24" i="2" s="1"/>
  <c r="L25" i="2"/>
  <c r="M25" i="2" s="1"/>
  <c r="N25" i="2" s="1"/>
  <c r="L26" i="2"/>
  <c r="M26" i="2" s="1"/>
  <c r="N26" i="2" s="1"/>
  <c r="L27" i="2"/>
  <c r="M27" i="2" s="1"/>
  <c r="N27" i="2" s="1"/>
  <c r="L28" i="2"/>
  <c r="M28" i="2" s="1"/>
  <c r="N28" i="2" s="1"/>
  <c r="L29" i="2"/>
  <c r="M29" i="2" s="1"/>
  <c r="N29" i="2" s="1"/>
  <c r="L30" i="2"/>
  <c r="M30" i="2" s="1"/>
  <c r="N30" i="2" s="1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" i="2"/>
  <c r="M11" i="2" l="1"/>
  <c r="N11" i="2" s="1"/>
  <c r="M12" i="2"/>
  <c r="N12" i="2" s="1"/>
  <c r="M13" i="2"/>
  <c r="N13" i="2" s="1"/>
  <c r="M14" i="2"/>
  <c r="N14" i="2" s="1"/>
  <c r="M10" i="2"/>
  <c r="N10" i="2" s="1"/>
  <c r="M9" i="2"/>
  <c r="N9" i="2" s="1"/>
  <c r="M8" i="2"/>
  <c r="N8" i="2" s="1"/>
  <c r="M7" i="2"/>
  <c r="N7" i="2" s="1"/>
  <c r="M6" i="2"/>
  <c r="N6" i="2" s="1"/>
  <c r="J6" i="2"/>
  <c r="M5" i="2"/>
  <c r="N5" i="2" s="1"/>
  <c r="J5" i="2"/>
  <c r="M4" i="2"/>
  <c r="N4" i="2" s="1"/>
  <c r="J4" i="2"/>
  <c r="M3" i="2"/>
  <c r="N3" i="2" s="1"/>
  <c r="J3" i="2"/>
  <c r="M2" i="2"/>
  <c r="N2" i="2" s="1"/>
  <c r="J2" i="2"/>
</calcChain>
</file>

<file path=xl/sharedStrings.xml><?xml version="1.0" encoding="utf-8"?>
<sst xmlns="http://schemas.openxmlformats.org/spreadsheetml/2006/main" count="463" uniqueCount="215">
  <si>
    <t>antigen_id</t>
  </si>
  <si>
    <t>antigen_pdb_id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</si>
  <si>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</si>
  <si>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</si>
  <si>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</si>
  <si>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</si>
  <si>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</si>
  <si>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</si>
  <si>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</si>
  <si>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</si>
  <si>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</si>
  <si>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</si>
  <si>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</si>
  <si>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</si>
  <si>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</si>
  <si>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</si>
  <si>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</si>
  <si>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</si>
  <si>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</si>
  <si>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</si>
  <si>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</si>
  <si>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</si>
  <si>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</si>
  <si>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</si>
  <si>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</si>
  <si>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</si>
  <si>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</si>
  <si>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</si>
  <si>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</si>
  <si>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</si>
  <si>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</si>
  <si>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</si>
  <si>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</si>
  <si>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</si>
  <si>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</si>
  <si>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</si>
  <si>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</si>
  <si>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</si>
  <si>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</si>
  <si>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</si>
  <si>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</si>
  <si>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</si>
  <si>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</si>
  <si>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</si>
  <si>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</si>
  <si>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</si>
  <si>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</si>
  <si>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</si>
  <si>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</si>
  <si>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</si>
  <si>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</si>
  <si>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</si>
  <si>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</si>
  <si>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</si>
  <si>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</si>
  <si>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</si>
  <si>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</si>
  <si>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</si>
  <si>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</si>
  <si>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</si>
  <si>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</si>
  <si>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</si>
  <si>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</si>
  <si>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</si>
  <si>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</si>
  <si>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</si>
  <si>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</si>
  <si>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</si>
  <si>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</si>
  <si>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</si>
  <si>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</si>
  <si>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</si>
  <si>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</si>
  <si>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</si>
  <si>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</si>
  <si>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</si>
  <si>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</si>
  <si>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</si>
  <si>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</si>
  <si>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</si>
  <si>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</si>
  <si>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</si>
  <si>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</si>
  <si>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</si>
  <si>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</si>
  <si>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</si>
  <si>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</si>
  <si>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</si>
  <si>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</si>
  <si>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</si>
  <si>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</si>
  <si>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</si>
  <si>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</si>
  <si>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</si>
  <si>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</si>
  <si>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</si>
  <si>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</si>
  <si>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</si>
  <si>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</si>
  <si>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</si>
  <si>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</si>
  <si>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</si>
  <si>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</si>
  <si>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</si>
  <si>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</si>
  <si>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</si>
  <si>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</si>
  <si>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</si>
  <si>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</si>
  <si>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</si>
  <si>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</si>
  <si>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</si>
  <si>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</si>
  <si>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</si>
  <si>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</si>
  <si>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</si>
  <si>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</si>
  <si>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</si>
  <si>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</si>
  <si>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</si>
  <si>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</si>
  <si>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</si>
  <si>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</si>
  <si>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</si>
  <si>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</si>
  <si>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</si>
  <si>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</si>
  <si>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</si>
  <si>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</si>
  <si>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</si>
  <si>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</si>
  <si>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</si>
  <si>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</si>
  <si>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</si>
  <si>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</si>
  <si>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QVQLVESGGGVVQPGRSLRLSCAASGFTFSSYGMHWVRQAPGKGLEWVAVISYDGSKKYYADSVKGRFTISRDNSKNTLYLQMNSLRAEDTAVYYCARSPFYDSSGYYAMDYWGQGTLVTVSSGGGSGGGSGGGSGGGSDIQLTQSPSSLSASVGDRVTITCRASQGISSYLAWYQQKPGKAPKLLIYAASTLQSGVPSRFSGSGSGTDFTLTISSLQPEDFATYYCQQANSFPPTFGQGTKVEIK</t>
  </si>
  <si>
    <t>AVSLVESGGGTVKPGESVTLSCQASGFNFSKYQWVWVRQAPGKGLEWVGQISPDGSKTRYHPSVAGRFTISRDNSNSTLYLHMSNLRPEDTAVYYCGIIPQDNVHGDYSISHWGQGTLLTVSAGGGSGGGSGGGSGGGSAIKLTQSPKSLSASVGDTVTINCTASRPIGDLLSWYKQKPGKPPQLLIYRSSTLASGVSSRYSGSGSDTNFTLTISSLQSSDFATYYCRQTSRFPITFGEGTTINKK</t>
  </si>
  <si>
    <t>SISLVESGGGTVAPGSSVTLSCQASGFNFSKYSKAWVRQPPGQPLEWVSRISPDGSTKYYHPDVAGRFTISKDNSKSTVYLAMSNLTAADTATYYCGIIPGDNTHGDYAMSHWGQGTLLTVSAGGGSGGGSGGGSGGGSAITLTQSPSSLSASVGDTVTISCTASRPIGDKLSWYKQKPGQPPQLLIYNASTLAPGVSSRYSGSGSDTSFTLTISSLQEDDFATYYCQQTYTLPITFGQGTTISKK</t>
  </si>
  <si>
    <t>GVSLTESGGGTVAPGSSVTLSCKASGFNFSKYSHAWVRQAPGQGLTWVGEISPDGSKTRYASSVAGRFTISRDNSNSTVYLQMSSLTPSDTATYYCGIIPGDSVHGERSMSHWGQGTLLTVSAGGGSGGGSGGGSGGGSAITLTQSPSSLSASVGDTVTLNCTASRPIGDRLSWYKQKPGQAPQLLIYRASTLAPGVSSRYSGSGSDTQFTLTISSLQSDDFATYYCQQTSSYPVTFGQGTTITKK</t>
  </si>
  <si>
    <t>GISLVESGGGTVKPGESVTLSCKASGFVFSKYSHAWVRQPPGGPLEWVSQISSDGSVTRYASSVSGRFTISRDNSNSTVYLQMNNLRPSDTATYYCGIIPQDNVHGDYAISHWGQGTLLTVTAGGGSGGGSGGGSGGGSAITLTQSPASLSAKVGDTVTLSCTASRPIGDLLSWYKQKPGQPPQLLIYRASTLAPGVDSRYSGSGSDTSFTLTISSLQPEDFATYYCQQTSRFPITFGQGTTIKQA</t>
  </si>
  <si>
    <t>SIKLTESGGGTVKPGSSVTLSCQASGFNFSKYEVVWVMQKPGQPLQWVGSISPDGSKVRLHPKVKGRFTLSKDNSKNTAYLTMKNLQPEDTATYYCGIIPGGSVHGDRSITHWGQGVELKVVAGGGSGGGSGGGSGGGSMIKLTQSPKSVKAKVGDTVTITCTASEPVDDLVSWYQQKPGQPLRLLIYRSSTLAPGVSSRFSGSGSDTNFTLTISSLQEEDFATYYCMQTSKYPYTFGQGTTLSRA</t>
  </si>
  <si>
    <t>GVKLVQSGDLTVKPGGSVTLSCKSEGGSFGNSSVAWVRQRPGGPYEYIGSIIPAYGVSRVSPEYEGRVTISADVANNTAYLTISNLTPEDTATYYCALGPGEVVYAASPFDEKLLTGALSVWGEGTLVTVTGGGSGGGSGGGSITVTQSPSSPSLSVGDTATLTCTLSSSVATSNVAWYKQLPGQPPELLISGGSTRAPGVPSRYSGSGSGTTFTLTISSLQASDFATYYCQVYGENPSFGQGTTLTLK</t>
  </si>
  <si>
    <t>AVKLVQSGDQTVAPGGSVTLSCTSSGGSFGNSSVAWVRQRPGGPFEFIGSIIPSLGISRYNSKYKGRVTISSDAANNTAYLTISNLTAADTATYYCALGPGESVFASHPFKEKLLTGALSVWGEGTLVTVSGGGSGGGSGGGSITVTQSPSSPSKSVGDTVTLTCTLSSSVPVSQVAWYKQHPGQPPELLIYGGSTRASGVPSRYSGSGSGTTFTLTISSLQPEDFATYYCQVYGEEPSFGQGTTVTLA</t>
  </si>
  <si>
    <t>SISLVQSSDQTVAPGGSVTLSCTSSGGSFGNSGVAWVRQAPGGPPVYIGGIIPATGVSTYNAAFKGRVTISSDSSNNTAYLTISGLTAADTATYYCALGPAENVFASHPFAEDVNLGALSVWGQGTLVTVTGGGSGGGSGGGSITVTESPSSPELSVGETAVLSCTLSSSVPQSNVAWYKQKPGQPPELLIYGGSTRASGVPSRYSGSGSGTTFYLTISSLEPEDFATYYCQVYGTSPSFGQGTTLKLK</t>
  </si>
  <si>
    <t>AVSLVESGDQTVAPGGSVTLSCTSSGGSFGNSGVAWVRQAPGGPLEFLGFIIPALGVSKVNSKYEGRVTISSDPANNTAYLTISNLTAADTATYYCGLGTGESVFASSPFDEKLLLGALSVWGQGTKVTVTGGGSGGGSGGGSITVTQSPASPEKKVGETATLTCTLSSAVPKSNVAWYKQKPGQPPELLIYGGSTRASGVPSRYSGSGSGTTFYLTISSLQPEDFATYYCRVYGEEPSFGQGTTLKLK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</si>
  <si>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</si>
  <si>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</si>
  <si>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</si>
  <si>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</si>
  <si>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</si>
  <si>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</si>
  <si>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</si>
  <si>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</si>
  <si>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</si>
  <si>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</si>
  <si>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</si>
  <si>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</si>
  <si>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</si>
  <si>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</si>
  <si>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</si>
  <si>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</si>
  <si>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</si>
  <si>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</si>
  <si>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</si>
  <si>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</si>
  <si>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</si>
  <si>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</si>
  <si>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</si>
  <si>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</si>
  <si>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</si>
  <si>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</si>
  <si>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</si>
  <si>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</si>
  <si>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</si>
  <si>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</si>
  <si>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</si>
  <si>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</si>
  <si>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</si>
  <si>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</si>
  <si>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</si>
  <si>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</si>
  <si>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</si>
  <si>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</si>
  <si>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</si>
  <si>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</si>
  <si>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</si>
  <si>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</si>
  <si>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</si>
  <si>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</si>
  <si>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</si>
  <si>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</si>
  <si>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</si>
  <si>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</si>
  <si>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</si>
  <si>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</si>
  <si>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</si>
  <si>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</si>
  <si>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</si>
  <si>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</si>
  <si>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</si>
  <si>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</si>
  <si>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</si>
  <si>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</si>
  <si>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</si>
  <si>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</si>
  <si>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QVQLVESGGGVVQPGKSLRLSCAASGFTFSSYAMSWVRQAPGKGPEWVAFISYDGSNNYYADSVKGRFTISRDNPKNTLYLQMKSLRAEDTAVYYCARWRQRFDMYWGRGTLVTVSSGGGSGGGSGGGSGGGSDIQMTQSPSSLSASVGDRVTITCRASQSISSYLNWYQQKPGKAPKLLIYAASSLQSGVPSRFSGSGSGTDFTLTISSLQPEDFATYYCQQSYSTPYTFGQGTKVEIK</t>
  </si>
  <si>
    <t>QVQLQESGPGLVKPSETLSLTCTVSGASIRGYYWSWIRQFPGKELEWIGYVYSGSTENYNPSLKSRVTVTLTDTKNSFSLKLNSVTSEDTAVYYCARGGALIYYDVWGTGTTVTVSSGGGSGGGSGGGSGGGSDIQVTQSPVSLSASVGDRVTITCRASQGIDSLNWFQQRPGKAPKLLIYAASQLTGIAPRFRSGSGSGTDFTLTISSLQPEDFATYYCQQYNIYPATFGQGTKVEIK</t>
  </si>
  <si>
    <t>EVQLVQSGAEVKKPGESLKISCKGSGYTFSYYWIGWVRQMPGKGLEWMGIIYPGDSDTRYSPSFQGQVTISADKSISTAYLQWSSLKASDTAMYYCARGEGVFDYWGQGTLVTVSSGGGSGGGSGGGSGGGSYTLTQAPSVSASGQSVTISCTGTSRDVGTYWYQQIPGRAPKLLIHDKSENQGKTPGIPDRFSGSKSGNTASLVIIRGLQADDEADYYCNSYHGSGSNIFGGGTKLTVD</t>
  </si>
  <si>
    <t>EVQLVESGGGLVQPGGSLRLSCAASGFTFSSYWMNWVRQAPGKGLEWVANINQDGGEKYYVDSVKGRFTISRDNAKNSLYLQMNSLRAEDTAIYYCARDVGGGMDVWGQGTTVTVSSGGGSGGGSGGGSGGGSQMTQSPSSLSASVGDRVTITCRASQSVSSAVAWYQQKPGKAPKLLIYSASSLYSGVPSRFSGSRSGTDFTLTISSLQPEDFATYYCQQSSSSLITFGQGTKVEIK</t>
  </si>
  <si>
    <t>QVQLVESGGGVVQPGRSLRLSCAASGFTFSSYAMSWVRQAPGKGLEWVSAIWSNGGSTYYADSVKGRFTISRDNAKNSLYLQMNSLRAEDTAVYYCARDYGSYGYFDYWGQGTLVTVSSGGGSGGGSGGGSGGGSDIVMTQSPLSLPVTPGEPASISCRSSQSLLYSNGNTYLEWYLQKPGQSPQLLIYLVSKLDSGVPDRFSGSGSGTDFTLKISRVEAEDLGIYYCQQSKEVPYTFGAGTKLEIK</t>
  </si>
  <si>
    <t>AVSITESGGGTKAPGSSVTLSCKVSGFVFSKYSIAWVRQAPGQGLEWVSQISPDGSTTRYNPAVAGRFTISRDNSNSTAYLQMSNLTPSDTATYYCAIIPQDNEHGDYSLSHWGQGTQLTVSAGGGSGGGSGGGSGGGSAIKLTQSPKSLSAKVGDTVTINCTASAPIGDFLSWYKQKPGQPPQLLIYKSSTLAPGVSSRYSGSGSDTNFTLTISSLQEEDFATYYCQQTATLPITFGEGTTINKK</t>
  </si>
  <si>
    <t xml:space="preserve">EVSLVESGGGTVKPGESVTLSCQASGFNFSKYRLAWVRQPPGQGLVWVSEISPDGTEVKYHPDVKGRFTASRDNSNSTAYLKMNNLQPSDTATYYCGIIPQDSSHGDYSISHWGQGTQLTVSAGGGSGGGSGGGSGGGSTITLTQSPSSLSASVGDTVTINCTASRPIGDFLSWYKQKPGQPPQLLIYRSSTLASGVSSRYSGSGSDTNFTLTISSLQSDDFATYYCQQTYTLPITFGQGTTLTKK </t>
  </si>
  <si>
    <t>AVSLVESGGGTYAPGSSVTLSCQGSGFNFSKVRKVWVRQPPGGPLEYVAEISPDGSTTTYASSVAGRFTISKDNSNSTLYLSMSNLTPADTATYYCGLIPGDSEHGDRSISHWGQGTLVTVSAGGGSGGGSGGGSGGGSAITLTQSPSSLSASVGDTVTINCTASQPIGNFLSWYKQKPGQPPQLLIYNASTLAPGVSSRYSGSGSDTNFTLTISSLQSEDFATYYCQQTSRLPVTFGQGTTINKK</t>
  </si>
  <si>
    <t xml:space="preserve">PVSLVESGGGTVAPGSSVTLTCQASGFNFSKYIVAWVRQPPGQPLRFVAMITPDGSKVWLHPEVEGRFTPSKDNSKNTSYLQLKDLQPEDTATYYCGIIPQGSTHGDYSITHWGQGVVLTVTAGGGSGGGSGGGSGGGSMVTLTQSPSSLSASVGDTVTITCTASSPVDNLMSWYQQPPGQPLRLLIYNASTRAPGVSSRFSGSGSDTNFTLTISSLQASDFATYYCQQTYRLPVTFGQGTTLSAA </t>
  </si>
  <si>
    <t>AITLTESGGGVVAPGSSVTLTCTASGFNFSKYSMVWVRQPPGGPLQWVAQISPDNSTVRYHPAVEGRFTASKDNSKNTAYLAMSDLEPSDTATYYCGIIPQGSTHNDYSIVHWGQGTELRVVAGGGSGGGSGGGSGGGSMIKLTQSPSSLSAKVGDKVTITCTASSPVDNLVSWYKQPPGGPLQLLIYNSSTRAPGVSSRFKGSGSDTNFTLTIESLQEEDFATYYCQQTYKFPITFGQGTKLTRA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</si>
</sst>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sz val="11"/>
      <color theme="1"/>
      <name val="Aptos Narrow"/>
      <family val="2"/>
      <charset val="1"/>
    </font>
    <font>
      <b/>
      <sz val="11"/>
      <color rgb="FF000000"/>
      <name val="Aptos Narrow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/>
    <xf numFmtId="0" fontId="6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8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" refreshedDate="45969.58142696759" createdVersion="8" refreshedVersion="8" minRefreshableVersion="3" recordCount="50" xr:uid="{C69715DE-2A16-4198-9FD9-FAE4F60B2265}">
  <cacheSource type="worksheet">
    <worksheetSource ref="A1:S3000" sheet="Antibody Candidates"/>
  </cacheSource>
  <cacheFields count="19">
    <cacheField name="antibody_id" numFmtId="0">
      <sharedItems containsBlank="1" count="50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m/>
      </sharedItems>
    </cacheField>
    <cacheField name="method" numFmtId="0">
      <sharedItems containsBlank="1" count="5">
        <s v="peleke-1"/>
        <s v="General LLM"/>
        <s v="peleke-1 + ProteinMPNN"/>
        <s v="ProteinMPNN"/>
        <m/>
      </sharedItems>
    </cacheField>
    <cacheField name="model_version" numFmtId="0">
      <sharedItems containsBlank="1"/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note_ids" numFmtId="0">
      <sharedItems containsString="0" containsBlank="1" containsNumber="1" containsInteger="1" minValue="1" maxValue="2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50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m/>
      </sharedItems>
    </cacheField>
    <cacheField name="len_franken_chain" numFmtId="0">
      <sharedItems containsString="0" containsBlank="1" containsNumber="1" containsInteger="1" minValue="233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ax_ipsae" numFmtId="0">
      <sharedItems containsString="0" containsBlank="1" containsNumber="1" minValue="0" maxValue="0.64176299999999997"/>
    </cacheField>
    <cacheField name="min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5-11-07T00:00:00" maxDate="2025-11-09T00:00:00" count="3">
        <d v="2025-11-07T00:00:00"/>
        <d v="2025-11-08T00:00: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x v="0"/>
    <s v="peleke-phi-4"/>
    <n v="0.7"/>
    <s v="base"/>
    <m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x v="0"/>
    <s v="peleke-phi-4"/>
    <n v="0.7"/>
    <s v="base"/>
    <m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x v="0"/>
    <s v="peleke-phi-4"/>
    <n v="0.9"/>
    <s v="base"/>
    <m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x v="0"/>
    <s v="peleke-phi-4"/>
    <n v="0.9"/>
    <s v="base"/>
    <m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x v="0"/>
    <s v="peleke-phi-4"/>
    <n v="0.5"/>
    <s v="base"/>
    <m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x v="1"/>
    <s v="Qwen3-235B-A22B-Instruct-2507"/>
    <m/>
    <s v="base"/>
    <m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x v="2"/>
    <s v="peleke-phi-4 / v_48_020"/>
    <n v="0.1"/>
    <s v="derivative"/>
    <s v="sbio-nipahgpg-001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x v="2"/>
    <s v="peleke-phi-4 / v_48_020"/>
    <n v="0.1"/>
    <s v="derivative"/>
    <s v="sbio-nipahgpg-001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x v="2"/>
    <s v="peleke-phi-4 / v_48_020"/>
    <n v="0.1"/>
    <s v="derivative"/>
    <s v="sbio-nipahgpg-001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x v="2"/>
    <s v="peleke-phi-4 / v_48_020"/>
    <n v="0.1"/>
    <s v="derivative"/>
    <s v="sbio-nipahgpg-001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x v="2"/>
    <s v="peleke-phi-4 / v_48_020"/>
    <n v="0.1"/>
    <s v="derivative"/>
    <s v="sbio-nipahgpg-001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x v="2"/>
    <s v="peleke-phi-4 / v_48_020"/>
    <n v="0.1"/>
    <s v="derivative"/>
    <s v="sbio-nipahgpg-001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x v="2"/>
    <s v="peleke-phi-4 / v_48_020"/>
    <n v="0.1"/>
    <s v="derivative"/>
    <s v="sbio-nipahgpg-001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x v="2"/>
    <s v="peleke-phi-4 / v_48_030"/>
    <n v="0.15"/>
    <s v="derivative"/>
    <s v="sbio-nipahgpg-001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x v="2"/>
    <s v="peleke-phi-4 / v_48_030"/>
    <n v="0.15"/>
    <s v="derivative"/>
    <s v="sbio-nipahgpg-001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x v="2"/>
    <s v="peleke-phi-4 / v_48_030"/>
    <n v="0.15"/>
    <s v="derivative"/>
    <s v="sbio-nipahgpg-001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x v="2"/>
    <s v="peleke-phi-4 / v_48_030"/>
    <n v="0.15"/>
    <s v="derivative"/>
    <s v="sbio-nipahgpg-001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x v="2"/>
    <s v="peleke-phi-4 / v_48_030"/>
    <n v="0.15"/>
    <s v="derivative"/>
    <s v="sbio-nipahgpg-001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x v="2"/>
    <s v="peleke-phi-4 / v_48_030"/>
    <n v="0.15"/>
    <s v="derivative"/>
    <s v="sbio-nipahgpg-001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x v="2"/>
    <s v="peleke-phi-4 / v_48_030"/>
    <n v="0.15"/>
    <s v="derivative"/>
    <s v="sbio-nipahgpg-001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x v="2"/>
    <s v="peleke-phi-4 / v_48_030"/>
    <n v="0.15"/>
    <s v="derivative"/>
    <s v="sbio-nipahgpg-001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x v="3"/>
    <s v="v_48_020"/>
    <n v="0.1"/>
    <s v="derivative"/>
    <s v="m102.3 (PDB: 6CMI)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x v="3"/>
    <s v="v_48_020"/>
    <n v="0.1"/>
    <s v="derivative"/>
    <s v="m102.3 (PDB: 6CMI)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x v="3"/>
    <s v="v_48_020"/>
    <n v="0.1"/>
    <s v="derivative"/>
    <s v="m102.3 (PDB: 6CMI)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x v="3"/>
    <s v="v_48_020"/>
    <n v="0.1"/>
    <s v="derivative"/>
    <s v="m102.3 (PDB: 6CMI)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x v="3"/>
    <s v="v_48_020"/>
    <n v="0.1"/>
    <s v="derivative"/>
    <s v="m102.3 (PDB: 6CMI)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x v="3"/>
    <s v="v_48_020"/>
    <n v="0.1"/>
    <s v="derivative"/>
    <s v="m102.3 (PDB: 6CMI)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x v="3"/>
    <s v="v_48_020"/>
    <n v="0.1"/>
    <s v="derivative"/>
    <s v="m102.3 (PDB: 6CMI)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x v="3"/>
    <s v="v_48_020"/>
    <n v="0.1"/>
    <s v="derivative"/>
    <s v="m102.3 (PDB: 6CMI)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x v="0"/>
    <s v="peleke-mistral-7b-instruct-v0.2"/>
    <n v="0.7"/>
    <s v="base"/>
    <m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2"/>
  </r>
  <r>
    <x v="30"/>
    <x v="0"/>
    <s v="peleke-mistral-7b-instruct-v0.2"/>
    <n v="0.7"/>
    <s v="base"/>
    <m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2"/>
  </r>
  <r>
    <x v="31"/>
    <x v="0"/>
    <s v="peleke-mistral-7b-instruct-v0.2"/>
    <n v="0.7"/>
    <s v="base"/>
    <m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2"/>
  </r>
  <r>
    <x v="32"/>
    <x v="0"/>
    <s v="peleke-mistral-7b-instruct-v0.2"/>
    <n v="0.7"/>
    <s v="base"/>
    <m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2"/>
  </r>
  <r>
    <x v="33"/>
    <x v="0"/>
    <s v="peleke-mistral-7b-instruct-v0.2"/>
    <n v="0.7"/>
    <s v="base"/>
    <m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2"/>
  </r>
  <r>
    <x v="34"/>
    <x v="0"/>
    <s v="peleke-mistral-7b-instruct-v0.2"/>
    <n v="0.7"/>
    <s v="base"/>
    <m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2"/>
  </r>
  <r>
    <x v="35"/>
    <x v="0"/>
    <s v="peleke-mistral-7b-instruct-v0.2"/>
    <n v="0.7"/>
    <s v="base"/>
    <m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2"/>
  </r>
  <r>
    <x v="36"/>
    <x v="0"/>
    <s v="peleke-mistral-7b-instruct-v0.2"/>
    <n v="0.7"/>
    <s v="base"/>
    <m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2"/>
  </r>
  <r>
    <x v="37"/>
    <x v="0"/>
    <s v="peleke-mistral-7b-instruct-v0.2"/>
    <n v="0.7"/>
    <s v="base"/>
    <m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2"/>
  </r>
  <r>
    <x v="38"/>
    <x v="0"/>
    <s v="peleke-mistral-7b-instruct-v0.2"/>
    <n v="0.7"/>
    <s v="base"/>
    <m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2"/>
  </r>
  <r>
    <x v="39"/>
    <x v="0"/>
    <s v="peleke-mistral-7b-instruct-v0.2"/>
    <n v="0.7"/>
    <s v="base"/>
    <m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2"/>
  </r>
  <r>
    <x v="40"/>
    <x v="0"/>
    <s v="peleke-mistral-7b-instruct-v0.2"/>
    <n v="0.7"/>
    <s v="base"/>
    <m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2"/>
  </r>
  <r>
    <x v="41"/>
    <x v="0"/>
    <s v="peleke-mistral-7b-instruct-v0.2"/>
    <n v="0.7"/>
    <s v="base"/>
    <m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2"/>
  </r>
  <r>
    <x v="42"/>
    <x v="0"/>
    <s v="peleke-mistral-7b-instruct-v0.2"/>
    <n v="0.7"/>
    <s v="base"/>
    <m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2"/>
  </r>
  <r>
    <x v="43"/>
    <x v="0"/>
    <s v="peleke-mistral-7b-instruct-v0.2"/>
    <n v="0.7"/>
    <s v="base"/>
    <m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2"/>
  </r>
  <r>
    <x v="44"/>
    <x v="0"/>
    <s v="peleke-mistral-7b-instruct-v0.2"/>
    <n v="0.7"/>
    <s v="base"/>
    <m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2"/>
  </r>
  <r>
    <x v="45"/>
    <x v="0"/>
    <s v="peleke-mistral-7b-instruct-v0.2"/>
    <n v="0.7"/>
    <s v="base"/>
    <m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2"/>
  </r>
  <r>
    <x v="46"/>
    <x v="0"/>
    <s v="peleke-mistral-7b-instruct-v0.2"/>
    <n v="0.7"/>
    <s v="base"/>
    <m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2"/>
  </r>
  <r>
    <x v="47"/>
    <x v="0"/>
    <s v="peleke-mistral-7b-instruct-v0.2"/>
    <n v="0.7"/>
    <s v="base"/>
    <m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2"/>
  </r>
  <r>
    <x v="48"/>
    <x v="0"/>
    <s v="peleke-mistral-7b-instruct-v0.2"/>
    <n v="0.7"/>
    <s v="base"/>
    <m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2"/>
  </r>
  <r>
    <x v="49"/>
    <x v="4"/>
    <m/>
    <m/>
    <m/>
    <m/>
    <m/>
    <m/>
    <m/>
    <m/>
    <m/>
    <x v="49"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2"/>
        <item x="0"/>
        <item x="1"/>
      </items>
    </pivotField>
  </pivotFields>
  <rowFields count="3">
    <field x="0"/>
    <field x="1"/>
    <field x="11"/>
  </rowFields>
  <rowItems count="10">
    <i>
      <x/>
      <x v="1"/>
      <x v="19"/>
    </i>
    <i>
      <x v="6"/>
      <x v="2"/>
      <x v="5"/>
    </i>
    <i>
      <x v="8"/>
      <x v="2"/>
      <x v="23"/>
    </i>
    <i>
      <x v="9"/>
      <x v="2"/>
      <x v="13"/>
    </i>
    <i>
      <x v="12"/>
      <x v="2"/>
      <x v="11"/>
    </i>
    <i>
      <x v="14"/>
      <x v="2"/>
      <x v="20"/>
    </i>
    <i>
      <x v="22"/>
      <x v="3"/>
      <x v="12"/>
    </i>
    <i>
      <x v="23"/>
      <x v="3"/>
      <x v="2"/>
    </i>
    <i>
      <x v="27"/>
      <x v="3"/>
      <x v="24"/>
    </i>
    <i>
      <x v="28"/>
      <x v="3"/>
      <x v="4"/>
    </i>
  </rowItems>
  <colItems count="1">
    <i/>
  </colItems>
  <pageFields count="1">
    <pageField fld="18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D8D9BF-DD48-4B0D-B005-50CFC13EA4CA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2"/>
        <item x="0"/>
        <item x="1"/>
      </items>
    </pivotField>
  </pivotFields>
  <rowFields count="3">
    <field x="0"/>
    <field x="1"/>
    <field x="11"/>
  </rowFields>
  <rowItems count="10">
    <i>
      <x v="1"/>
      <x v="1"/>
      <x v="17"/>
    </i>
    <i>
      <x v="2"/>
      <x v="1"/>
      <x v="16"/>
    </i>
    <i>
      <x v="3"/>
      <x v="1"/>
      <x v="9"/>
    </i>
    <i>
      <x v="4"/>
      <x v="1"/>
      <x v="8"/>
    </i>
    <i>
      <x v="5"/>
      <x/>
      <x v="18"/>
    </i>
    <i>
      <x v="7"/>
      <x v="2"/>
      <x v="3"/>
    </i>
    <i>
      <x v="10"/>
      <x v="2"/>
      <x v="10"/>
    </i>
    <i>
      <x v="11"/>
      <x v="2"/>
      <x v="6"/>
    </i>
    <i>
      <x v="13"/>
      <x v="2"/>
      <x v="15"/>
    </i>
    <i>
      <x v="15"/>
      <x v="2"/>
      <x v="1"/>
    </i>
  </rowItems>
  <colItems count="1">
    <i/>
  </colItems>
  <pageFields count="1">
    <pageField fld="18" item="2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50"/>
  <sheetViews>
    <sheetView tabSelected="1" zoomScaleNormal="10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P29" sqref="P29"/>
    </sheetView>
  </sheetViews>
  <sheetFormatPr defaultColWidth="9.140625" defaultRowHeight="15" x14ac:dyDescent="0.25"/>
  <cols>
    <col min="1" max="1" width="17.85546875" style="1" customWidth="1"/>
    <col min="2" max="2" width="22.42578125" style="1" bestFit="1" customWidth="1"/>
    <col min="3" max="3" width="14.7109375" style="2" customWidth="1"/>
    <col min="4" max="4" width="11.7109375" style="4" customWidth="1"/>
    <col min="5" max="5" width="11.7109375" style="1" customWidth="1"/>
    <col min="6" max="6" width="18.42578125" style="1" bestFit="1" customWidth="1"/>
    <col min="7" max="7" width="8.7109375" style="1" bestFit="1" customWidth="1"/>
    <col min="8" max="8" width="54" style="2" customWidth="1"/>
    <col min="9" max="9" width="42.140625" style="2" customWidth="1"/>
    <col min="10" max="10" width="16" style="1" customWidth="1"/>
    <col min="11" max="11" width="12" style="2" customWidth="1"/>
    <col min="12" max="12" width="71.28515625" style="2" customWidth="1"/>
    <col min="13" max="13" width="17.42578125" style="1" bestFit="1" customWidth="1"/>
    <col min="14" max="14" width="17.42578125" style="1" customWidth="1"/>
    <col min="15" max="15" width="19.85546875" style="1" bestFit="1" customWidth="1"/>
    <col min="16" max="16" width="27.85546875" style="1" bestFit="1" customWidth="1"/>
    <col min="17" max="18" width="12" style="4" bestFit="1" customWidth="1"/>
    <col min="19" max="19" width="19.140625" style="1" bestFit="1" customWidth="1"/>
    <col min="20" max="20" width="9.140625" style="9"/>
    <col min="21" max="16384" width="9.140625" style="1"/>
  </cols>
  <sheetData>
    <row r="1" spans="1:20" s="3" customFormat="1" ht="15.75" x14ac:dyDescent="0.25">
      <c r="A1" s="3" t="s">
        <v>10</v>
      </c>
      <c r="B1" s="3" t="s">
        <v>11</v>
      </c>
      <c r="C1" s="5" t="s">
        <v>12</v>
      </c>
      <c r="D1" s="3" t="s">
        <v>13</v>
      </c>
      <c r="E1" s="3" t="s">
        <v>42</v>
      </c>
      <c r="F1" s="3" t="s">
        <v>51</v>
      </c>
      <c r="G1" s="3" t="s">
        <v>98</v>
      </c>
      <c r="H1" s="5" t="s">
        <v>14</v>
      </c>
      <c r="I1" s="5" t="s">
        <v>15</v>
      </c>
      <c r="J1" s="3" t="s">
        <v>41</v>
      </c>
      <c r="K1" s="5" t="s">
        <v>125</v>
      </c>
      <c r="L1" s="5" t="s">
        <v>16</v>
      </c>
      <c r="M1" s="3" t="s">
        <v>17</v>
      </c>
      <c r="N1" s="3" t="s">
        <v>100</v>
      </c>
      <c r="O1" s="3" t="s">
        <v>97</v>
      </c>
      <c r="P1" s="3" t="s">
        <v>132</v>
      </c>
      <c r="Q1" s="10" t="s">
        <v>133</v>
      </c>
      <c r="R1" s="10" t="s">
        <v>134</v>
      </c>
      <c r="S1" s="3" t="s">
        <v>99</v>
      </c>
      <c r="T1" s="7"/>
    </row>
    <row r="2" spans="1:20" ht="75" x14ac:dyDescent="0.2">
      <c r="A2" s="1" t="s">
        <v>18</v>
      </c>
      <c r="B2" s="1" t="s">
        <v>19</v>
      </c>
      <c r="C2" s="2" t="s">
        <v>20</v>
      </c>
      <c r="D2" s="4">
        <v>0.7</v>
      </c>
      <c r="E2" s="1" t="s">
        <v>43</v>
      </c>
      <c r="H2" s="2" t="s">
        <v>21</v>
      </c>
      <c r="I2" s="2" t="s">
        <v>22</v>
      </c>
      <c r="J2" s="1" t="b">
        <f>TRUE()</f>
        <v>1</v>
      </c>
      <c r="K2" s="2" t="s">
        <v>126</v>
      </c>
      <c r="L2" s="2" t="str">
        <f>_xlfn.CONCAT(H2,K2,I2)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M2" s="1">
        <f>LEN(L2)</f>
        <v>246</v>
      </c>
      <c r="N2" s="1" t="b">
        <f>IF(M2&lt;=250,TRUE,FALSE)</f>
        <v>1</v>
      </c>
      <c r="O2" s="1" t="b">
        <f>TRUE()</f>
        <v>1</v>
      </c>
      <c r="P2" s="1" t="b">
        <f>TRUE()</f>
        <v>1</v>
      </c>
      <c r="Q2" s="4">
        <v>0.25843100000000002</v>
      </c>
      <c r="R2" s="4">
        <v>0.33503300000000003</v>
      </c>
      <c r="S2" s="12">
        <v>45968</v>
      </c>
      <c r="T2" s="8"/>
    </row>
    <row r="3" spans="1:20" ht="60" x14ac:dyDescent="0.2">
      <c r="A3" s="1" t="s">
        <v>23</v>
      </c>
      <c r="B3" s="1" t="s">
        <v>19</v>
      </c>
      <c r="C3" s="2" t="s">
        <v>20</v>
      </c>
      <c r="D3" s="4">
        <v>0.7</v>
      </c>
      <c r="E3" s="1" t="s">
        <v>43</v>
      </c>
      <c r="H3" s="2" t="s">
        <v>24</v>
      </c>
      <c r="I3" s="2" t="s">
        <v>25</v>
      </c>
      <c r="J3" s="1" t="b">
        <f>TRUE()</f>
        <v>1</v>
      </c>
      <c r="K3" s="2" t="s">
        <v>126</v>
      </c>
      <c r="L3" s="2" t="str">
        <f t="shared" ref="L3:L50" si="0">_xlfn.CONCAT(H3,K3,I3)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M3" s="1">
        <f>LEN(L3)</f>
        <v>240</v>
      </c>
      <c r="N3" s="1" t="b">
        <f t="shared" ref="N3:N50" si="1">IF(M3&lt;=250,TRUE,FALSE)</f>
        <v>1</v>
      </c>
      <c r="O3" s="1" t="b">
        <f>TRUE()</f>
        <v>1</v>
      </c>
      <c r="P3" s="1" t="b">
        <f>TRUE()</f>
        <v>1</v>
      </c>
      <c r="Q3" s="4">
        <v>0</v>
      </c>
      <c r="R3" s="4">
        <v>5.4939999999999998E-3</v>
      </c>
      <c r="S3" s="12">
        <v>45969</v>
      </c>
      <c r="T3" s="8"/>
    </row>
    <row r="4" spans="1:20" ht="60" x14ac:dyDescent="0.2">
      <c r="A4" s="1" t="s">
        <v>26</v>
      </c>
      <c r="B4" s="1" t="s">
        <v>19</v>
      </c>
      <c r="C4" s="2" t="s">
        <v>20</v>
      </c>
      <c r="D4" s="4">
        <v>0.9</v>
      </c>
      <c r="E4" s="1" t="s">
        <v>43</v>
      </c>
      <c r="H4" s="2" t="s">
        <v>27</v>
      </c>
      <c r="I4" s="2" t="s">
        <v>28</v>
      </c>
      <c r="J4" s="1" t="b">
        <f>TRUE()</f>
        <v>1</v>
      </c>
      <c r="K4" s="2" t="s">
        <v>126</v>
      </c>
      <c r="L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M4" s="1">
        <f>LEN(L4)</f>
        <v>239</v>
      </c>
      <c r="N4" s="1" t="b">
        <f t="shared" si="1"/>
        <v>1</v>
      </c>
      <c r="O4" s="1" t="b">
        <f>TRUE()</f>
        <v>1</v>
      </c>
      <c r="P4" s="1" t="b">
        <f>TRUE()</f>
        <v>1</v>
      </c>
      <c r="Q4" s="4">
        <v>0</v>
      </c>
      <c r="R4" s="4">
        <v>0</v>
      </c>
      <c r="S4" s="12">
        <v>45969</v>
      </c>
      <c r="T4" s="8"/>
    </row>
    <row r="5" spans="1:20" ht="60" x14ac:dyDescent="0.2">
      <c r="A5" s="1" t="s">
        <v>29</v>
      </c>
      <c r="B5" s="1" t="s">
        <v>19</v>
      </c>
      <c r="C5" s="2" t="s">
        <v>20</v>
      </c>
      <c r="D5" s="4">
        <v>0.9</v>
      </c>
      <c r="E5" s="1" t="s">
        <v>43</v>
      </c>
      <c r="H5" s="2" t="s">
        <v>30</v>
      </c>
      <c r="I5" s="2" t="s">
        <v>31</v>
      </c>
      <c r="J5" s="1" t="b">
        <f>TRUE()</f>
        <v>1</v>
      </c>
      <c r="K5" s="2" t="s">
        <v>126</v>
      </c>
      <c r="L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M5" s="1">
        <f>LEN(L5)</f>
        <v>240</v>
      </c>
      <c r="N5" s="1" t="b">
        <f t="shared" si="1"/>
        <v>1</v>
      </c>
      <c r="O5" s="1" t="b">
        <f>TRUE()</f>
        <v>1</v>
      </c>
      <c r="P5" s="1" t="b">
        <f>TRUE()</f>
        <v>1</v>
      </c>
      <c r="Q5" s="4">
        <v>5.2389999999999997E-3</v>
      </c>
      <c r="R5" s="4">
        <v>8.0114000000000005E-2</v>
      </c>
      <c r="S5" s="12">
        <v>45969</v>
      </c>
      <c r="T5" s="8"/>
    </row>
    <row r="6" spans="1:20" ht="60" x14ac:dyDescent="0.2">
      <c r="A6" s="1" t="s">
        <v>32</v>
      </c>
      <c r="B6" s="1" t="s">
        <v>19</v>
      </c>
      <c r="C6" s="2" t="s">
        <v>20</v>
      </c>
      <c r="D6" s="4">
        <v>0.5</v>
      </c>
      <c r="E6" s="1" t="s">
        <v>43</v>
      </c>
      <c r="H6" s="2" t="s">
        <v>33</v>
      </c>
      <c r="I6" s="2" t="s">
        <v>34</v>
      </c>
      <c r="J6" s="1" t="b">
        <f>TRUE()</f>
        <v>1</v>
      </c>
      <c r="K6" s="2" t="s">
        <v>126</v>
      </c>
      <c r="L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M6" s="1">
        <f>LEN(L6)</f>
        <v>238</v>
      </c>
      <c r="N6" s="1" t="b">
        <f t="shared" si="1"/>
        <v>1</v>
      </c>
      <c r="O6" s="1" t="b">
        <f>TRUE()</f>
        <v>1</v>
      </c>
      <c r="P6" s="1" t="b">
        <f>TRUE()</f>
        <v>1</v>
      </c>
      <c r="Q6" s="4">
        <v>0</v>
      </c>
      <c r="R6" s="4">
        <v>5.3489999999999996E-3</v>
      </c>
      <c r="S6" s="12">
        <v>45969</v>
      </c>
      <c r="T6" s="8"/>
    </row>
    <row r="7" spans="1:20" ht="75" x14ac:dyDescent="0.2">
      <c r="A7" s="1" t="s">
        <v>38</v>
      </c>
      <c r="B7" s="1" t="s">
        <v>36</v>
      </c>
      <c r="C7" s="2" t="s">
        <v>37</v>
      </c>
      <c r="E7" s="1" t="s">
        <v>43</v>
      </c>
      <c r="H7" s="2" t="s">
        <v>39</v>
      </c>
      <c r="I7" s="2" t="s">
        <v>40</v>
      </c>
      <c r="J7" s="1" t="b">
        <v>1</v>
      </c>
      <c r="K7" s="2" t="s">
        <v>126</v>
      </c>
      <c r="L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M7" s="1">
        <f t="shared" ref="M7:M50" si="2">LEN(L7)</f>
        <v>247</v>
      </c>
      <c r="N7" s="1" t="b">
        <f t="shared" si="1"/>
        <v>1</v>
      </c>
      <c r="O7" s="1" t="b">
        <f>TRUE()</f>
        <v>1</v>
      </c>
      <c r="P7" s="1" t="b">
        <f>TRUE()</f>
        <v>1</v>
      </c>
      <c r="Q7" s="4">
        <v>0</v>
      </c>
      <c r="R7" s="4">
        <v>1.302E-2</v>
      </c>
      <c r="S7" s="12">
        <v>45969</v>
      </c>
      <c r="T7" s="8"/>
    </row>
    <row r="8" spans="1:20" ht="75" x14ac:dyDescent="0.2">
      <c r="A8" s="1" t="s">
        <v>44</v>
      </c>
      <c r="B8" s="1" t="s">
        <v>52</v>
      </c>
      <c r="C8" s="2" t="s">
        <v>53</v>
      </c>
      <c r="D8" s="4">
        <v>0.1</v>
      </c>
      <c r="E8" s="1" t="s">
        <v>50</v>
      </c>
      <c r="F8" s="1" t="s">
        <v>18</v>
      </c>
      <c r="G8" s="1">
        <v>1</v>
      </c>
      <c r="H8" s="2" t="s">
        <v>55</v>
      </c>
      <c r="I8" s="2" t="s">
        <v>56</v>
      </c>
      <c r="J8" s="1" t="b">
        <v>1</v>
      </c>
      <c r="K8" s="2" t="s">
        <v>126</v>
      </c>
      <c r="L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M8" s="1">
        <f t="shared" si="2"/>
        <v>246</v>
      </c>
      <c r="N8" s="1" t="b">
        <f t="shared" si="1"/>
        <v>1</v>
      </c>
      <c r="O8" s="1" t="b">
        <f>TRUE()</f>
        <v>1</v>
      </c>
      <c r="P8" s="1" t="b">
        <f>TRUE()</f>
        <v>1</v>
      </c>
      <c r="Q8" s="4">
        <v>5.2820000000000002E-3</v>
      </c>
      <c r="R8" s="4">
        <v>8.6638999999999994E-2</v>
      </c>
      <c r="S8" s="12">
        <v>45968</v>
      </c>
      <c r="T8" s="8"/>
    </row>
    <row r="9" spans="1:20" ht="75" x14ac:dyDescent="0.2">
      <c r="A9" s="1" t="s">
        <v>45</v>
      </c>
      <c r="B9" s="1" t="s">
        <v>52</v>
      </c>
      <c r="C9" s="2" t="s">
        <v>53</v>
      </c>
      <c r="D9" s="4">
        <v>0.1</v>
      </c>
      <c r="E9" s="1" t="s">
        <v>50</v>
      </c>
      <c r="F9" s="1" t="s">
        <v>18</v>
      </c>
      <c r="G9" s="1">
        <v>1</v>
      </c>
      <c r="H9" s="2" t="s">
        <v>57</v>
      </c>
      <c r="I9" s="2" t="s">
        <v>58</v>
      </c>
      <c r="J9" s="1" t="b">
        <v>1</v>
      </c>
      <c r="K9" s="2" t="s">
        <v>126</v>
      </c>
      <c r="L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M9" s="1">
        <f t="shared" si="2"/>
        <v>246</v>
      </c>
      <c r="N9" s="1" t="b">
        <f t="shared" si="1"/>
        <v>1</v>
      </c>
      <c r="O9" s="1" t="b">
        <f>TRUE()</f>
        <v>1</v>
      </c>
      <c r="P9" s="1" t="b">
        <f>TRUE()</f>
        <v>1</v>
      </c>
      <c r="Q9" s="4">
        <v>0</v>
      </c>
      <c r="R9" s="4">
        <v>0</v>
      </c>
      <c r="S9" s="12">
        <v>45969</v>
      </c>
      <c r="T9" s="8"/>
    </row>
    <row r="10" spans="1:20" ht="75" x14ac:dyDescent="0.2">
      <c r="A10" s="1" t="s">
        <v>46</v>
      </c>
      <c r="B10" s="1" t="s">
        <v>52</v>
      </c>
      <c r="C10" s="2" t="s">
        <v>53</v>
      </c>
      <c r="D10" s="4">
        <v>0.1</v>
      </c>
      <c r="E10" s="1" t="s">
        <v>50</v>
      </c>
      <c r="F10" s="1" t="s">
        <v>18</v>
      </c>
      <c r="G10" s="1">
        <v>1</v>
      </c>
      <c r="H10" s="2" t="s">
        <v>59</v>
      </c>
      <c r="I10" s="2" t="s">
        <v>60</v>
      </c>
      <c r="J10" s="1" t="b">
        <v>1</v>
      </c>
      <c r="K10" s="2" t="s">
        <v>126</v>
      </c>
      <c r="L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M10" s="1">
        <f t="shared" si="2"/>
        <v>246</v>
      </c>
      <c r="N10" s="1" t="b">
        <f t="shared" si="1"/>
        <v>1</v>
      </c>
      <c r="O10" s="1" t="b">
        <f>TRUE()</f>
        <v>1</v>
      </c>
      <c r="P10" s="1" t="b">
        <f>TRUE()</f>
        <v>1</v>
      </c>
      <c r="Q10" s="4">
        <v>0.116301</v>
      </c>
      <c r="R10" s="4">
        <v>0.18454400000000001</v>
      </c>
      <c r="S10" s="12">
        <v>45968</v>
      </c>
      <c r="T10" s="8"/>
    </row>
    <row r="11" spans="1:20" ht="75" x14ac:dyDescent="0.2">
      <c r="A11" s="1" t="s">
        <v>47</v>
      </c>
      <c r="B11" s="1" t="s">
        <v>52</v>
      </c>
      <c r="C11" s="2" t="s">
        <v>53</v>
      </c>
      <c r="D11" s="4">
        <v>0.1</v>
      </c>
      <c r="E11" s="1" t="s">
        <v>50</v>
      </c>
      <c r="F11" s="1" t="s">
        <v>18</v>
      </c>
      <c r="G11" s="1">
        <v>1</v>
      </c>
      <c r="H11" s="2" t="s">
        <v>63</v>
      </c>
      <c r="I11" s="2" t="s">
        <v>64</v>
      </c>
      <c r="J11" s="1" t="b">
        <v>1</v>
      </c>
      <c r="K11" s="2" t="s">
        <v>126</v>
      </c>
      <c r="L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M11" s="1">
        <f t="shared" si="2"/>
        <v>246</v>
      </c>
      <c r="N11" s="1" t="b">
        <f t="shared" si="1"/>
        <v>1</v>
      </c>
      <c r="O11" s="1" t="b">
        <f>TRUE()</f>
        <v>1</v>
      </c>
      <c r="P11" s="1" t="b">
        <f>TRUE()</f>
        <v>1</v>
      </c>
      <c r="Q11" s="4">
        <v>0</v>
      </c>
      <c r="R11" s="4">
        <v>4.8060000000000004E-3</v>
      </c>
      <c r="S11" s="12">
        <v>45968</v>
      </c>
      <c r="T11" s="8"/>
    </row>
    <row r="12" spans="1:20" ht="75" x14ac:dyDescent="0.2">
      <c r="A12" s="1" t="s">
        <v>48</v>
      </c>
      <c r="B12" s="1" t="s">
        <v>52</v>
      </c>
      <c r="C12" s="2" t="s">
        <v>53</v>
      </c>
      <c r="D12" s="4">
        <v>0.1</v>
      </c>
      <c r="E12" s="1" t="s">
        <v>50</v>
      </c>
      <c r="F12" s="1" t="s">
        <v>18</v>
      </c>
      <c r="G12" s="1">
        <v>1</v>
      </c>
      <c r="H12" s="2" t="s">
        <v>65</v>
      </c>
      <c r="I12" s="2" t="s">
        <v>66</v>
      </c>
      <c r="J12" s="1" t="b">
        <v>1</v>
      </c>
      <c r="K12" s="2" t="s">
        <v>126</v>
      </c>
      <c r="L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M12" s="1">
        <f t="shared" si="2"/>
        <v>247</v>
      </c>
      <c r="N12" s="1" t="b">
        <f t="shared" si="1"/>
        <v>1</v>
      </c>
      <c r="O12" s="1" t="b">
        <f>TRUE()</f>
        <v>1</v>
      </c>
      <c r="P12" s="1" t="b">
        <f>TRUE()</f>
        <v>1</v>
      </c>
      <c r="S12" s="12">
        <v>45969</v>
      </c>
      <c r="T12" s="8"/>
    </row>
    <row r="13" spans="1:20" ht="75" x14ac:dyDescent="0.2">
      <c r="A13" s="1" t="s">
        <v>49</v>
      </c>
      <c r="B13" s="1" t="s">
        <v>52</v>
      </c>
      <c r="C13" s="2" t="s">
        <v>53</v>
      </c>
      <c r="D13" s="4">
        <v>0.1</v>
      </c>
      <c r="E13" s="1" t="s">
        <v>50</v>
      </c>
      <c r="F13" s="1" t="s">
        <v>18</v>
      </c>
      <c r="G13" s="1">
        <v>1</v>
      </c>
      <c r="H13" s="2" t="s">
        <v>67</v>
      </c>
      <c r="I13" s="2" t="s">
        <v>68</v>
      </c>
      <c r="J13" s="1" t="b">
        <v>1</v>
      </c>
      <c r="K13" s="2" t="s">
        <v>126</v>
      </c>
      <c r="L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M13" s="1">
        <f t="shared" si="2"/>
        <v>246</v>
      </c>
      <c r="N13" s="1" t="b">
        <f t="shared" si="1"/>
        <v>1</v>
      </c>
      <c r="O13" s="1" t="b">
        <f>TRUE()</f>
        <v>1</v>
      </c>
      <c r="P13" s="1" t="b">
        <f>TRUE()</f>
        <v>1</v>
      </c>
      <c r="Q13" s="4">
        <v>0</v>
      </c>
      <c r="R13" s="4">
        <v>0</v>
      </c>
      <c r="S13" s="12">
        <v>45969</v>
      </c>
      <c r="T13" s="8"/>
    </row>
    <row r="14" spans="1:20" ht="75" x14ac:dyDescent="0.2">
      <c r="A14" s="1" t="s">
        <v>54</v>
      </c>
      <c r="B14" s="1" t="s">
        <v>52</v>
      </c>
      <c r="C14" s="2" t="s">
        <v>53</v>
      </c>
      <c r="D14" s="4">
        <v>0.1</v>
      </c>
      <c r="E14" s="1" t="s">
        <v>50</v>
      </c>
      <c r="F14" s="1" t="s">
        <v>18</v>
      </c>
      <c r="G14" s="1">
        <v>1</v>
      </c>
      <c r="H14" s="2" t="s">
        <v>61</v>
      </c>
      <c r="I14" s="2" t="s">
        <v>62</v>
      </c>
      <c r="J14" s="1" t="b">
        <v>1</v>
      </c>
      <c r="K14" s="2" t="s">
        <v>126</v>
      </c>
      <c r="L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M14" s="1">
        <f t="shared" si="2"/>
        <v>246</v>
      </c>
      <c r="N14" s="1" t="b">
        <f t="shared" si="1"/>
        <v>1</v>
      </c>
      <c r="O14" s="1" t="b">
        <f>TRUE()</f>
        <v>1</v>
      </c>
      <c r="P14" s="1" t="b">
        <f>TRUE()</f>
        <v>1</v>
      </c>
      <c r="Q14" s="4">
        <v>5.7704999999999999E-2</v>
      </c>
      <c r="R14" s="4">
        <v>0.165157</v>
      </c>
      <c r="S14" s="12">
        <v>45968</v>
      </c>
      <c r="T14" s="8"/>
    </row>
    <row r="15" spans="1:20" ht="75" x14ac:dyDescent="0.2">
      <c r="A15" s="1" t="s">
        <v>70</v>
      </c>
      <c r="B15" s="1" t="s">
        <v>52</v>
      </c>
      <c r="C15" s="2" t="s">
        <v>69</v>
      </c>
      <c r="D15" s="4">
        <v>0.15</v>
      </c>
      <c r="E15" s="1" t="s">
        <v>50</v>
      </c>
      <c r="F15" s="1" t="s">
        <v>18</v>
      </c>
      <c r="G15" s="1">
        <v>1</v>
      </c>
      <c r="H15" s="2" t="s">
        <v>78</v>
      </c>
      <c r="I15" s="2" t="s">
        <v>79</v>
      </c>
      <c r="J15" s="1" t="b">
        <v>1</v>
      </c>
      <c r="K15" s="2" t="s">
        <v>126</v>
      </c>
      <c r="L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M15" s="1">
        <f t="shared" si="2"/>
        <v>247</v>
      </c>
      <c r="N15" s="1" t="b">
        <f t="shared" si="1"/>
        <v>1</v>
      </c>
      <c r="O15" s="1" t="b">
        <f>TRUE()</f>
        <v>1</v>
      </c>
      <c r="P15" s="1" t="b">
        <f>TRUE()</f>
        <v>1</v>
      </c>
      <c r="S15" s="12">
        <v>45969</v>
      </c>
      <c r="T15" s="8"/>
    </row>
    <row r="16" spans="1:20" ht="75" x14ac:dyDescent="0.2">
      <c r="A16" s="1" t="s">
        <v>71</v>
      </c>
      <c r="B16" s="1" t="s">
        <v>52</v>
      </c>
      <c r="C16" s="2" t="s">
        <v>69</v>
      </c>
      <c r="D16" s="4">
        <v>0.15</v>
      </c>
      <c r="E16" s="1" t="s">
        <v>50</v>
      </c>
      <c r="F16" s="1" t="s">
        <v>18</v>
      </c>
      <c r="G16" s="1">
        <v>1</v>
      </c>
      <c r="H16" s="2" t="s">
        <v>80</v>
      </c>
      <c r="I16" s="2" t="s">
        <v>81</v>
      </c>
      <c r="J16" s="1" t="b">
        <v>1</v>
      </c>
      <c r="K16" s="2" t="s">
        <v>126</v>
      </c>
      <c r="L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M16" s="1">
        <f t="shared" si="2"/>
        <v>246</v>
      </c>
      <c r="N16" s="1" t="b">
        <f t="shared" si="1"/>
        <v>1</v>
      </c>
      <c r="O16" s="1" t="b">
        <f>TRUE()</f>
        <v>1</v>
      </c>
      <c r="P16" s="1" t="b">
        <f>TRUE()</f>
        <v>1</v>
      </c>
      <c r="Q16" s="4">
        <v>0.15156800000000001</v>
      </c>
      <c r="R16" s="4">
        <v>0.23256399999999999</v>
      </c>
      <c r="S16" s="12">
        <v>45968</v>
      </c>
      <c r="T16" s="8"/>
    </row>
    <row r="17" spans="1:20" ht="75" x14ac:dyDescent="0.2">
      <c r="A17" s="1" t="s">
        <v>72</v>
      </c>
      <c r="B17" s="1" t="s">
        <v>52</v>
      </c>
      <c r="C17" s="2" t="s">
        <v>69</v>
      </c>
      <c r="D17" s="4">
        <v>0.15</v>
      </c>
      <c r="E17" s="1" t="s">
        <v>50</v>
      </c>
      <c r="F17" s="1" t="s">
        <v>18</v>
      </c>
      <c r="G17" s="1">
        <v>1</v>
      </c>
      <c r="H17" s="2" t="s">
        <v>82</v>
      </c>
      <c r="I17" s="2" t="s">
        <v>83</v>
      </c>
      <c r="J17" s="1" t="b">
        <v>1</v>
      </c>
      <c r="K17" s="2" t="s">
        <v>126</v>
      </c>
      <c r="L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M17" s="1">
        <f t="shared" si="2"/>
        <v>246</v>
      </c>
      <c r="N17" s="1" t="b">
        <f t="shared" si="1"/>
        <v>1</v>
      </c>
      <c r="O17" s="1" t="b">
        <f>TRUE()</f>
        <v>1</v>
      </c>
      <c r="P17" s="1" t="b">
        <f>TRUE()</f>
        <v>1</v>
      </c>
      <c r="Q17" s="4">
        <v>0</v>
      </c>
      <c r="R17" s="4">
        <v>0</v>
      </c>
      <c r="S17" s="12">
        <v>45969</v>
      </c>
      <c r="T17" s="8"/>
    </row>
    <row r="18" spans="1:20" ht="75" x14ac:dyDescent="0.2">
      <c r="A18" s="1" t="s">
        <v>73</v>
      </c>
      <c r="B18" s="1" t="s">
        <v>52</v>
      </c>
      <c r="C18" s="2" t="s">
        <v>69</v>
      </c>
      <c r="D18" s="4">
        <v>0.15</v>
      </c>
      <c r="E18" s="1" t="s">
        <v>50</v>
      </c>
      <c r="F18" s="1" t="s">
        <v>18</v>
      </c>
      <c r="G18" s="1">
        <v>1</v>
      </c>
      <c r="H18" s="2" t="s">
        <v>84</v>
      </c>
      <c r="I18" s="2" t="s">
        <v>85</v>
      </c>
      <c r="J18" s="1" t="b">
        <v>1</v>
      </c>
      <c r="K18" s="2" t="s">
        <v>126</v>
      </c>
      <c r="L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M18" s="1">
        <f t="shared" si="2"/>
        <v>246</v>
      </c>
      <c r="N18" s="1" t="b">
        <f t="shared" si="1"/>
        <v>1</v>
      </c>
      <c r="O18" s="1" t="b">
        <f>TRUE()</f>
        <v>1</v>
      </c>
      <c r="P18" s="1" t="b">
        <f>TRUE()</f>
        <v>1</v>
      </c>
      <c r="Q18" s="4">
        <v>0</v>
      </c>
      <c r="R18" s="4">
        <v>0</v>
      </c>
      <c r="T18" s="8"/>
    </row>
    <row r="19" spans="1:20" ht="75" x14ac:dyDescent="0.2">
      <c r="A19" s="1" t="s">
        <v>74</v>
      </c>
      <c r="B19" s="1" t="s">
        <v>52</v>
      </c>
      <c r="C19" s="2" t="s">
        <v>69</v>
      </c>
      <c r="D19" s="4">
        <v>0.15</v>
      </c>
      <c r="E19" s="1" t="s">
        <v>50</v>
      </c>
      <c r="F19" s="1" t="s">
        <v>18</v>
      </c>
      <c r="G19" s="1">
        <v>1</v>
      </c>
      <c r="H19" s="2" t="s">
        <v>86</v>
      </c>
      <c r="I19" s="2" t="s">
        <v>87</v>
      </c>
      <c r="J19" s="1" t="b">
        <v>1</v>
      </c>
      <c r="K19" s="2" t="s">
        <v>126</v>
      </c>
      <c r="L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M19" s="1">
        <f t="shared" si="2"/>
        <v>246</v>
      </c>
      <c r="N19" s="1" t="b">
        <f t="shared" si="1"/>
        <v>1</v>
      </c>
      <c r="O19" s="1" t="b">
        <f>TRUE()</f>
        <v>1</v>
      </c>
      <c r="P19" s="1" t="b">
        <f>TRUE()</f>
        <v>1</v>
      </c>
      <c r="Q19" s="4">
        <v>0</v>
      </c>
      <c r="R19" s="4">
        <v>6.1079999999999997E-3</v>
      </c>
      <c r="T19" s="8"/>
    </row>
    <row r="20" spans="1:20" ht="75" x14ac:dyDescent="0.2">
      <c r="A20" s="1" t="s">
        <v>75</v>
      </c>
      <c r="B20" s="1" t="s">
        <v>52</v>
      </c>
      <c r="C20" s="2" t="s">
        <v>69</v>
      </c>
      <c r="D20" s="4">
        <v>0.15</v>
      </c>
      <c r="E20" s="1" t="s">
        <v>50</v>
      </c>
      <c r="F20" s="1" t="s">
        <v>18</v>
      </c>
      <c r="G20" s="1">
        <v>1</v>
      </c>
      <c r="H20" s="2" t="s">
        <v>88</v>
      </c>
      <c r="I20" s="2" t="s">
        <v>89</v>
      </c>
      <c r="J20" s="1" t="b">
        <v>1</v>
      </c>
      <c r="K20" s="2" t="s">
        <v>126</v>
      </c>
      <c r="L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M20" s="1">
        <f t="shared" si="2"/>
        <v>246</v>
      </c>
      <c r="N20" s="1" t="b">
        <f t="shared" si="1"/>
        <v>1</v>
      </c>
      <c r="O20" s="1" t="b">
        <f>TRUE()</f>
        <v>1</v>
      </c>
      <c r="P20" s="1" t="b">
        <f>TRUE()</f>
        <v>1</v>
      </c>
      <c r="Q20" s="4">
        <v>0</v>
      </c>
      <c r="R20" s="4">
        <v>0</v>
      </c>
      <c r="T20" s="8"/>
    </row>
    <row r="21" spans="1:20" ht="75" x14ac:dyDescent="0.2">
      <c r="A21" s="1" t="s">
        <v>76</v>
      </c>
      <c r="B21" s="1" t="s">
        <v>52</v>
      </c>
      <c r="C21" s="2" t="s">
        <v>69</v>
      </c>
      <c r="D21" s="4">
        <v>0.15</v>
      </c>
      <c r="E21" s="1" t="s">
        <v>50</v>
      </c>
      <c r="F21" s="1" t="s">
        <v>18</v>
      </c>
      <c r="G21" s="1">
        <v>1</v>
      </c>
      <c r="H21" s="2" t="s">
        <v>90</v>
      </c>
      <c r="I21" s="2" t="s">
        <v>91</v>
      </c>
      <c r="J21" s="1" t="b">
        <v>1</v>
      </c>
      <c r="K21" s="2" t="s">
        <v>126</v>
      </c>
      <c r="L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M21" s="1">
        <f t="shared" si="2"/>
        <v>246</v>
      </c>
      <c r="N21" s="1" t="b">
        <f t="shared" si="1"/>
        <v>1</v>
      </c>
      <c r="O21" s="1" t="b">
        <f>TRUE()</f>
        <v>1</v>
      </c>
      <c r="P21" s="1" t="b">
        <f>TRUE()</f>
        <v>1</v>
      </c>
      <c r="Q21" s="4">
        <v>0</v>
      </c>
      <c r="R21" s="4">
        <v>0</v>
      </c>
      <c r="T21" s="8"/>
    </row>
    <row r="22" spans="1:20" ht="75" x14ac:dyDescent="0.2">
      <c r="A22" s="1" t="s">
        <v>77</v>
      </c>
      <c r="B22" s="1" t="s">
        <v>52</v>
      </c>
      <c r="C22" s="2" t="s">
        <v>69</v>
      </c>
      <c r="D22" s="4">
        <v>0.15</v>
      </c>
      <c r="E22" s="1" t="s">
        <v>50</v>
      </c>
      <c r="F22" s="1" t="s">
        <v>18</v>
      </c>
      <c r="G22" s="1">
        <v>1</v>
      </c>
      <c r="H22" s="2" t="s">
        <v>92</v>
      </c>
      <c r="I22" s="2" t="s">
        <v>93</v>
      </c>
      <c r="J22" s="1" t="b">
        <v>1</v>
      </c>
      <c r="K22" s="2" t="s">
        <v>126</v>
      </c>
      <c r="L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M22" s="1">
        <f t="shared" si="2"/>
        <v>246</v>
      </c>
      <c r="N22" s="1" t="b">
        <f t="shared" si="1"/>
        <v>1</v>
      </c>
      <c r="O22" s="1" t="b">
        <f>TRUE()</f>
        <v>1</v>
      </c>
      <c r="P22" s="1" t="b">
        <f>TRUE()</f>
        <v>1</v>
      </c>
      <c r="Q22" s="4">
        <v>0</v>
      </c>
      <c r="R22" s="4">
        <v>5.0870000000000004E-3</v>
      </c>
      <c r="T22" s="8"/>
    </row>
    <row r="23" spans="1:20" ht="75" x14ac:dyDescent="0.2">
      <c r="A23" s="1" t="s">
        <v>102</v>
      </c>
      <c r="B23" s="1" t="s">
        <v>110</v>
      </c>
      <c r="C23" s="2" t="s">
        <v>111</v>
      </c>
      <c r="D23" s="4">
        <v>0.1</v>
      </c>
      <c r="E23" s="1" t="s">
        <v>50</v>
      </c>
      <c r="F23" s="1" t="s">
        <v>101</v>
      </c>
      <c r="G23" s="1">
        <v>2</v>
      </c>
      <c r="H23" s="2" t="s">
        <v>114</v>
      </c>
      <c r="I23" s="2" t="s">
        <v>116</v>
      </c>
      <c r="J23" s="1" t="b">
        <v>1</v>
      </c>
      <c r="K23" s="2" t="s">
        <v>127</v>
      </c>
      <c r="L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M23" s="1">
        <f t="shared" si="2"/>
        <v>250</v>
      </c>
      <c r="N23" s="1" t="b">
        <f t="shared" si="1"/>
        <v>1</v>
      </c>
      <c r="O23" s="1" t="b">
        <f>TRUE()</f>
        <v>1</v>
      </c>
      <c r="P23" s="1" t="b">
        <f>TRUE()</f>
        <v>1</v>
      </c>
      <c r="T23" s="8"/>
    </row>
    <row r="24" spans="1:20" ht="75" x14ac:dyDescent="0.2">
      <c r="A24" s="1" t="s">
        <v>103</v>
      </c>
      <c r="B24" s="1" t="s">
        <v>110</v>
      </c>
      <c r="C24" s="2" t="s">
        <v>111</v>
      </c>
      <c r="D24" s="4">
        <v>0.1</v>
      </c>
      <c r="E24" s="1" t="s">
        <v>50</v>
      </c>
      <c r="F24" s="1" t="s">
        <v>101</v>
      </c>
      <c r="G24" s="1">
        <v>2</v>
      </c>
      <c r="H24" s="2" t="s">
        <v>117</v>
      </c>
      <c r="I24" s="2" t="s">
        <v>115</v>
      </c>
      <c r="J24" s="1" t="b">
        <v>1</v>
      </c>
      <c r="K24" s="2" t="s">
        <v>127</v>
      </c>
      <c r="L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M24" s="1">
        <f t="shared" si="2"/>
        <v>249</v>
      </c>
      <c r="N24" s="1" t="b">
        <f t="shared" si="1"/>
        <v>1</v>
      </c>
      <c r="O24" s="1" t="b">
        <f>TRUE()</f>
        <v>1</v>
      </c>
      <c r="P24" s="1" t="b">
        <f>TRUE()</f>
        <v>1</v>
      </c>
      <c r="Q24" s="4">
        <v>0.31751499999999999</v>
      </c>
      <c r="R24" s="4">
        <v>0.405559</v>
      </c>
      <c r="S24" s="12">
        <v>45968</v>
      </c>
      <c r="T24" s="8"/>
    </row>
    <row r="25" spans="1:20" ht="75" x14ac:dyDescent="0.2">
      <c r="A25" s="1" t="s">
        <v>104</v>
      </c>
      <c r="B25" s="1" t="s">
        <v>110</v>
      </c>
      <c r="C25" s="2" t="s">
        <v>111</v>
      </c>
      <c r="D25" s="4">
        <v>0.1</v>
      </c>
      <c r="E25" s="1" t="s">
        <v>50</v>
      </c>
      <c r="F25" s="1" t="s">
        <v>101</v>
      </c>
      <c r="G25" s="1">
        <v>2</v>
      </c>
      <c r="H25" s="2" t="s">
        <v>118</v>
      </c>
      <c r="I25" s="2" t="s">
        <v>119</v>
      </c>
      <c r="J25" s="1" t="b">
        <v>1</v>
      </c>
      <c r="K25" s="2" t="s">
        <v>127</v>
      </c>
      <c r="L25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M25" s="1">
        <f t="shared" si="2"/>
        <v>249</v>
      </c>
      <c r="N25" s="1" t="b">
        <f t="shared" si="1"/>
        <v>1</v>
      </c>
      <c r="O25" s="1" t="b">
        <f>TRUE()</f>
        <v>1</v>
      </c>
      <c r="P25" s="1" t="b">
        <f>TRUE()</f>
        <v>1</v>
      </c>
      <c r="Q25" s="4">
        <v>0.64176299999999997</v>
      </c>
      <c r="R25" s="4">
        <v>0.69121100000000002</v>
      </c>
      <c r="S25" s="12">
        <v>45968</v>
      </c>
      <c r="T25" s="8"/>
    </row>
    <row r="26" spans="1:20" ht="75" x14ac:dyDescent="0.25">
      <c r="A26" s="1" t="s">
        <v>105</v>
      </c>
      <c r="B26" s="1" t="s">
        <v>110</v>
      </c>
      <c r="C26" s="2" t="s">
        <v>111</v>
      </c>
      <c r="D26" s="4">
        <v>0.1</v>
      </c>
      <c r="E26" s="1" t="s">
        <v>50</v>
      </c>
      <c r="F26" s="1" t="s">
        <v>101</v>
      </c>
      <c r="G26" s="1">
        <v>2</v>
      </c>
      <c r="H26" s="2" t="s">
        <v>113</v>
      </c>
      <c r="I26" s="2" t="s">
        <v>120</v>
      </c>
      <c r="J26" s="1" t="b">
        <v>1</v>
      </c>
      <c r="K26" s="2" t="s">
        <v>127</v>
      </c>
      <c r="L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M26" s="1">
        <f t="shared" si="2"/>
        <v>249</v>
      </c>
      <c r="N26" s="1" t="b">
        <f t="shared" si="1"/>
        <v>1</v>
      </c>
      <c r="O26" s="1" t="b">
        <f>TRUE()</f>
        <v>1</v>
      </c>
      <c r="P26" s="1" t="b">
        <f>TRUE()</f>
        <v>1</v>
      </c>
      <c r="Q26" s="4">
        <v>5.2189999999999997E-3</v>
      </c>
      <c r="R26" s="4">
        <v>5.4400000000000004E-3</v>
      </c>
    </row>
    <row r="27" spans="1:20" ht="75" x14ac:dyDescent="0.25">
      <c r="A27" s="1" t="s">
        <v>106</v>
      </c>
      <c r="B27" s="1" t="s">
        <v>110</v>
      </c>
      <c r="C27" s="2" t="s">
        <v>111</v>
      </c>
      <c r="D27" s="4">
        <v>0.1</v>
      </c>
      <c r="E27" s="1" t="s">
        <v>50</v>
      </c>
      <c r="F27" s="1" t="s">
        <v>101</v>
      </c>
      <c r="G27" s="1">
        <v>2</v>
      </c>
      <c r="H27" s="2" t="s">
        <v>121</v>
      </c>
      <c r="I27" s="2" t="s">
        <v>122</v>
      </c>
      <c r="J27" s="1" t="b">
        <v>1</v>
      </c>
      <c r="K27" s="2" t="s">
        <v>127</v>
      </c>
      <c r="L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M27" s="1">
        <f t="shared" si="2"/>
        <v>249</v>
      </c>
      <c r="N27" s="1" t="b">
        <f t="shared" si="1"/>
        <v>1</v>
      </c>
      <c r="O27" s="1" t="b">
        <f>TRUE()</f>
        <v>1</v>
      </c>
      <c r="P27" s="1" t="b">
        <f>TRUE()</f>
        <v>1</v>
      </c>
      <c r="Q27" s="4">
        <v>0</v>
      </c>
      <c r="R27" s="4">
        <v>0</v>
      </c>
    </row>
    <row r="28" spans="1:20" ht="75" x14ac:dyDescent="0.25">
      <c r="A28" s="1" t="s">
        <v>107</v>
      </c>
      <c r="B28" s="1" t="s">
        <v>110</v>
      </c>
      <c r="C28" s="2" t="s">
        <v>111</v>
      </c>
      <c r="D28" s="4">
        <v>0.1</v>
      </c>
      <c r="E28" s="1" t="s">
        <v>50</v>
      </c>
      <c r="F28" s="1" t="s">
        <v>101</v>
      </c>
      <c r="G28" s="1">
        <v>2</v>
      </c>
      <c r="H28" s="2" t="s">
        <v>124</v>
      </c>
      <c r="I28" s="2" t="s">
        <v>123</v>
      </c>
      <c r="J28" s="1" t="b">
        <v>1</v>
      </c>
      <c r="K28" s="2" t="s">
        <v>127</v>
      </c>
      <c r="L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M28" s="1">
        <f t="shared" si="2"/>
        <v>249</v>
      </c>
      <c r="N28" s="1" t="b">
        <f t="shared" si="1"/>
        <v>1</v>
      </c>
      <c r="O28" s="1" t="b">
        <f>TRUE()</f>
        <v>1</v>
      </c>
      <c r="P28" s="1" t="b">
        <f>TRUE()</f>
        <v>1</v>
      </c>
      <c r="Q28" s="4">
        <v>5.1520000000000003E-3</v>
      </c>
      <c r="R28" s="4">
        <v>5.3605E-2</v>
      </c>
    </row>
    <row r="29" spans="1:20" ht="75" x14ac:dyDescent="0.25">
      <c r="A29" s="1" t="s">
        <v>108</v>
      </c>
      <c r="B29" s="1" t="s">
        <v>110</v>
      </c>
      <c r="C29" s="2" t="s">
        <v>111</v>
      </c>
      <c r="D29" s="4">
        <v>0.1</v>
      </c>
      <c r="E29" s="1" t="s">
        <v>50</v>
      </c>
      <c r="F29" s="1" t="s">
        <v>101</v>
      </c>
      <c r="G29" s="1">
        <v>2</v>
      </c>
      <c r="H29" s="2" t="s">
        <v>129</v>
      </c>
      <c r="I29" s="2" t="s">
        <v>128</v>
      </c>
      <c r="J29" s="1" t="b">
        <v>1</v>
      </c>
      <c r="K29" s="2" t="s">
        <v>127</v>
      </c>
      <c r="L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M29" s="1">
        <f t="shared" si="2"/>
        <v>249</v>
      </c>
      <c r="N29" s="1" t="b">
        <f t="shared" si="1"/>
        <v>1</v>
      </c>
      <c r="O29" s="1" t="b">
        <f>TRUE()</f>
        <v>1</v>
      </c>
      <c r="P29" s="1" t="b">
        <f>TRUE()</f>
        <v>1</v>
      </c>
      <c r="Q29" s="4">
        <v>0.32629000000000002</v>
      </c>
      <c r="R29" s="4">
        <v>0.41575699999999999</v>
      </c>
      <c r="S29" s="12">
        <v>45968</v>
      </c>
    </row>
    <row r="30" spans="1:20" ht="75" x14ac:dyDescent="0.25">
      <c r="A30" s="1" t="s">
        <v>109</v>
      </c>
      <c r="B30" s="1" t="s">
        <v>110</v>
      </c>
      <c r="C30" s="2" t="s">
        <v>111</v>
      </c>
      <c r="D30" s="4">
        <v>0.1</v>
      </c>
      <c r="E30" s="1" t="s">
        <v>50</v>
      </c>
      <c r="F30" s="1" t="s">
        <v>101</v>
      </c>
      <c r="G30" s="1">
        <v>2</v>
      </c>
      <c r="H30" s="2" t="s">
        <v>130</v>
      </c>
      <c r="I30" s="2" t="s">
        <v>131</v>
      </c>
      <c r="J30" s="1" t="b">
        <v>1</v>
      </c>
      <c r="K30" s="2" t="s">
        <v>127</v>
      </c>
      <c r="L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M30" s="1">
        <f t="shared" si="2"/>
        <v>249</v>
      </c>
      <c r="N30" s="1" t="b">
        <f t="shared" si="1"/>
        <v>1</v>
      </c>
      <c r="O30" s="1" t="b">
        <f>TRUE()</f>
        <v>1</v>
      </c>
      <c r="P30" s="1" t="b">
        <f>TRUE()</f>
        <v>1</v>
      </c>
      <c r="Q30" s="4">
        <v>0.50901600000000002</v>
      </c>
      <c r="R30" s="4">
        <v>0.56638100000000002</v>
      </c>
      <c r="S30" s="12">
        <v>45968</v>
      </c>
    </row>
    <row r="31" spans="1:20" ht="60" x14ac:dyDescent="0.25">
      <c r="A31" s="1" t="s">
        <v>185</v>
      </c>
      <c r="B31" s="1" t="s">
        <v>19</v>
      </c>
      <c r="C31" s="2" t="s">
        <v>35</v>
      </c>
      <c r="D31" s="4">
        <v>0.7</v>
      </c>
      <c r="E31" s="1" t="s">
        <v>43</v>
      </c>
      <c r="H31" s="2" t="s">
        <v>145</v>
      </c>
      <c r="I31" s="2" t="s">
        <v>146</v>
      </c>
      <c r="J31" s="1" t="b">
        <v>1</v>
      </c>
      <c r="K31" s="2" t="s">
        <v>126</v>
      </c>
      <c r="L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M31" s="1">
        <f t="shared" si="2"/>
        <v>241</v>
      </c>
      <c r="N31" s="1" t="b">
        <f t="shared" si="1"/>
        <v>1</v>
      </c>
      <c r="O31" s="1" t="b">
        <v>0</v>
      </c>
      <c r="P31" s="1" t="b">
        <v>0</v>
      </c>
    </row>
    <row r="32" spans="1:20" ht="75" x14ac:dyDescent="0.25">
      <c r="A32" s="1" t="s">
        <v>186</v>
      </c>
      <c r="B32" s="1" t="s">
        <v>19</v>
      </c>
      <c r="C32" s="2" t="s">
        <v>35</v>
      </c>
      <c r="D32" s="4">
        <v>0.7</v>
      </c>
      <c r="E32" s="1" t="s">
        <v>43</v>
      </c>
      <c r="H32" s="2" t="s">
        <v>147</v>
      </c>
      <c r="I32" s="2" t="s">
        <v>148</v>
      </c>
      <c r="J32" s="1" t="b">
        <v>1</v>
      </c>
      <c r="K32" s="2" t="s">
        <v>127</v>
      </c>
      <c r="L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M32" s="1">
        <f t="shared" si="2"/>
        <v>248</v>
      </c>
      <c r="N32" s="1" t="b">
        <f t="shared" si="1"/>
        <v>1</v>
      </c>
      <c r="O32" s="1" t="b">
        <v>0</v>
      </c>
      <c r="P32" s="1" t="b">
        <v>0</v>
      </c>
    </row>
    <row r="33" spans="1:16" ht="75" x14ac:dyDescent="0.25">
      <c r="A33" s="1" t="s">
        <v>187</v>
      </c>
      <c r="B33" s="1" t="s">
        <v>19</v>
      </c>
      <c r="C33" s="2" t="s">
        <v>35</v>
      </c>
      <c r="D33" s="4">
        <v>0.7</v>
      </c>
      <c r="E33" s="1" t="s">
        <v>43</v>
      </c>
      <c r="H33" s="2" t="s">
        <v>149</v>
      </c>
      <c r="I33" s="2" t="s">
        <v>150</v>
      </c>
      <c r="J33" s="1" t="b">
        <v>1</v>
      </c>
      <c r="K33" s="2" t="s">
        <v>126</v>
      </c>
      <c r="L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M33" s="1">
        <f t="shared" si="2"/>
        <v>242</v>
      </c>
      <c r="N33" s="1" t="b">
        <f t="shared" si="1"/>
        <v>1</v>
      </c>
      <c r="O33" s="1" t="b">
        <v>0</v>
      </c>
      <c r="P33" s="1" t="b">
        <v>0</v>
      </c>
    </row>
    <row r="34" spans="1:16" ht="60" x14ac:dyDescent="0.25">
      <c r="A34" s="1" t="s">
        <v>188</v>
      </c>
      <c r="B34" s="1" t="s">
        <v>19</v>
      </c>
      <c r="C34" s="2" t="s">
        <v>35</v>
      </c>
      <c r="D34" s="4">
        <v>0.7</v>
      </c>
      <c r="E34" s="1" t="s">
        <v>43</v>
      </c>
      <c r="H34" s="2" t="s">
        <v>151</v>
      </c>
      <c r="I34" s="2" t="s">
        <v>152</v>
      </c>
      <c r="J34" s="1" t="b">
        <v>1</v>
      </c>
      <c r="K34" s="2" t="s">
        <v>126</v>
      </c>
      <c r="L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M34" s="1">
        <f t="shared" si="2"/>
        <v>240</v>
      </c>
      <c r="N34" s="1" t="b">
        <f t="shared" si="1"/>
        <v>1</v>
      </c>
      <c r="O34" s="1" t="b">
        <v>0</v>
      </c>
      <c r="P34" s="1" t="b">
        <v>0</v>
      </c>
    </row>
    <row r="35" spans="1:16" ht="75" x14ac:dyDescent="0.25">
      <c r="A35" s="1" t="s">
        <v>189</v>
      </c>
      <c r="B35" s="1" t="s">
        <v>19</v>
      </c>
      <c r="C35" s="2" t="s">
        <v>35</v>
      </c>
      <c r="D35" s="4">
        <v>0.7</v>
      </c>
      <c r="E35" s="1" t="s">
        <v>43</v>
      </c>
      <c r="H35" s="2" t="s">
        <v>153</v>
      </c>
      <c r="I35" s="2" t="s">
        <v>154</v>
      </c>
      <c r="J35" s="1" t="b">
        <v>1</v>
      </c>
      <c r="K35" s="2" t="s">
        <v>126</v>
      </c>
      <c r="L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M35" s="1">
        <f t="shared" si="2"/>
        <v>246</v>
      </c>
      <c r="N35" s="1" t="b">
        <f t="shared" si="1"/>
        <v>1</v>
      </c>
      <c r="O35" s="1" t="b">
        <v>0</v>
      </c>
      <c r="P35" s="1" t="b">
        <v>0</v>
      </c>
    </row>
    <row r="36" spans="1:16" ht="75" x14ac:dyDescent="0.25">
      <c r="A36" s="1" t="s">
        <v>190</v>
      </c>
      <c r="B36" s="1" t="s">
        <v>19</v>
      </c>
      <c r="C36" s="2" t="s">
        <v>35</v>
      </c>
      <c r="D36" s="4">
        <v>0.7</v>
      </c>
      <c r="E36" s="1" t="s">
        <v>43</v>
      </c>
      <c r="H36" s="2" t="s">
        <v>155</v>
      </c>
      <c r="I36" s="2" t="s">
        <v>156</v>
      </c>
      <c r="J36" s="1" t="b">
        <v>1</v>
      </c>
      <c r="K36" s="2" t="s">
        <v>126</v>
      </c>
      <c r="L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M36" s="1">
        <f t="shared" si="2"/>
        <v>244</v>
      </c>
      <c r="N36" s="1" t="b">
        <f t="shared" si="1"/>
        <v>1</v>
      </c>
      <c r="O36" s="1" t="b">
        <v>0</v>
      </c>
      <c r="P36" s="1" t="b">
        <v>0</v>
      </c>
    </row>
    <row r="37" spans="1:16" ht="75" x14ac:dyDescent="0.25">
      <c r="A37" s="1" t="s">
        <v>191</v>
      </c>
      <c r="B37" s="1" t="s">
        <v>19</v>
      </c>
      <c r="C37" s="2" t="s">
        <v>35</v>
      </c>
      <c r="D37" s="4">
        <v>0.7</v>
      </c>
      <c r="E37" s="1" t="s">
        <v>43</v>
      </c>
      <c r="H37" s="2" t="s">
        <v>157</v>
      </c>
      <c r="I37" s="2" t="s">
        <v>158</v>
      </c>
      <c r="J37" s="1" t="b">
        <v>1</v>
      </c>
      <c r="K37" s="2" t="s">
        <v>127</v>
      </c>
      <c r="L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M37" s="1">
        <f t="shared" si="2"/>
        <v>247</v>
      </c>
      <c r="N37" s="1" t="b">
        <f t="shared" si="1"/>
        <v>1</v>
      </c>
      <c r="O37" s="1" t="b">
        <v>0</v>
      </c>
      <c r="P37" s="1" t="b">
        <v>0</v>
      </c>
    </row>
    <row r="38" spans="1:16" ht="60" x14ac:dyDescent="0.25">
      <c r="A38" s="1" t="s">
        <v>192</v>
      </c>
      <c r="B38" s="1" t="s">
        <v>19</v>
      </c>
      <c r="C38" s="2" t="s">
        <v>35</v>
      </c>
      <c r="D38" s="4">
        <v>0.7</v>
      </c>
      <c r="E38" s="1" t="s">
        <v>43</v>
      </c>
      <c r="H38" s="2" t="s">
        <v>159</v>
      </c>
      <c r="I38" s="2" t="s">
        <v>160</v>
      </c>
      <c r="J38" s="1" t="b">
        <v>1</v>
      </c>
      <c r="K38" s="2" t="s">
        <v>126</v>
      </c>
      <c r="L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M38" s="1">
        <f t="shared" si="2"/>
        <v>237</v>
      </c>
      <c r="N38" s="1" t="b">
        <f t="shared" si="1"/>
        <v>1</v>
      </c>
      <c r="O38" s="1" t="b">
        <v>0</v>
      </c>
      <c r="P38" s="1" t="b">
        <v>0</v>
      </c>
    </row>
    <row r="39" spans="1:16" ht="60" x14ac:dyDescent="0.25">
      <c r="A39" s="1" t="s">
        <v>193</v>
      </c>
      <c r="B39" s="1" t="s">
        <v>19</v>
      </c>
      <c r="C39" s="2" t="s">
        <v>35</v>
      </c>
      <c r="D39" s="4">
        <v>0.7</v>
      </c>
      <c r="E39" s="1" t="s">
        <v>43</v>
      </c>
      <c r="H39" s="2" t="s">
        <v>161</v>
      </c>
      <c r="I39" s="2" t="s">
        <v>162</v>
      </c>
      <c r="J39" s="1" t="b">
        <v>1</v>
      </c>
      <c r="K39" s="2" t="s">
        <v>126</v>
      </c>
      <c r="L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M39" s="1">
        <f t="shared" si="2"/>
        <v>238</v>
      </c>
      <c r="N39" s="1" t="b">
        <f t="shared" si="1"/>
        <v>1</v>
      </c>
      <c r="O39" s="1" t="b">
        <v>0</v>
      </c>
      <c r="P39" s="1" t="b">
        <v>0</v>
      </c>
    </row>
    <row r="40" spans="1:16" ht="75" x14ac:dyDescent="0.25">
      <c r="A40" s="1" t="s">
        <v>194</v>
      </c>
      <c r="B40" s="1" t="s">
        <v>19</v>
      </c>
      <c r="C40" s="2" t="s">
        <v>35</v>
      </c>
      <c r="D40" s="4">
        <v>0.7</v>
      </c>
      <c r="E40" s="1" t="s">
        <v>43</v>
      </c>
      <c r="H40" s="2" t="s">
        <v>163</v>
      </c>
      <c r="I40" s="2" t="s">
        <v>164</v>
      </c>
      <c r="J40" s="1" t="b">
        <v>1</v>
      </c>
      <c r="K40" s="2" t="s">
        <v>126</v>
      </c>
      <c r="L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M40" s="1">
        <f t="shared" si="2"/>
        <v>248</v>
      </c>
      <c r="N40" s="1" t="b">
        <f t="shared" si="1"/>
        <v>1</v>
      </c>
      <c r="O40" s="1" t="b">
        <v>0</v>
      </c>
      <c r="P40" s="1" t="b">
        <v>0</v>
      </c>
    </row>
    <row r="41" spans="1:16" ht="75" x14ac:dyDescent="0.25">
      <c r="A41" s="1" t="s">
        <v>195</v>
      </c>
      <c r="B41" s="1" t="s">
        <v>19</v>
      </c>
      <c r="C41" s="2" t="s">
        <v>35</v>
      </c>
      <c r="D41" s="4">
        <v>0.7</v>
      </c>
      <c r="E41" s="1" t="s">
        <v>43</v>
      </c>
      <c r="H41" s="2" t="s">
        <v>165</v>
      </c>
      <c r="I41" s="2" t="s">
        <v>166</v>
      </c>
      <c r="J41" s="1" t="b">
        <v>1</v>
      </c>
      <c r="K41" s="2" t="s">
        <v>126</v>
      </c>
      <c r="L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M41" s="1">
        <f t="shared" si="2"/>
        <v>246</v>
      </c>
      <c r="N41" s="1" t="b">
        <f t="shared" si="1"/>
        <v>1</v>
      </c>
      <c r="O41" s="1" t="b">
        <v>0</v>
      </c>
      <c r="P41" s="1" t="b">
        <v>0</v>
      </c>
    </row>
    <row r="42" spans="1:16" ht="60" x14ac:dyDescent="0.25">
      <c r="A42" s="1" t="s">
        <v>196</v>
      </c>
      <c r="B42" s="1" t="s">
        <v>19</v>
      </c>
      <c r="C42" s="2" t="s">
        <v>35</v>
      </c>
      <c r="D42" s="4">
        <v>0.7</v>
      </c>
      <c r="E42" s="1" t="s">
        <v>43</v>
      </c>
      <c r="H42" s="2" t="s">
        <v>167</v>
      </c>
      <c r="I42" s="2" t="s">
        <v>168</v>
      </c>
      <c r="J42" s="1" t="b">
        <v>1</v>
      </c>
      <c r="K42" s="2" t="s">
        <v>126</v>
      </c>
      <c r="L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M42" s="1">
        <f t="shared" si="2"/>
        <v>241</v>
      </c>
      <c r="N42" s="1" t="b">
        <f t="shared" si="1"/>
        <v>1</v>
      </c>
      <c r="O42" s="1" t="b">
        <v>0</v>
      </c>
      <c r="P42" s="1" t="b">
        <v>0</v>
      </c>
    </row>
    <row r="43" spans="1:16" ht="60" x14ac:dyDescent="0.25">
      <c r="A43" s="1" t="s">
        <v>197</v>
      </c>
      <c r="B43" s="1" t="s">
        <v>19</v>
      </c>
      <c r="C43" s="2" t="s">
        <v>35</v>
      </c>
      <c r="D43" s="4">
        <v>0.7</v>
      </c>
      <c r="E43" s="1" t="s">
        <v>43</v>
      </c>
      <c r="H43" s="2" t="s">
        <v>169</v>
      </c>
      <c r="I43" s="2" t="s">
        <v>170</v>
      </c>
      <c r="J43" s="1" t="b">
        <v>1</v>
      </c>
      <c r="K43" s="2" t="s">
        <v>126</v>
      </c>
      <c r="L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M43" s="1">
        <f t="shared" si="2"/>
        <v>233</v>
      </c>
      <c r="N43" s="1" t="b">
        <f t="shared" si="1"/>
        <v>1</v>
      </c>
      <c r="O43" s="1" t="b">
        <v>0</v>
      </c>
      <c r="P43" s="1" t="b">
        <v>0</v>
      </c>
    </row>
    <row r="44" spans="1:16" ht="60" x14ac:dyDescent="0.25">
      <c r="A44" s="1" t="s">
        <v>198</v>
      </c>
      <c r="B44" s="1" t="s">
        <v>19</v>
      </c>
      <c r="C44" s="2" t="s">
        <v>35</v>
      </c>
      <c r="D44" s="4">
        <v>0.7</v>
      </c>
      <c r="E44" s="1" t="s">
        <v>43</v>
      </c>
      <c r="H44" s="2" t="s">
        <v>171</v>
      </c>
      <c r="I44" s="2" t="s">
        <v>172</v>
      </c>
      <c r="J44" s="1" t="b">
        <v>1</v>
      </c>
      <c r="K44" s="2" t="s">
        <v>126</v>
      </c>
      <c r="L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M44" s="1">
        <f t="shared" si="2"/>
        <v>234</v>
      </c>
      <c r="N44" s="1" t="b">
        <f t="shared" si="1"/>
        <v>1</v>
      </c>
      <c r="O44" s="1" t="b">
        <v>0</v>
      </c>
      <c r="P44" s="1" t="b">
        <v>0</v>
      </c>
    </row>
    <row r="45" spans="1:16" ht="60" x14ac:dyDescent="0.25">
      <c r="A45" s="1" t="s">
        <v>199</v>
      </c>
      <c r="B45" s="1" t="s">
        <v>19</v>
      </c>
      <c r="C45" s="2" t="s">
        <v>35</v>
      </c>
      <c r="D45" s="4">
        <v>0.7</v>
      </c>
      <c r="E45" s="1" t="s">
        <v>43</v>
      </c>
      <c r="H45" s="2" t="s">
        <v>173</v>
      </c>
      <c r="I45" s="2" t="s">
        <v>174</v>
      </c>
      <c r="J45" s="1" t="b">
        <v>1</v>
      </c>
      <c r="K45" s="2" t="s">
        <v>126</v>
      </c>
      <c r="L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M45" s="1">
        <f t="shared" si="2"/>
        <v>242</v>
      </c>
      <c r="N45" s="1" t="b">
        <f t="shared" si="1"/>
        <v>1</v>
      </c>
      <c r="O45" s="1" t="b">
        <v>0</v>
      </c>
      <c r="P45" s="1" t="b">
        <v>0</v>
      </c>
    </row>
    <row r="46" spans="1:16" ht="75" x14ac:dyDescent="0.25">
      <c r="A46" s="1" t="s">
        <v>200</v>
      </c>
      <c r="B46" s="1" t="s">
        <v>19</v>
      </c>
      <c r="C46" s="2" t="s">
        <v>35</v>
      </c>
      <c r="D46" s="4">
        <v>0.7</v>
      </c>
      <c r="E46" s="1" t="s">
        <v>43</v>
      </c>
      <c r="H46" s="2" t="s">
        <v>175</v>
      </c>
      <c r="I46" s="2" t="s">
        <v>176</v>
      </c>
      <c r="J46" s="1" t="b">
        <v>1</v>
      </c>
      <c r="K46" s="2" t="s">
        <v>127</v>
      </c>
      <c r="L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M46" s="1">
        <f t="shared" si="2"/>
        <v>247</v>
      </c>
      <c r="N46" s="1" t="b">
        <f t="shared" si="1"/>
        <v>1</v>
      </c>
      <c r="O46" s="1" t="b">
        <v>0</v>
      </c>
      <c r="P46" s="1" t="b">
        <v>0</v>
      </c>
    </row>
    <row r="47" spans="1:16" ht="75" x14ac:dyDescent="0.25">
      <c r="A47" s="1" t="s">
        <v>201</v>
      </c>
      <c r="B47" s="1" t="s">
        <v>19</v>
      </c>
      <c r="C47" s="2" t="s">
        <v>35</v>
      </c>
      <c r="D47" s="4">
        <v>0.7</v>
      </c>
      <c r="E47" s="1" t="s">
        <v>43</v>
      </c>
      <c r="H47" s="2" t="s">
        <v>177</v>
      </c>
      <c r="I47" s="2" t="s">
        <v>178</v>
      </c>
      <c r="J47" s="1" t="b">
        <v>1</v>
      </c>
      <c r="K47" s="2" t="s">
        <v>126</v>
      </c>
      <c r="L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M47" s="1">
        <f t="shared" si="2"/>
        <v>247</v>
      </c>
      <c r="N47" s="1" t="b">
        <f t="shared" si="1"/>
        <v>1</v>
      </c>
      <c r="O47" s="1" t="b">
        <v>0</v>
      </c>
      <c r="P47" s="1" t="b">
        <v>0</v>
      </c>
    </row>
    <row r="48" spans="1:16" ht="60" x14ac:dyDescent="0.25">
      <c r="A48" s="1" t="s">
        <v>202</v>
      </c>
      <c r="B48" s="1" t="s">
        <v>19</v>
      </c>
      <c r="C48" s="2" t="s">
        <v>35</v>
      </c>
      <c r="D48" s="4">
        <v>0.7</v>
      </c>
      <c r="E48" s="1" t="s">
        <v>43</v>
      </c>
      <c r="H48" s="2" t="s">
        <v>179</v>
      </c>
      <c r="I48" s="2" t="s">
        <v>180</v>
      </c>
      <c r="J48" s="1" t="b">
        <v>1</v>
      </c>
      <c r="K48" s="2" t="s">
        <v>126</v>
      </c>
      <c r="L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M48" s="1">
        <f t="shared" si="2"/>
        <v>241</v>
      </c>
      <c r="N48" s="1" t="b">
        <f t="shared" si="1"/>
        <v>1</v>
      </c>
      <c r="O48" s="1" t="b">
        <v>0</v>
      </c>
      <c r="P48" s="1" t="b">
        <v>0</v>
      </c>
    </row>
    <row r="49" spans="1:16" ht="60" x14ac:dyDescent="0.25">
      <c r="A49" s="1" t="s">
        <v>203</v>
      </c>
      <c r="B49" s="1" t="s">
        <v>19</v>
      </c>
      <c r="C49" s="2" t="s">
        <v>35</v>
      </c>
      <c r="D49" s="4">
        <v>0.7</v>
      </c>
      <c r="E49" s="1" t="s">
        <v>43</v>
      </c>
      <c r="H49" s="2" t="s">
        <v>181</v>
      </c>
      <c r="I49" s="2" t="s">
        <v>182</v>
      </c>
      <c r="J49" s="1" t="b">
        <v>1</v>
      </c>
      <c r="K49" s="2" t="s">
        <v>126</v>
      </c>
      <c r="L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M49" s="1">
        <f t="shared" si="2"/>
        <v>242</v>
      </c>
      <c r="N49" s="1" t="b">
        <f t="shared" si="1"/>
        <v>1</v>
      </c>
      <c r="O49" s="1" t="b">
        <v>0</v>
      </c>
      <c r="P49" s="1" t="b">
        <v>0</v>
      </c>
    </row>
    <row r="50" spans="1:16" ht="75" x14ac:dyDescent="0.25">
      <c r="A50" s="1" t="s">
        <v>204</v>
      </c>
      <c r="B50" s="1" t="s">
        <v>19</v>
      </c>
      <c r="C50" s="2" t="s">
        <v>35</v>
      </c>
      <c r="D50" s="4">
        <v>0.7</v>
      </c>
      <c r="E50" s="1" t="s">
        <v>43</v>
      </c>
      <c r="H50" s="2" t="s">
        <v>183</v>
      </c>
      <c r="I50" s="2" t="s">
        <v>184</v>
      </c>
      <c r="J50" s="1" t="b">
        <v>1</v>
      </c>
      <c r="K50" s="2" t="s">
        <v>126</v>
      </c>
      <c r="L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M50" s="1">
        <f t="shared" si="2"/>
        <v>245</v>
      </c>
      <c r="N50" s="1" t="b">
        <f t="shared" si="1"/>
        <v>1</v>
      </c>
      <c r="O50" s="1" t="b">
        <v>0</v>
      </c>
      <c r="P50" s="1" t="b">
        <v>0</v>
      </c>
    </row>
  </sheetData>
  <autoFilter ref="A1:S50" xr:uid="{00000000-0001-0000-0100-000000000000}"/>
  <phoneticPr fontId="1" type="noConversion"/>
  <conditionalFormatting sqref="J1:K1048576">
    <cfRule type="cellIs" dxfId="7" priority="11" operator="equal">
      <formula>TRUE</formula>
    </cfRule>
    <cfRule type="cellIs" dxfId="6" priority="12" operator="equal">
      <formula>FALSE</formula>
    </cfRule>
    <cfRule type="containsBlanks" dxfId="5" priority="12">
      <formula>LEN(TRIM(J1))=0</formula>
    </cfRule>
  </conditionalFormatting>
  <conditionalFormatting sqref="N2:N50">
    <cfRule type="containsBlanks" dxfId="4" priority="4">
      <formula>LEN(TRIM(N2))=0</formula>
    </cfRule>
  </conditionalFormatting>
  <conditionalFormatting sqref="N2:R2 N31:N50 N3:P30 Q3:R22">
    <cfRule type="cellIs" dxfId="3" priority="5" operator="equal">
      <formula>FALSE</formula>
    </cfRule>
    <cfRule type="cellIs" dxfId="2" priority="13" operator="equal">
      <formula>TRUE</formula>
    </cfRule>
  </conditionalFormatting>
  <conditionalFormatting sqref="Q1:R104857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O31:P50">
    <cfRule type="cellIs" dxfId="1" priority="1" operator="equal">
      <formula>FALSE</formula>
    </cfRule>
    <cfRule type="cellIs" dxfId="0" priority="2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2"/>
  <sheetViews>
    <sheetView topLeftCell="E1" zoomScaleNormal="100" workbookViewId="0">
      <selection activeCell="E2" sqref="E2"/>
    </sheetView>
  </sheetViews>
  <sheetFormatPr defaultColWidth="9.140625" defaultRowHeight="15" x14ac:dyDescent="0.25"/>
  <cols>
    <col min="1" max="1" width="10.42578125" style="1" customWidth="1"/>
    <col min="2" max="2" width="14.42578125" style="1" customWidth="1"/>
    <col min="3" max="3" width="78.42578125" style="1" customWidth="1"/>
    <col min="4" max="4" width="44.140625" style="1" customWidth="1"/>
    <col min="5" max="5" width="93.28515625" style="1" customWidth="1"/>
    <col min="6" max="1024" width="9.140625" style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133</v>
      </c>
      <c r="G1" s="1" t="s">
        <v>134</v>
      </c>
    </row>
    <row r="2" spans="1:7" ht="105" x14ac:dyDescent="0.25">
      <c r="A2" s="1" t="s">
        <v>5</v>
      </c>
      <c r="B2" s="1" t="s">
        <v>6</v>
      </c>
      <c r="C2" s="2" t="s">
        <v>7</v>
      </c>
      <c r="D2" s="2" t="s">
        <v>8</v>
      </c>
      <c r="E2" s="2" t="s">
        <v>9</v>
      </c>
      <c r="F2" s="1">
        <v>0.79488899999999996</v>
      </c>
      <c r="G2" s="1">
        <v>0.72998799999999997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3"/>
  <sheetViews>
    <sheetView workbookViewId="0">
      <selection activeCell="F4" sqref="F4"/>
    </sheetView>
  </sheetViews>
  <sheetFormatPr defaultColWidth="9.140625" defaultRowHeight="15" x14ac:dyDescent="0.25"/>
  <cols>
    <col min="1" max="1" width="9.140625" style="4"/>
    <col min="2" max="2" width="53" style="2" customWidth="1"/>
    <col min="3" max="16384" width="9.140625" style="1"/>
  </cols>
  <sheetData>
    <row r="1" spans="1:2" x14ac:dyDescent="0.25">
      <c r="A1" s="3" t="s">
        <v>95</v>
      </c>
      <c r="B1" s="6" t="s">
        <v>96</v>
      </c>
    </row>
    <row r="2" spans="1:2" ht="60" x14ac:dyDescent="0.25">
      <c r="A2" s="4">
        <v>1</v>
      </c>
      <c r="B2" s="2" t="s">
        <v>94</v>
      </c>
    </row>
    <row r="3" spans="1:2" ht="75" x14ac:dyDescent="0.25">
      <c r="A3" s="4">
        <v>2</v>
      </c>
      <c r="B3" s="2" t="s">
        <v>112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1"/>
  <sheetViews>
    <sheetView workbookViewId="0">
      <selection activeCell="A22" sqref="A22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11" t="s">
        <v>99</v>
      </c>
      <c r="B2" s="13">
        <v>45968</v>
      </c>
    </row>
    <row r="4" spans="1:3" x14ac:dyDescent="0.25">
      <c r="A4" t="s">
        <v>18</v>
      </c>
      <c r="B4" t="s">
        <v>19</v>
      </c>
      <c r="C4" t="s">
        <v>135</v>
      </c>
    </row>
    <row r="5" spans="1:3" x14ac:dyDescent="0.25">
      <c r="A5" t="s">
        <v>44</v>
      </c>
      <c r="B5" t="s">
        <v>52</v>
      </c>
      <c r="C5" t="s">
        <v>136</v>
      </c>
    </row>
    <row r="6" spans="1:3" x14ac:dyDescent="0.25">
      <c r="A6" t="s">
        <v>46</v>
      </c>
      <c r="B6" t="s">
        <v>52</v>
      </c>
      <c r="C6" t="s">
        <v>137</v>
      </c>
    </row>
    <row r="7" spans="1:3" x14ac:dyDescent="0.25">
      <c r="A7" t="s">
        <v>47</v>
      </c>
      <c r="B7" t="s">
        <v>52</v>
      </c>
      <c r="C7" t="s">
        <v>138</v>
      </c>
    </row>
    <row r="8" spans="1:3" x14ac:dyDescent="0.25">
      <c r="A8" t="s">
        <v>54</v>
      </c>
      <c r="B8" t="s">
        <v>52</v>
      </c>
      <c r="C8" t="s">
        <v>139</v>
      </c>
    </row>
    <row r="9" spans="1:3" x14ac:dyDescent="0.25">
      <c r="A9" t="s">
        <v>71</v>
      </c>
      <c r="B9" t="s">
        <v>52</v>
      </c>
      <c r="C9" t="s">
        <v>140</v>
      </c>
    </row>
    <row r="10" spans="1:3" x14ac:dyDescent="0.25">
      <c r="A10" t="s">
        <v>103</v>
      </c>
      <c r="B10" t="s">
        <v>110</v>
      </c>
      <c r="C10" t="s">
        <v>141</v>
      </c>
    </row>
    <row r="11" spans="1:3" x14ac:dyDescent="0.25">
      <c r="A11" t="s">
        <v>104</v>
      </c>
      <c r="B11" t="s">
        <v>110</v>
      </c>
      <c r="C11" t="s">
        <v>142</v>
      </c>
    </row>
    <row r="12" spans="1:3" x14ac:dyDescent="0.25">
      <c r="A12" t="s">
        <v>108</v>
      </c>
      <c r="B12" t="s">
        <v>110</v>
      </c>
      <c r="C12" t="s">
        <v>143</v>
      </c>
    </row>
    <row r="13" spans="1:3" x14ac:dyDescent="0.25">
      <c r="A13" t="s">
        <v>109</v>
      </c>
      <c r="B13" t="s">
        <v>110</v>
      </c>
      <c r="C13" t="s">
        <v>144</v>
      </c>
    </row>
    <row r="22" spans="1:1" x14ac:dyDescent="0.25">
      <c r="A22" t="str">
        <f>_xlfn.CONCAT("&gt;",A4,"|anti-Nipha virus glycoprotein G Fv sequence|Designed by Silico Biosciences using: ",B4,"\n",C4)</f>
        <v>&gt;sbio-nipahgpg-001|anti-Nipha virus glycoprotein G Fv sequence|Designed by Silico Biosciences using: peleke-1\nQVQLVESGGGVVQPGRSLRLSCAASGFTFSSYGMHWVRQAPGKGLEWVAVISYDGSKKYYADSVKGRFTISRDNSKNTLYLQMNSLRAEDTAVYYCARSPFYDSSGYYAMDYWGQGTLVTVSSGGGSGGGSGGGSGGGSDIQLTQSPSSLSASVGDRVTITCRASQGISSYLAWYQQKPGKAPKLLIYAASTLQSGVPSRFSGSGSGTDFTLTISSLQPEDFATYYCQQANSFPPTFGQGTKVEIK</v>
      </c>
    </row>
    <row r="23" spans="1:1" x14ac:dyDescent="0.25">
      <c r="A23" t="str">
        <f t="shared" ref="A23:A31" si="0">_xlfn.CONCAT("&gt;",A5,"|anti-Nipha virus glycoprotein G Fv sequence|Designed by Silico Biosciences using: ",B5,"\n",C5)</f>
        <v>&gt;sbio-nipahgpg-009|anti-Nipha virus glycoprotein G Fv sequence|Designed by Silico Biosciences using: peleke-1 + ProteinMPNN\nAVSLVESGGGTVKPGESVTLSCQASGFNFSKYQWVWVRQAPGKGLEWVGQISPDGSKTRYHPSVAGRFTISRDNSNSTLYLHMSNLRPEDTAVYYCGIIPQDNVHGDYSISHWGQGTLLTVSAGGGSGGGSGGGSGGGSAIKLTQSPKSLSASVGDTVTINCTASRPIGDLLSWYKQKPGKPPQLLIYRSSTLASGVSSRYSGSGSDTNFTLTISSLQSSDFATYYCRQTSRFPITFGEGTTINKK</v>
      </c>
    </row>
    <row r="24" spans="1:1" x14ac:dyDescent="0.25">
      <c r="A24" t="str">
        <f t="shared" si="0"/>
        <v>&gt;sbio-nipahgpg-011|anti-Nipha virus glycoprotein G Fv sequence|Designed by Silico Biosciences using: peleke-1 + ProteinMPNN\nSISLVESGGGTVAPGSSVTLSCQASGFNFSKYSKAWVRQPPGQPLEWVSRISPDGSTKYYHPDVAGRFTISKDNSKSTVYLAMSNLTAADTATYYCGIIPGDNTHGDYAMSHWGQGTLLTVSAGGGSGGGSGGGSGGGSAITLTQSPSSLSASVGDTVTISCTASRPIGDKLSWYKQKPGQPPQLLIYNASTLAPGVSSRYSGSGSDTSFTLTISSLQEDDFATYYCQQTYTLPITFGQGTTISKK</v>
      </c>
    </row>
    <row r="25" spans="1:1" x14ac:dyDescent="0.25">
      <c r="A25" t="str">
        <f t="shared" si="0"/>
        <v>&gt;sbio-nipahgpg-012|anti-Nipha virus glycoprotein G Fv sequence|Designed by Silico Biosciences using: peleke-1 + ProteinMPNN\nGVSLTESGGGTVAPGSSVTLSCKASGFNFSKYSHAWVRQAPGQGLTWVGEISPDGSKTRYASSVAGRFTISRDNSNSTVYLQMSSLTPSDTATYYCGIIPGDSVHGERSMSHWGQGTLLTVSAGGGSGGGSGGGSGGGSAITLTQSPSSLSASVGDTVTLNCTASRPIGDRLSWYKQKPGQAPQLLIYRASTLAPGVSSRYSGSGSDTQFTLTISSLQSDDFATYYCQQTSSYPVTFGQGTTITKK</v>
      </c>
    </row>
    <row r="26" spans="1:1" x14ac:dyDescent="0.25">
      <c r="A26" t="str">
        <f t="shared" si="0"/>
        <v>&gt;sbio-nipahgpg-015|anti-Nipha virus glycoprotein G Fv sequence|Designed by Silico Biosciences using: peleke-1 + ProteinMPNN\nGISLVESGGGTVKPGESVTLSCKASGFVFSKYSHAWVRQPPGGPLEWVSQISSDGSVTRYASSVSGRFTISRDNSNSTVYLQMNNLRPSDTATYYCGIIPQDNVHGDYAISHWGQGTLLTVTAGGGSGGGSGGGSGGGSAITLTQSPASLSAKVGDTVTLSCTASRPIGDLLSWYKQKPGQPPQLLIYRASTLAPGVDSRYSGSGSDTSFTLTISSLQPEDFATYYCQQTSRFPITFGQGTTIKQA</v>
      </c>
    </row>
    <row r="27" spans="1:1" x14ac:dyDescent="0.25">
      <c r="A27" t="str">
        <f t="shared" si="0"/>
        <v>&gt;sbio-nipahgpg-017|anti-Nipha virus glycoprotein G Fv sequence|Designed by Silico Biosciences using: peleke-1 + ProteinMPNN\nSIKLTESGGGTVKPGSSVTLSCQASGFNFSKYEVVWVMQKPGQPLQWVGSISPDGSKVRLHPKVKGRFTLSKDNSKNTAYLTMKNLQPEDTATYYCGIIPGGSVHGDRSITHWGQGVELKVVAGGGSGGGSGGGSGGGSMIKLTQSPKSVKAKVGDTVTITCTASEPVDDLVSWYQQKPGQPLRLLIYRSSTLAPGVSSRFSGSGSDTNFTLTISSLQEEDFATYYCMQTSKYPYTFGQGTTLSRA</v>
      </c>
    </row>
    <row r="28" spans="1:1" x14ac:dyDescent="0.25">
      <c r="A28" t="str">
        <f t="shared" si="0"/>
        <v>&gt;sbio-nipahgpg-025|anti-Nipha virus glycoprotein G Fv sequence|Designed by Silico Biosciences using: ProteinMPNN\nGVKLVQSGDLTVKPGGSVTLSCKSEGGSFGNSSVAWVRQRPGGPYEYIGSIIPAYGVSRVSPEYEGRVTISADVANNTAYLTISNLTPEDTATYYCALGPGEVVYAASPFDEKLLTGALSVWGEGTLVTVTGGGSGGGSGGGSITVTQSPSSPSLSVGDTATLTCTLSSSVATSNVAWYKQLPGQPPELLISGGSTRAPGVPSRYSGSGSGTTFTLTISSLQASDFATYYCQVYGENPSFGQGTTLTLK</v>
      </c>
    </row>
    <row r="29" spans="1:1" x14ac:dyDescent="0.25">
      <c r="A29" t="str">
        <f t="shared" si="0"/>
        <v>&gt;sbio-nipahgpg-026|anti-Nipha virus glycoprotein G Fv sequence|Designed by Silico Biosciences using: ProteinMPNN\nAVKLVQSGDQTVAPGGSVTLSCTSSGGSFGNSSVAWVRQRPGGPFEFIGSIIPSLGISRYNSKYKGRVTISSDAANNTAYLTISNLTAADTATYYCALGPGESVFASHPFKEKLLTGALSVWGEGTLVTVSGGGSGGGSGGGSITVTQSPSSPSKSVGDTVTLTCTLSSSVPVSQVAWYKQHPGQPPELLIYGGSTRASGVPSRYSGSGSGTTFTLTISSLQPEDFATYYCQVYGEEPSFGQGTTVTLA</v>
      </c>
    </row>
    <row r="30" spans="1:1" x14ac:dyDescent="0.25">
      <c r="A30" t="str">
        <f t="shared" si="0"/>
        <v>&gt;sbio-nipahgpg-030|anti-Nipha virus glycoprotein G Fv sequence|Designed by Silico Biosciences using: ProteinMPNN\nSISLVQSSDQTVAPGGSVTLSCTSSGGSFGNSGVAWVRQAPGGPPVYIGGIIPATGVSTYNAAFKGRVTISSDSSNNTAYLTISGLTAADTATYYCALGPAENVFASHPFAEDVNLGALSVWGQGTLVTVTGGGSGGGSGGGSITVTESPSSPELSVGETAVLSCTLSSSVPQSNVAWYKQKPGQPPELLIYGGSTRASGVPSRYSGSGSGTTFYLTISSLEPEDFATYYCQVYGTSPSFGQGTTLKLK</v>
      </c>
    </row>
    <row r="31" spans="1:1" x14ac:dyDescent="0.25">
      <c r="A31" t="str">
        <f t="shared" si="0"/>
        <v>&gt;sbio-nipahgpg-031|anti-Nipha virus glycoprotein G Fv sequence|Designed by Silico Biosciences using: ProteinMPNN\nAVSLVESGDQTVAPGGSVTLSCTSSGGSFGNSGVAWVRQAPGGPLEFLGFIIPALGVSKVNSKYEGRVTISSDPANNTAYLTISNLTAADTATYYCGLGTGESVFASSPFDEKLLLGALSVWGQGTKVTVTGGGSGGGSGGGSITVTQSPASPEKKVGETATLTCTLSSAVPKSNVAWYKQKPGQPPELLIYGGSTRASGVPSRYSGSGSGTTFYLTISSLQPEDFATYYCRVYGEEPSFGQGTTLKLK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F9A8A-9767-46C1-B0D1-2A19AD7C2699}">
  <dimension ref="A2:G31"/>
  <sheetViews>
    <sheetView workbookViewId="0">
      <selection activeCell="C36" sqref="C36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7" x14ac:dyDescent="0.25">
      <c r="A2" s="11" t="s">
        <v>99</v>
      </c>
      <c r="B2" s="13">
        <v>45969</v>
      </c>
    </row>
    <row r="3" spans="1:7" x14ac:dyDescent="0.25">
      <c r="G3" t="str">
        <f>_xlfn.CONCAT("&gt;",A10,"|anti-Nipha virus glycoprotein G Fv sequence|Designed by Silico Biosciences using: ",B10,"\n",C10)</f>
        <v xml:space="preserve">&gt;sbio-nipahgpg-013|anti-Nipha virus glycoprotein G Fv sequence|Designed by Silico Biosciences using: peleke-1 + ProteinMPNN\nEVSLVESGGGTVKPGESVTLSCQASGFNFSKYRLAWVRQPPGQGLVWVSEISPDGTEVKYHPDVKGRFTASRDNSNSTAYLKMNNLQPSDTATYYCGIIPQDSSHGDYSISHWGQGTQLTVSAGGGSGGGSGGGSGGGSTITLTQSPSSLSASVGDTVTINCTASRPIGDFLSWYKQKPGQPPQLLIYRSSTLASGVSSRYSGSGSDTNFTLTISSLQSDDFATYYCQQTYTLPITFGQGTTLTKK </v>
      </c>
    </row>
    <row r="4" spans="1:7" x14ac:dyDescent="0.25">
      <c r="A4" t="s">
        <v>23</v>
      </c>
      <c r="B4" t="s">
        <v>19</v>
      </c>
      <c r="C4" t="s">
        <v>205</v>
      </c>
      <c r="G4" t="str">
        <f>_xlfn.CONCAT("&gt;",A11,"|anti-Nipha virus glycoprotein G Fv sequence|Designed by Silico Biosciences using: ",B11,"\n",C11)</f>
        <v>&gt;sbio-nipahgpg-014|anti-Nipha virus glycoprotein G Fv sequence|Designed by Silico Biosciences using: peleke-1 + ProteinMPNN\nAVSLVESGGGTYAPGSSVTLSCQGSGFNFSKVRKVWVRQPPGGPLEYVAEISPDGSTTTYASSVAGRFTISKDNSNSTLYLSMSNLTPADTATYYCGLIPGDSEHGDRSISHWGQGTLVTVSAGGGSGGGSGGGSGGGSAITLTQSPSSLSASVGDTVTINCTASQPIGNFLSWYKQKPGQPPQLLIYNASTLAPGVSSRYSGSGSDTNFTLTISSLQSEDFATYYCQQTSRLPVTFGQGTTINKK</v>
      </c>
    </row>
    <row r="5" spans="1:7" x14ac:dyDescent="0.25">
      <c r="A5" t="s">
        <v>26</v>
      </c>
      <c r="B5" t="s">
        <v>19</v>
      </c>
      <c r="C5" t="s">
        <v>206</v>
      </c>
      <c r="G5" t="str">
        <f>_xlfn.CONCAT("&gt;",A12,"|anti-Nipha virus glycoprotein G Fv sequence|Designed by Silico Biosciences using: ",B12,"\n",C12)</f>
        <v xml:space="preserve">&gt;sbio-nipahgpg-016|anti-Nipha virus glycoprotein G Fv sequence|Designed by Silico Biosciences using: peleke-1 + ProteinMPNN\nPVSLVESGGGTVAPGSSVTLTCQASGFNFSKYIVAWVRQPPGQPLRFVAMITPDGSKVWLHPEVEGRFTPSKDNSKNTSYLQLKDLQPEDTATYYCGIIPQGSTHGDYSITHWGQGVVLTVTAGGGSGGGSGGGSGGGSMVTLTQSPSSLSASVGDTVTITCTASSPVDNLMSWYQQPPGQPLRLLIYNASTRAPGVSSRFSGSGSDTNFTLTISSLQASDFATYYCQQTYRLPVTFGQGTTLSAA </v>
      </c>
    </row>
    <row r="6" spans="1:7" x14ac:dyDescent="0.25">
      <c r="A6" t="s">
        <v>29</v>
      </c>
      <c r="B6" t="s">
        <v>19</v>
      </c>
      <c r="C6" t="s">
        <v>207</v>
      </c>
    </row>
    <row r="7" spans="1:7" x14ac:dyDescent="0.25">
      <c r="A7" t="s">
        <v>32</v>
      </c>
      <c r="B7" t="s">
        <v>19</v>
      </c>
      <c r="C7" t="s">
        <v>208</v>
      </c>
    </row>
    <row r="8" spans="1:7" x14ac:dyDescent="0.25">
      <c r="A8" t="s">
        <v>38</v>
      </c>
      <c r="B8" t="s">
        <v>36</v>
      </c>
      <c r="C8" t="s">
        <v>209</v>
      </c>
    </row>
    <row r="9" spans="1:7" x14ac:dyDescent="0.25">
      <c r="A9" t="s">
        <v>45</v>
      </c>
      <c r="B9" t="s">
        <v>52</v>
      </c>
      <c r="C9" t="s">
        <v>210</v>
      </c>
    </row>
    <row r="10" spans="1:7" x14ac:dyDescent="0.25">
      <c r="A10" t="s">
        <v>48</v>
      </c>
      <c r="B10" t="s">
        <v>52</v>
      </c>
      <c r="C10" t="s">
        <v>211</v>
      </c>
    </row>
    <row r="11" spans="1:7" x14ac:dyDescent="0.25">
      <c r="A11" t="s">
        <v>49</v>
      </c>
      <c r="B11" t="s">
        <v>52</v>
      </c>
      <c r="C11" t="s">
        <v>212</v>
      </c>
    </row>
    <row r="12" spans="1:7" x14ac:dyDescent="0.25">
      <c r="A12" t="s">
        <v>70</v>
      </c>
      <c r="B12" t="s">
        <v>52</v>
      </c>
      <c r="C12" t="s">
        <v>213</v>
      </c>
    </row>
    <row r="13" spans="1:7" x14ac:dyDescent="0.25">
      <c r="A13" t="s">
        <v>72</v>
      </c>
      <c r="B13" t="s">
        <v>52</v>
      </c>
      <c r="C13" t="s">
        <v>214</v>
      </c>
    </row>
    <row r="22" spans="1:1" x14ac:dyDescent="0.25">
      <c r="A22" t="str">
        <f>_xlfn.CONCAT("&gt;",A4,"\n",C4)</f>
        <v>&gt;sbio-nipahgpg-002\nQVQLVESGGGVVQPGKSLRLSCAASGFTFSSYAMSWVRQAPGKGPEWVAFISYDGSNNYYADSVKGRFTISRDNPKNTLYLQMKSLRAEDTAVYYCARWRQRFDMYWGRGTLVTVSSGGGSGGGSGGGSGGGSDIQMTQSPSSLSASVGDRVTITCRASQSISSYLNWYQQKPGKAPKLLIYAASSLQSGVPSRFSGSGSGTDFTLTISSLQPEDFATYYCQQSYSTPYTFGQGTKVEIK</v>
      </c>
    </row>
    <row r="23" spans="1:1" x14ac:dyDescent="0.25">
      <c r="A23" t="str">
        <f t="shared" ref="A23:A31" si="0">_xlfn.CONCAT("&gt;",A5,"\n",C5)</f>
        <v>&gt;sbio-nipahgpg-003\nQVQLQESGPGLVKPSETLSLTCTVSGASIRGYYWSWIRQFPGKELEWIGYVYSGSTENYNPSLKSRVTVTLTDTKNSFSLKLNSVTSEDTAVYYCARGGALIYYDVWGTGTTVTVSSGGGSGGGSGGGSGGGSDIQVTQSPVSLSASVGDRVTITCRASQGIDSLNWFQQRPGKAPKLLIYAASQLTGIAPRFRSGSGSGTDFTLTISSLQPEDFATYYCQQYNIYPATFGQGTKVEIK</v>
      </c>
    </row>
    <row r="24" spans="1:1" x14ac:dyDescent="0.25">
      <c r="A24" t="str">
        <f t="shared" si="0"/>
        <v>&gt;sbio-nipahgpg-004\nEVQLVQSGAEVKKPGESLKISCKGSGYTFSYYWIGWVRQMPGKGLEWMGIIYPGDSDTRYSPSFQGQVTISADKSISTAYLQWSSLKASDTAMYYCARGEGVFDYWGQGTLVTVSSGGGSGGGSGGGSGGGSYTLTQAPSVSASGQSVTISCTGTSRDVGTYWYQQIPGRAPKLLIHDKSENQGKTPGIPDRFSGSKSGNTASLVIIRGLQADDEADYYCNSYHGSGSNIFGGGTKLTVD</v>
      </c>
    </row>
    <row r="25" spans="1:1" x14ac:dyDescent="0.25">
      <c r="A25" t="str">
        <f t="shared" si="0"/>
        <v>&gt;sbio-nipahgpg-005\nEVQLVESGGGLVQPGGSLRLSCAASGFTFSSYWMNWVRQAPGKGLEWVANINQDGGEKYYVDSVKGRFTISRDNAKNSLYLQMNSLRAEDTAIYYCARDVGGGMDVWGQGTTVTVSSGGGSGGGSGGGSGGGSQMTQSPSSLSASVGDRVTITCRASQSVSSAVAWYQQKPGKAPKLLIYSASSLYSGVPSRFSGSRSGTDFTLTISSLQPEDFATYYCQQSSSSLITFGQGTKVEIK</v>
      </c>
    </row>
    <row r="26" spans="1:1" x14ac:dyDescent="0.25">
      <c r="A26" t="str">
        <f t="shared" si="0"/>
        <v>&gt;sbio-nipahgpg-008\nQVQLVESGGGVVQPGRSLRLSCAASGFTFSSYAMSWVRQAPGKGLEWVSAIWSNGGSTYYADSVKGRFTISRDNAKNSLYLQMNSLRAEDTAVYYCARDYGSYGYFDYWGQGTLVTVSSGGGSGGGSGGGSGGGSDIVMTQSPLSLPVTPGEPASISCRSSQSLLYSNGNTYLEWYLQKPGQSPQLLIYLVSKLDSGVPDRFSGSGSGTDFTLKISRVEAEDLGIYYCQQSKEVPYTFGAGTKLEIK</v>
      </c>
    </row>
    <row r="27" spans="1:1" x14ac:dyDescent="0.25">
      <c r="A27" t="str">
        <f t="shared" si="0"/>
        <v>&gt;sbio-nipahgpg-010\nAVSITESGGGTKAPGSSVTLSCKVSGFVFSKYSIAWVRQAPGQGLEWVSQISPDGSTTRYNPAVAGRFTISRDNSNSTAYLQMSNLTPSDTATYYCAIIPQDNEHGDYSLSHWGQGTQLTVSAGGGSGGGSGGGSGGGSAIKLTQSPKSLSAKVGDTVTINCTASAPIGDFLSWYKQKPGQPPQLLIYKSSTLAPGVSSRYSGSGSDTNFTLTISSLQEEDFATYYCQQTATLPITFGEGTTINKK</v>
      </c>
    </row>
    <row r="28" spans="1:1" x14ac:dyDescent="0.25">
      <c r="A28" t="str">
        <f t="shared" si="0"/>
        <v xml:space="preserve">&gt;sbio-nipahgpg-013\nEVSLVESGGGTVKPGESVTLSCQASGFNFSKYRLAWVRQPPGQGLVWVSEISPDGTEVKYHPDVKGRFTASRDNSNSTAYLKMNNLQPSDTATYYCGIIPQDSSHGDYSISHWGQGTQLTVSAGGGSGGGSGGGSGGGSTITLTQSPSSLSASVGDTVTINCTASRPIGDFLSWYKQKPGQPPQLLIYRSSTLASGVSSRYSGSGSDTNFTLTISSLQSDDFATYYCQQTYTLPITFGQGTTLTKK </v>
      </c>
    </row>
    <row r="29" spans="1:1" x14ac:dyDescent="0.25">
      <c r="A29" t="str">
        <f t="shared" si="0"/>
        <v>&gt;sbio-nipahgpg-014\nAVSLVESGGGTYAPGSSVTLSCQGSGFNFSKVRKVWVRQPPGGPLEYVAEISPDGSTTTYASSVAGRFTISKDNSNSTLYLSMSNLTPADTATYYCGLIPGDSEHGDRSISHWGQGTLVTVSAGGGSGGGSGGGSGGGSAITLTQSPSSLSASVGDTVTINCTASQPIGNFLSWYKQKPGQPPQLLIYNASTLAPGVSSRYSGSGSDTNFTLTISSLQSEDFATYYCQQTSRLPVTFGQGTTINKK</v>
      </c>
    </row>
    <row r="30" spans="1:1" x14ac:dyDescent="0.25">
      <c r="A30" t="str">
        <f t="shared" si="0"/>
        <v xml:space="preserve">&gt;sbio-nipahgpg-016\nPVSLVESGGGTVAPGSSVTLTCQASGFNFSKYIVAWVRQPPGQPLRFVAMITPDGSKVWLHPEVEGRFTPSKDNSKNTSYLQLKDLQPEDTATYYCGIIPQGSTHGDYSITHWGQGVVLTVTAGGGSGGGSGGGSGGGSMVTLTQSPSSLSASVGDTVTITCTASSPVDNLMSWYQQPPGQPLRLLIYNASTRAPGVSSRFSGSGSDTNFTLTISSLQASDFATYYCQQTYRLPVTFGQGTTLSAA </v>
      </c>
    </row>
    <row r="31" spans="1:1" x14ac:dyDescent="0.25">
      <c r="A31" t="str">
        <f t="shared" si="0"/>
        <v>&gt;sbio-nipahgpg-018\nAITLTESGGGVVAPGSSVTLTCTASGFNFSKYSMVWVRQPPGGPLQWVAQISPDNSTVRYHPAVEGRFTASKDNSKNTAYLAMSDLEPSDTATYYCGIIPQGSTHNDYSIVHWGQGTELRVVAGGGSGGGSGGGSGGGSMIKLTQSPSSLSAKVGDKVTITCTASSPVDNLVSWYKQPPGGPLQLLIYNSSTRAPGVSSRFKGSGSDTNFTLTIESLQEEDFATYYCQQTYKFPITFGQGTKLTRA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Notes</vt:lpstr>
      <vt:lpstr>20251107 Submission FASTA</vt:lpstr>
      <vt:lpstr>20251108 Submission FASTA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2025-11-08T19:25:18Z</dcterms:modified>
  <dc:language>en-US</dc:language>
</cp:coreProperties>
</file>