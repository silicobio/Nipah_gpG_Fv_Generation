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0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colbyford/Documents/GitHub/Nipah_gpG_Fv_Generation/"/>
    </mc:Choice>
  </mc:AlternateContent>
  <xr:revisionPtr revIDLastSave="0" documentId="13_ncr:1_{A798DAAC-FC4F-094B-A2CB-AB5175DD7E93}" xr6:coauthVersionLast="47" xr6:coauthVersionMax="47" xr10:uidLastSave="{00000000-0000-0000-0000-000000000000}"/>
  <bookViews>
    <workbookView xWindow="0" yWindow="620" windowWidth="35840" windowHeight="20200" tabRatio="500" activeTab="6" xr2:uid="{00000000-000D-0000-FFFF-FFFF00000000}"/>
  </bookViews>
  <sheets>
    <sheet name="Antibody Candidates" sheetId="2" r:id="rId1"/>
    <sheet name="Antigens" sheetId="1" r:id="rId2"/>
    <sheet name="Reference Antibodies" sheetId="11" r:id="rId3"/>
    <sheet name="Notes" sheetId="3" r:id="rId4"/>
    <sheet name="FASTA Generation" sheetId="4" r:id="rId5"/>
    <sheet name="HADDOCK3 Scores" sheetId="13" r:id="rId6"/>
    <sheet name="Boltz-2 Scores" sheetId="14" r:id="rId7"/>
  </sheets>
  <externalReferences>
    <externalReference r:id="rId8"/>
  </externalReferences>
  <definedNames>
    <definedName name="_xlnm._FilterDatabase" localSheetId="0" hidden="1">'Antibody Candidates'!$A$1:$X$138</definedName>
  </definedNames>
  <calcPr calcId="191029"/>
  <pivotCaches>
    <pivotCache cacheId="13" r:id="rId9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3" i="2" l="1"/>
  <c r="U4" i="2"/>
  <c r="U5" i="2"/>
  <c r="U6" i="2"/>
  <c r="U7" i="2"/>
  <c r="U8" i="2"/>
  <c r="U9" i="2"/>
  <c r="U10" i="2"/>
  <c r="T3" i="2"/>
  <c r="T4" i="2"/>
  <c r="T5" i="2"/>
  <c r="T6" i="2"/>
  <c r="T7" i="2"/>
  <c r="T8" i="2"/>
  <c r="T9" i="2"/>
  <c r="T10" i="2"/>
  <c r="U2" i="2"/>
  <c r="T2" i="2"/>
  <c r="Y2" i="2"/>
  <c r="M159" i="2"/>
  <c r="N159" i="2" s="1"/>
  <c r="O159" i="2" s="1"/>
  <c r="Q31" i="2"/>
  <c r="Q32" i="2"/>
  <c r="Q33" i="2"/>
  <c r="Q34" i="2"/>
  <c r="Q35" i="2"/>
  <c r="Q36" i="2"/>
  <c r="Q37" i="2"/>
  <c r="Q38" i="2"/>
  <c r="Q39" i="2"/>
  <c r="Q40" i="2"/>
  <c r="Q41" i="2"/>
  <c r="Q42" i="2"/>
  <c r="Q43" i="2"/>
  <c r="Q44" i="2"/>
  <c r="Q45" i="2"/>
  <c r="Q46" i="2"/>
  <c r="Q47" i="2"/>
  <c r="Q48" i="2"/>
  <c r="Q49" i="2"/>
  <c r="Q50" i="2"/>
  <c r="Q51" i="2"/>
  <c r="Q52" i="2"/>
  <c r="Q53" i="2"/>
  <c r="Q54" i="2"/>
  <c r="Q55" i="2"/>
  <c r="Q56" i="2"/>
  <c r="Q57" i="2"/>
  <c r="Q58" i="2"/>
  <c r="Q59" i="2"/>
  <c r="Q60" i="2"/>
  <c r="Q61" i="2"/>
  <c r="Q62" i="2"/>
  <c r="Q63" i="2"/>
  <c r="Q64" i="2"/>
  <c r="Q65" i="2"/>
  <c r="Q66" i="2"/>
  <c r="Q67" i="2"/>
  <c r="Q68" i="2"/>
  <c r="Q69" i="2"/>
  <c r="Q70" i="2"/>
  <c r="Q71" i="2"/>
  <c r="Q72" i="2"/>
  <c r="Q73" i="2"/>
  <c r="Q74" i="2"/>
  <c r="Q75" i="2"/>
  <c r="Q76" i="2"/>
  <c r="Q77" i="2"/>
  <c r="Q78" i="2"/>
  <c r="Q79" i="2"/>
  <c r="Q80" i="2"/>
  <c r="Q81" i="2"/>
  <c r="Q82" i="2"/>
  <c r="Q83" i="2"/>
  <c r="Q84" i="2"/>
  <c r="Q85" i="2"/>
  <c r="Q86" i="2"/>
  <c r="Q87" i="2"/>
  <c r="Q88" i="2"/>
  <c r="Q89" i="2"/>
  <c r="Q90" i="2"/>
  <c r="Q91" i="2"/>
  <c r="Q92" i="2"/>
  <c r="Q93" i="2"/>
  <c r="Q94" i="2"/>
  <c r="Q95" i="2"/>
  <c r="Q96" i="2"/>
  <c r="Q97" i="2"/>
  <c r="Q98" i="2"/>
  <c r="Q99" i="2"/>
  <c r="Q100" i="2"/>
  <c r="Q101" i="2"/>
  <c r="Q102" i="2"/>
  <c r="Q103" i="2"/>
  <c r="Q104" i="2"/>
  <c r="Q105" i="2"/>
  <c r="Q106" i="2"/>
  <c r="Q107" i="2"/>
  <c r="Q108" i="2"/>
  <c r="Q109" i="2"/>
  <c r="Q110" i="2"/>
  <c r="Q111" i="2"/>
  <c r="Q112" i="2"/>
  <c r="Q113" i="2"/>
  <c r="Q114" i="2"/>
  <c r="Q115" i="2"/>
  <c r="Q116" i="2"/>
  <c r="Q117" i="2"/>
  <c r="Q118" i="2"/>
  <c r="Q119" i="2"/>
  <c r="Q120" i="2"/>
  <c r="Q121" i="2"/>
  <c r="Q122" i="2"/>
  <c r="Q123" i="2"/>
  <c r="Q124" i="2"/>
  <c r="Q125" i="2"/>
  <c r="Q126" i="2"/>
  <c r="Q127" i="2"/>
  <c r="Q128" i="2"/>
  <c r="Q129" i="2"/>
  <c r="Q130" i="2"/>
  <c r="Q131" i="2"/>
  <c r="Q132" i="2"/>
  <c r="Q133" i="2"/>
  <c r="Q134" i="2"/>
  <c r="Q135" i="2"/>
  <c r="Q136" i="2"/>
  <c r="Q137" i="2"/>
  <c r="Q138" i="2"/>
  <c r="Q139" i="2"/>
  <c r="Q140" i="2"/>
  <c r="Q141" i="2"/>
  <c r="Q142" i="2"/>
  <c r="Q143" i="2"/>
  <c r="Q144" i="2"/>
  <c r="Q145" i="2"/>
  <c r="Q146" i="2"/>
  <c r="Q147" i="2"/>
  <c r="Q148" i="2"/>
  <c r="Q149" i="2"/>
  <c r="Q150" i="2"/>
  <c r="Q151" i="2"/>
  <c r="Q152" i="2"/>
  <c r="Q153" i="2"/>
  <c r="Q154" i="2"/>
  <c r="Q155" i="2"/>
  <c r="Q156" i="2"/>
  <c r="Q157" i="2"/>
  <c r="Q158" i="2"/>
  <c r="P2" i="2"/>
  <c r="P3" i="2"/>
  <c r="P4" i="2"/>
  <c r="P5" i="2"/>
  <c r="P6" i="2"/>
  <c r="P7" i="2"/>
  <c r="P8" i="2"/>
  <c r="P9" i="2"/>
  <c r="P10" i="2"/>
  <c r="P11" i="2"/>
  <c r="P12" i="2"/>
  <c r="P13" i="2"/>
  <c r="P14" i="2"/>
  <c r="P15" i="2"/>
  <c r="P16" i="2"/>
  <c r="P17" i="2"/>
  <c r="P18" i="2"/>
  <c r="P19" i="2"/>
  <c r="P20" i="2"/>
  <c r="P21" i="2"/>
  <c r="P22" i="2"/>
  <c r="P23" i="2"/>
  <c r="P24" i="2"/>
  <c r="P25" i="2"/>
  <c r="P26" i="2"/>
  <c r="P27" i="2"/>
  <c r="P28" i="2"/>
  <c r="P29" i="2"/>
  <c r="P30" i="2"/>
  <c r="M147" i="2"/>
  <c r="N147" i="2" s="1"/>
  <c r="O147" i="2" s="1"/>
  <c r="M149" i="2"/>
  <c r="N149" i="2" s="1"/>
  <c r="O149" i="2" s="1"/>
  <c r="M150" i="2"/>
  <c r="N150" i="2" s="1"/>
  <c r="O150" i="2" s="1"/>
  <c r="M151" i="2"/>
  <c r="N151" i="2" s="1"/>
  <c r="O151" i="2" s="1"/>
  <c r="M152" i="2"/>
  <c r="N152" i="2" s="1"/>
  <c r="O152" i="2" s="1"/>
  <c r="M153" i="2"/>
  <c r="N153" i="2" s="1"/>
  <c r="O153" i="2" s="1"/>
  <c r="M154" i="2"/>
  <c r="N154" i="2" s="1"/>
  <c r="O154" i="2" s="1"/>
  <c r="M155" i="2"/>
  <c r="N155" i="2" s="1"/>
  <c r="O155" i="2" s="1"/>
  <c r="M156" i="2"/>
  <c r="N156" i="2" s="1"/>
  <c r="O156" i="2" s="1"/>
  <c r="M157" i="2"/>
  <c r="N157" i="2" s="1"/>
  <c r="O157" i="2" s="1"/>
  <c r="M158" i="2"/>
  <c r="N158" i="2" s="1"/>
  <c r="O158" i="2" s="1"/>
  <c r="M139" i="2"/>
  <c r="N139" i="2" s="1"/>
  <c r="O139" i="2" s="1"/>
  <c r="M140" i="2"/>
  <c r="N140" i="2" s="1"/>
  <c r="O140" i="2" s="1"/>
  <c r="M141" i="2"/>
  <c r="N141" i="2" s="1"/>
  <c r="O141" i="2" s="1"/>
  <c r="M142" i="2"/>
  <c r="N142" i="2" s="1"/>
  <c r="O142" i="2" s="1"/>
  <c r="M143" i="2"/>
  <c r="N143" i="2" s="1"/>
  <c r="O143" i="2" s="1"/>
  <c r="M144" i="2"/>
  <c r="N144" i="2" s="1"/>
  <c r="O144" i="2" s="1"/>
  <c r="M145" i="2"/>
  <c r="N145" i="2" s="1"/>
  <c r="O145" i="2" s="1"/>
  <c r="M146" i="2"/>
  <c r="N146" i="2" s="1"/>
  <c r="O146" i="2" s="1"/>
  <c r="M148" i="2"/>
  <c r="N148" i="2" s="1"/>
  <c r="O148" i="2" s="1"/>
  <c r="H5" i="11"/>
  <c r="F5" i="11"/>
  <c r="G5" i="11" s="1"/>
  <c r="M129" i="2"/>
  <c r="N129" i="2" s="1"/>
  <c r="O129" i="2" s="1"/>
  <c r="M130" i="2"/>
  <c r="N130" i="2" s="1"/>
  <c r="O130" i="2" s="1"/>
  <c r="M131" i="2"/>
  <c r="N131" i="2" s="1"/>
  <c r="O131" i="2" s="1"/>
  <c r="M132" i="2"/>
  <c r="N132" i="2" s="1"/>
  <c r="O132" i="2" s="1"/>
  <c r="M133" i="2"/>
  <c r="N133" i="2" s="1"/>
  <c r="O133" i="2" s="1"/>
  <c r="M134" i="2"/>
  <c r="N134" i="2" s="1"/>
  <c r="O134" i="2" s="1"/>
  <c r="M135" i="2"/>
  <c r="N135" i="2" s="1"/>
  <c r="O135" i="2" s="1"/>
  <c r="M136" i="2"/>
  <c r="N136" i="2" s="1"/>
  <c r="O136" i="2" s="1"/>
  <c r="M137" i="2"/>
  <c r="N137" i="2" s="1"/>
  <c r="O137" i="2" s="1"/>
  <c r="M138" i="2"/>
  <c r="N138" i="2" s="1"/>
  <c r="O138" i="2" s="1"/>
  <c r="M119" i="2"/>
  <c r="N119" i="2" s="1"/>
  <c r="O119" i="2" s="1"/>
  <c r="M120" i="2"/>
  <c r="N120" i="2" s="1"/>
  <c r="O120" i="2" s="1"/>
  <c r="M121" i="2"/>
  <c r="N121" i="2" s="1"/>
  <c r="O121" i="2" s="1"/>
  <c r="M122" i="2"/>
  <c r="N122" i="2" s="1"/>
  <c r="O122" i="2" s="1"/>
  <c r="M123" i="2"/>
  <c r="N123" i="2" s="1"/>
  <c r="O123" i="2" s="1"/>
  <c r="M124" i="2"/>
  <c r="N124" i="2" s="1"/>
  <c r="O124" i="2" s="1"/>
  <c r="M125" i="2"/>
  <c r="N125" i="2" s="1"/>
  <c r="O125" i="2" s="1"/>
  <c r="M126" i="2"/>
  <c r="N126" i="2" s="1"/>
  <c r="O126" i="2" s="1"/>
  <c r="M127" i="2"/>
  <c r="N127" i="2" s="1"/>
  <c r="O127" i="2" s="1"/>
  <c r="M128" i="2"/>
  <c r="N128" i="2" s="1"/>
  <c r="O128" i="2" s="1"/>
  <c r="M117" i="2"/>
  <c r="N117" i="2" s="1"/>
  <c r="O117" i="2" s="1"/>
  <c r="M118" i="2"/>
  <c r="N118" i="2" s="1"/>
  <c r="O118" i="2" s="1"/>
  <c r="M87" i="2"/>
  <c r="N87" i="2" s="1"/>
  <c r="O87" i="2" s="1"/>
  <c r="M88" i="2"/>
  <c r="N88" i="2" s="1"/>
  <c r="O88" i="2" s="1"/>
  <c r="M89" i="2"/>
  <c r="N89" i="2" s="1"/>
  <c r="O89" i="2" s="1"/>
  <c r="M90" i="2"/>
  <c r="N90" i="2" s="1"/>
  <c r="O90" i="2" s="1"/>
  <c r="M91" i="2"/>
  <c r="N91" i="2" s="1"/>
  <c r="O91" i="2" s="1"/>
  <c r="M92" i="2"/>
  <c r="N92" i="2" s="1"/>
  <c r="O92" i="2" s="1"/>
  <c r="M93" i="2"/>
  <c r="N93" i="2" s="1"/>
  <c r="O93" i="2" s="1"/>
  <c r="M94" i="2"/>
  <c r="N94" i="2" s="1"/>
  <c r="O94" i="2" s="1"/>
  <c r="M95" i="2"/>
  <c r="N95" i="2" s="1"/>
  <c r="O95" i="2" s="1"/>
  <c r="M96" i="2"/>
  <c r="N96" i="2" s="1"/>
  <c r="O96" i="2" s="1"/>
  <c r="M97" i="2"/>
  <c r="N97" i="2" s="1"/>
  <c r="O97" i="2" s="1"/>
  <c r="M98" i="2"/>
  <c r="N98" i="2" s="1"/>
  <c r="O98" i="2" s="1"/>
  <c r="M99" i="2"/>
  <c r="N99" i="2" s="1"/>
  <c r="O99" i="2" s="1"/>
  <c r="M100" i="2"/>
  <c r="N100" i="2" s="1"/>
  <c r="O100" i="2" s="1"/>
  <c r="M101" i="2"/>
  <c r="N101" i="2" s="1"/>
  <c r="O101" i="2" s="1"/>
  <c r="M102" i="2"/>
  <c r="N102" i="2" s="1"/>
  <c r="O102" i="2" s="1"/>
  <c r="M103" i="2"/>
  <c r="N103" i="2" s="1"/>
  <c r="O103" i="2" s="1"/>
  <c r="M104" i="2"/>
  <c r="N104" i="2" s="1"/>
  <c r="O104" i="2" s="1"/>
  <c r="M105" i="2"/>
  <c r="N105" i="2" s="1"/>
  <c r="O105" i="2" s="1"/>
  <c r="M106" i="2"/>
  <c r="N106" i="2" s="1"/>
  <c r="O106" i="2" s="1"/>
  <c r="M107" i="2"/>
  <c r="N107" i="2" s="1"/>
  <c r="O107" i="2" s="1"/>
  <c r="M108" i="2"/>
  <c r="N108" i="2" s="1"/>
  <c r="O108" i="2" s="1"/>
  <c r="M109" i="2"/>
  <c r="N109" i="2" s="1"/>
  <c r="O109" i="2" s="1"/>
  <c r="M110" i="2"/>
  <c r="N110" i="2" s="1"/>
  <c r="O110" i="2" s="1"/>
  <c r="M111" i="2"/>
  <c r="N111" i="2" s="1"/>
  <c r="O111" i="2" s="1"/>
  <c r="M112" i="2"/>
  <c r="N112" i="2" s="1"/>
  <c r="O112" i="2" s="1"/>
  <c r="M113" i="2"/>
  <c r="N113" i="2" s="1"/>
  <c r="O113" i="2" s="1"/>
  <c r="M114" i="2"/>
  <c r="N114" i="2" s="1"/>
  <c r="O114" i="2" s="1"/>
  <c r="M115" i="2"/>
  <c r="N115" i="2" s="1"/>
  <c r="O115" i="2" s="1"/>
  <c r="M116" i="2"/>
  <c r="N116" i="2" s="1"/>
  <c r="O116" i="2" s="1"/>
  <c r="M86" i="2"/>
  <c r="N86" i="2" s="1"/>
  <c r="O86" i="2" s="1"/>
  <c r="M85" i="2"/>
  <c r="N85" i="2" s="1"/>
  <c r="O85" i="2" s="1"/>
  <c r="M84" i="2"/>
  <c r="N84" i="2" s="1"/>
  <c r="O84" i="2" s="1"/>
  <c r="M83" i="2"/>
  <c r="N83" i="2" s="1"/>
  <c r="O83" i="2" s="1"/>
  <c r="M82" i="2"/>
  <c r="N82" i="2" s="1"/>
  <c r="O82" i="2" s="1"/>
  <c r="A30" i="4"/>
  <c r="A31" i="4"/>
  <c r="A32" i="4"/>
  <c r="A33" i="4"/>
  <c r="A34" i="4"/>
  <c r="A35" i="4"/>
  <c r="A36" i="4"/>
  <c r="A37" i="4"/>
  <c r="A38" i="4"/>
  <c r="A29" i="4"/>
  <c r="H4" i="11"/>
  <c r="G4" i="11"/>
  <c r="F4" i="11"/>
  <c r="H3" i="11"/>
  <c r="G3" i="11"/>
  <c r="F3" i="11"/>
  <c r="F2" i="11"/>
  <c r="G2" i="11" s="1"/>
  <c r="H2" i="11" s="1"/>
  <c r="M81" i="2"/>
  <c r="N81" i="2" s="1"/>
  <c r="O81" i="2" s="1"/>
  <c r="M51" i="2"/>
  <c r="N51" i="2" s="1"/>
  <c r="O51" i="2" s="1"/>
  <c r="M52" i="2"/>
  <c r="N52" i="2" s="1"/>
  <c r="O52" i="2" s="1"/>
  <c r="M53" i="2"/>
  <c r="N53" i="2" s="1"/>
  <c r="O53" i="2" s="1"/>
  <c r="M54" i="2"/>
  <c r="N54" i="2" s="1"/>
  <c r="O54" i="2" s="1"/>
  <c r="M55" i="2"/>
  <c r="N55" i="2" s="1"/>
  <c r="O55" i="2" s="1"/>
  <c r="M56" i="2"/>
  <c r="N56" i="2" s="1"/>
  <c r="O56" i="2" s="1"/>
  <c r="M57" i="2"/>
  <c r="N57" i="2" s="1"/>
  <c r="O57" i="2" s="1"/>
  <c r="M58" i="2"/>
  <c r="N58" i="2" s="1"/>
  <c r="O58" i="2" s="1"/>
  <c r="M59" i="2"/>
  <c r="N59" i="2" s="1"/>
  <c r="O59" i="2" s="1"/>
  <c r="M60" i="2"/>
  <c r="N60" i="2" s="1"/>
  <c r="O60" i="2" s="1"/>
  <c r="M61" i="2"/>
  <c r="N61" i="2" s="1"/>
  <c r="O61" i="2" s="1"/>
  <c r="M62" i="2"/>
  <c r="N62" i="2" s="1"/>
  <c r="O62" i="2" s="1"/>
  <c r="M63" i="2"/>
  <c r="N63" i="2" s="1"/>
  <c r="O63" i="2" s="1"/>
  <c r="M64" i="2"/>
  <c r="N64" i="2" s="1"/>
  <c r="O64" i="2" s="1"/>
  <c r="M65" i="2"/>
  <c r="N65" i="2" s="1"/>
  <c r="O65" i="2" s="1"/>
  <c r="M66" i="2"/>
  <c r="N66" i="2" s="1"/>
  <c r="O66" i="2" s="1"/>
  <c r="M67" i="2"/>
  <c r="N67" i="2" s="1"/>
  <c r="O67" i="2" s="1"/>
  <c r="M68" i="2"/>
  <c r="N68" i="2" s="1"/>
  <c r="O68" i="2" s="1"/>
  <c r="M69" i="2"/>
  <c r="N69" i="2" s="1"/>
  <c r="O69" i="2" s="1"/>
  <c r="M70" i="2"/>
  <c r="N70" i="2" s="1"/>
  <c r="O70" i="2" s="1"/>
  <c r="M71" i="2"/>
  <c r="N71" i="2" s="1"/>
  <c r="O71" i="2" s="1"/>
  <c r="M72" i="2"/>
  <c r="N72" i="2" s="1"/>
  <c r="O72" i="2" s="1"/>
  <c r="M73" i="2"/>
  <c r="N73" i="2" s="1"/>
  <c r="O73" i="2" s="1"/>
  <c r="M74" i="2"/>
  <c r="N74" i="2" s="1"/>
  <c r="O74" i="2" s="1"/>
  <c r="M75" i="2"/>
  <c r="N75" i="2" s="1"/>
  <c r="O75" i="2" s="1"/>
  <c r="M76" i="2"/>
  <c r="N76" i="2" s="1"/>
  <c r="O76" i="2" s="1"/>
  <c r="M77" i="2"/>
  <c r="N77" i="2" s="1"/>
  <c r="O77" i="2" s="1"/>
  <c r="M78" i="2"/>
  <c r="N78" i="2" s="1"/>
  <c r="O78" i="2" s="1"/>
  <c r="M79" i="2"/>
  <c r="N79" i="2" s="1"/>
  <c r="O79" i="2" s="1"/>
  <c r="M80" i="2"/>
  <c r="N80" i="2" s="1"/>
  <c r="O80" i="2" s="1"/>
  <c r="M25" i="2" l="1"/>
  <c r="N25" i="2" s="1"/>
  <c r="O25" i="2" s="1"/>
  <c r="M31" i="2"/>
  <c r="N31" i="2" s="1"/>
  <c r="O31" i="2" s="1"/>
  <c r="M32" i="2"/>
  <c r="N32" i="2" s="1"/>
  <c r="O32" i="2" s="1"/>
  <c r="M33" i="2"/>
  <c r="N33" i="2" s="1"/>
  <c r="O33" i="2" s="1"/>
  <c r="M34" i="2"/>
  <c r="N34" i="2" s="1"/>
  <c r="O34" i="2" s="1"/>
  <c r="M35" i="2"/>
  <c r="N35" i="2" s="1"/>
  <c r="O35" i="2" s="1"/>
  <c r="M36" i="2"/>
  <c r="N36" i="2" s="1"/>
  <c r="O36" i="2" s="1"/>
  <c r="M37" i="2"/>
  <c r="N37" i="2" s="1"/>
  <c r="O37" i="2" s="1"/>
  <c r="M38" i="2"/>
  <c r="N38" i="2" s="1"/>
  <c r="O38" i="2" s="1"/>
  <c r="M39" i="2"/>
  <c r="N39" i="2" s="1"/>
  <c r="O39" i="2" s="1"/>
  <c r="M40" i="2"/>
  <c r="N40" i="2" s="1"/>
  <c r="O40" i="2" s="1"/>
  <c r="M41" i="2"/>
  <c r="N41" i="2" s="1"/>
  <c r="O41" i="2" s="1"/>
  <c r="M42" i="2"/>
  <c r="N42" i="2" s="1"/>
  <c r="O42" i="2" s="1"/>
  <c r="M43" i="2"/>
  <c r="N43" i="2" s="1"/>
  <c r="O43" i="2" s="1"/>
  <c r="M44" i="2"/>
  <c r="N44" i="2" s="1"/>
  <c r="O44" i="2" s="1"/>
  <c r="M45" i="2"/>
  <c r="N45" i="2" s="1"/>
  <c r="O45" i="2" s="1"/>
  <c r="M46" i="2"/>
  <c r="N46" i="2" s="1"/>
  <c r="O46" i="2" s="1"/>
  <c r="M47" i="2"/>
  <c r="N47" i="2" s="1"/>
  <c r="O47" i="2" s="1"/>
  <c r="M48" i="2"/>
  <c r="N48" i="2" s="1"/>
  <c r="O48" i="2" s="1"/>
  <c r="M49" i="2"/>
  <c r="N49" i="2" s="1"/>
  <c r="O49" i="2" s="1"/>
  <c r="M50" i="2"/>
  <c r="N50" i="2" s="1"/>
  <c r="O50" i="2" s="1"/>
  <c r="Q3" i="2"/>
  <c r="Q4" i="2"/>
  <c r="Q5" i="2"/>
  <c r="Q6" i="2"/>
  <c r="Q7" i="2"/>
  <c r="Q8" i="2"/>
  <c r="Q9" i="2"/>
  <c r="Q10" i="2"/>
  <c r="Q11" i="2"/>
  <c r="Q12" i="2"/>
  <c r="Q13" i="2"/>
  <c r="Q14" i="2"/>
  <c r="Q15" i="2"/>
  <c r="Q16" i="2"/>
  <c r="Q17" i="2"/>
  <c r="Q18" i="2"/>
  <c r="Q19" i="2"/>
  <c r="Q20" i="2"/>
  <c r="Q21" i="2"/>
  <c r="Q22" i="2"/>
  <c r="Q23" i="2"/>
  <c r="Q24" i="2"/>
  <c r="Q25" i="2"/>
  <c r="Q26" i="2"/>
  <c r="Q27" i="2"/>
  <c r="Q28" i="2"/>
  <c r="Q29" i="2"/>
  <c r="Q30" i="2"/>
  <c r="Q2" i="2"/>
  <c r="M2" i="2"/>
  <c r="M3" i="2"/>
  <c r="M4" i="2"/>
  <c r="M5" i="2"/>
  <c r="M6" i="2"/>
  <c r="M7" i="2"/>
  <c r="M8" i="2"/>
  <c r="M9" i="2"/>
  <c r="M10" i="2"/>
  <c r="M11" i="2"/>
  <c r="M12" i="2"/>
  <c r="M13" i="2"/>
  <c r="M14" i="2"/>
  <c r="M15" i="2"/>
  <c r="N15" i="2" s="1"/>
  <c r="O15" i="2" s="1"/>
  <c r="M16" i="2"/>
  <c r="N16" i="2" s="1"/>
  <c r="O16" i="2" s="1"/>
  <c r="M17" i="2"/>
  <c r="N17" i="2" s="1"/>
  <c r="O17" i="2" s="1"/>
  <c r="M18" i="2"/>
  <c r="N18" i="2" s="1"/>
  <c r="O18" i="2" s="1"/>
  <c r="M19" i="2"/>
  <c r="N19" i="2" s="1"/>
  <c r="O19" i="2" s="1"/>
  <c r="M20" i="2"/>
  <c r="N20" i="2" s="1"/>
  <c r="O20" i="2" s="1"/>
  <c r="M21" i="2"/>
  <c r="N21" i="2" s="1"/>
  <c r="O21" i="2" s="1"/>
  <c r="M22" i="2"/>
  <c r="N22" i="2" s="1"/>
  <c r="O22" i="2" s="1"/>
  <c r="M23" i="2"/>
  <c r="N23" i="2" s="1"/>
  <c r="O23" i="2" s="1"/>
  <c r="M24" i="2"/>
  <c r="N24" i="2" s="1"/>
  <c r="O24" i="2" s="1"/>
  <c r="M26" i="2"/>
  <c r="N26" i="2" s="1"/>
  <c r="O26" i="2" s="1"/>
  <c r="M27" i="2"/>
  <c r="N27" i="2" s="1"/>
  <c r="O27" i="2" s="1"/>
  <c r="M28" i="2"/>
  <c r="N28" i="2" s="1"/>
  <c r="O28" i="2" s="1"/>
  <c r="M29" i="2"/>
  <c r="N29" i="2" s="1"/>
  <c r="O29" i="2" s="1"/>
  <c r="M30" i="2"/>
  <c r="N30" i="2" s="1"/>
  <c r="O30" i="2" s="1"/>
  <c r="N11" i="2" l="1"/>
  <c r="O11" i="2" s="1"/>
  <c r="N12" i="2"/>
  <c r="O12" i="2" s="1"/>
  <c r="N13" i="2"/>
  <c r="O13" i="2" s="1"/>
  <c r="N14" i="2"/>
  <c r="O14" i="2" s="1"/>
  <c r="N10" i="2"/>
  <c r="O10" i="2" s="1"/>
  <c r="N9" i="2"/>
  <c r="O9" i="2" s="1"/>
  <c r="N8" i="2"/>
  <c r="O8" i="2" s="1"/>
  <c r="N7" i="2"/>
  <c r="O7" i="2" s="1"/>
  <c r="N6" i="2"/>
  <c r="O6" i="2" s="1"/>
  <c r="K6" i="2"/>
  <c r="N5" i="2"/>
  <c r="O5" i="2" s="1"/>
  <c r="K5" i="2"/>
  <c r="N4" i="2"/>
  <c r="O4" i="2" s="1"/>
  <c r="K4" i="2"/>
  <c r="N3" i="2"/>
  <c r="O3" i="2" s="1"/>
  <c r="K3" i="2"/>
  <c r="N2" i="2"/>
  <c r="O2" i="2" s="1"/>
  <c r="K2" i="2"/>
</calcChain>
</file>

<file path=xl/sharedStrings.xml><?xml version="1.0" encoding="utf-8"?>
<sst xmlns="http://schemas.openxmlformats.org/spreadsheetml/2006/main" count="1926" uniqueCount="677">
  <si>
    <t>antigen_id</t>
  </si>
  <si>
    <t>antigen_sequence</t>
  </si>
  <si>
    <t>epitope_res_ids</t>
  </si>
  <si>
    <t>antigen_sequence_annotated</t>
  </si>
  <si>
    <t>nipah_gpG</t>
  </si>
  <si>
    <t>2vsm_A</t>
  </si>
  <si>
    <t>ICLQKTSNQILKPKLISYTLPVVGQSGTCITDPLLAMDEGYFAYSHLERIGSCSRGVSKQRIIGVGEVLDRGDEVPSLFMTNVWTPPNPNTVYHCSAVYNNEFYYVLCAVSTVGDPILNSTYWSGSLMMTRLAVKPKSNGGGYNQHQLALRSIEKGRYDKVMPYGPSGIKQGDTLYFPAVGFLVRTEFKYNDSNCPITKCQYSKPENCRLSMGIRPNSHYILRSGLLKYNLSDGENPKVVFIEISDQRLSIGSPSKIYDSLGQPVFYQASFSWDTMIKFGDVLTVNPLVVNWRNNTVISRPGQSQCPRFNTCPEICWEGVYNDAFLIDRINWISAGVFLDSNQTAENPVFTVFKDNEILYRAQLASEDTNAQKTITNCFLLKNKIWCISLVEIYDTGDNVIRPKLFAVKIPEQCTH</t>
  </si>
  <si>
    <t>`239,240,241,242,305,388,389,401,402,458,488,489,490,491,492,501,504,505,506,507,530,531,532,533,555,557,558,559,579,580,581,583,588</t>
  </si>
  <si>
    <t>ICLQKTSNQILKPKLISYTLGQSGTCITDPLLAMDEGYFAYSHLERIG[S][C][S][R]GVSKQRIIGVGEVLDRGDEVPSLFMTNVWTPPNPNTVYHCSAVYNNEFYYVLCAVSTVGDPI[L]NSTYWSGSLMMTRLAVKPKSNGGGYNQHQLALRSIEKGRYDKVMPYGPSGIKQGDTLYFPAVGFLVRTEFKYNDSNCPITKC[Q][Y]SKPENCRLSMG[I][R]PNSHYILRSGLLKYNLSDGENPKVVFIEISDQRLSIGSPSKIYDSLGQPVFYQAS[F]SWDTMIKFGDVLTVNPLVVNWRNNTVISR[P][G][Q][S][Q]CPRFNTCP[E]IC[W][E][G][V]YNDAFLIDRINWISAGVFLDSN[Q][T][A][E]NPVFTVFKDNEILYRAQLASE[D]T[N][A][Q]KTITNCFLLKNKIWCISLV[E][I][Y]D[T]GDNV[I]RPKLFAVKIPEQCTH</t>
  </si>
  <si>
    <t>antibody_id</t>
  </si>
  <si>
    <t>method</t>
  </si>
  <si>
    <t>model_version</t>
  </si>
  <si>
    <t>temperature</t>
  </si>
  <si>
    <t>h_chain</t>
  </si>
  <si>
    <t>l_chain</t>
  </si>
  <si>
    <t>franken_chain</t>
  </si>
  <si>
    <t>len_franken_chain</t>
  </si>
  <si>
    <t>sbio-nipahgpg-001</t>
  </si>
  <si>
    <t>peleke-1</t>
  </si>
  <si>
    <t>peleke-phi-4</t>
  </si>
  <si>
    <t>QVQLVESGGGVVQPGRSLRLSCAASGFTFSSYGMHWVRQAPGKGLEWVAVISYDGSKKYYADSVKGRFTISRDNSKNTLYLQMNSLRAEDTAVYYCARSPFYDSSGYYAMDYWGQGTLVTVSS</t>
  </si>
  <si>
    <t>DIQLTQSPSSLSASVGDRVTITCRASQGISSYLAWYQQKPGKAPKLLIYAASTLQSGVPSRFSGSGSGTDFTLTISSLQPEDFATYYCQQANSFPPTFGQGTKVEIK</t>
  </si>
  <si>
    <t>sbio-nipahgpg-002</t>
  </si>
  <si>
    <t>QVQLVESGGGVVQPGKSLRLSCAASGFTFSSYAMSWVRQAPGKGPEWVAFISYDGSNNYYADSVKGRFTISRDNPKNTLYLQMKSLRAEDTAVYYCARWRQRFDMYWGRGTLVTVSS</t>
  </si>
  <si>
    <t>DIQMTQSPSSLSASVGDRVTITCRASQSISSYLNWYQQKPGKAPKLLIYAASSLQSGVPSRFSGSGSGTDFTLTISSLQPEDFATYYCQQSYSTPYTFGQGTKVEIK</t>
  </si>
  <si>
    <t>sbio-nipahgpg-003</t>
  </si>
  <si>
    <t>QVQLQESGPGLVKPSETLSLTCTVSGASIRGYYWSWIRQFPGKELEWIGYVYSGSTENYNPSLKSRVTVTLTDTKNSFSLKLNSVTSEDTAVYYCARGGALIYYDVWGTGTTVTVSS</t>
  </si>
  <si>
    <t>DIQVTQSPVSLSASVGDRVTITCRASQGIDSLNWFQQRPGKAPKLLIYAASQLTGIAPRFRSGSGSGTDFTLTISSLQPEDFATYYCQQYNIYPATFGQGTKVEIK</t>
  </si>
  <si>
    <t>sbio-nipahgpg-004</t>
  </si>
  <si>
    <t>EVQLVQSGAEVKKPGESLKISCKGSGYTFSYYWIGWVRQMPGKGLEWMGIIYPGDSDTRYSPSFQGQVTISADKSISTAYLQWSSLKASDTAMYYCARGEGVFDYWGQGTLVTVSS</t>
  </si>
  <si>
    <t>YTLTQAPSVSASGQSVTISCTGTSRDVGTYWYQQIPGRAPKLLIHDKSENQGKTPGIPDRFSGSKSGNTASLVIIRGLQADDEADYYCNSYHGSGSNIFGGGTKLTVD</t>
  </si>
  <si>
    <t>sbio-nipahgpg-005</t>
  </si>
  <si>
    <t>EVQLVESGGGLVQPGGSLRLSCAASGFTFSSYWMNWVRQAPGKGLEWVANINQDGGEKYYVDSVKGRFTISRDNAKNSLYLQMNSLRAEDTAIYYCARDVGGGMDVWGQGTTVTVSS</t>
  </si>
  <si>
    <t>QMTQSPSSLSASVGDRVTITCRASQSVSSAVAWYQQKPGKAPKLLIYSASSLYSGVPSRFSGSRSGTDFTLTISSLQPEDFATYYCQQSSSSLITFGQGTKVEIK</t>
  </si>
  <si>
    <t>peleke-mistral-7b-instruct-v0.2</t>
  </si>
  <si>
    <t>General LLM</t>
  </si>
  <si>
    <t>Qwen3-235B-A22B-Instruct-2507</t>
  </si>
  <si>
    <t>sbio-nipahgpg-008</t>
  </si>
  <si>
    <t>QVQLVESGGGVVQPGRSLRLSCAASGFTFSSYAMSWVRQAPGKGLEWVSAIWSNGGSTYYADSVKGRFTISRDNAKNSLYLQMNSLRAEDTAVYYCARDYGSYGYFDYWGQGTLVTVSS</t>
  </si>
  <si>
    <t>DIVMTQSPLSLPVTPGEPASISCRSSQSLLYSNGNTYLEWYLQKPGQSPQLLIYLVSKLDSGVPDRFSGSGSGTDFTLKISRVEAEDLGIYYCQQSKEVPYTFGAGTKLEIK</t>
  </si>
  <si>
    <t>test_chotia_pass</t>
  </si>
  <si>
    <t>type</t>
  </si>
  <si>
    <t>base</t>
  </si>
  <si>
    <t>sbio-nipahgpg-009</t>
  </si>
  <si>
    <t>sbio-nipahgpg-010</t>
  </si>
  <si>
    <t>sbio-nipahgpg-011</t>
  </si>
  <si>
    <t>sbio-nipahgpg-012</t>
  </si>
  <si>
    <t>sbio-nipahgpg-013</t>
  </si>
  <si>
    <t>sbio-nipahgpg-014</t>
  </si>
  <si>
    <t>derivative</t>
  </si>
  <si>
    <t>parent_antibody_id</t>
  </si>
  <si>
    <t>peleke-1 + ProteinMPNN</t>
  </si>
  <si>
    <t>peleke-phi-4 / v_48_020</t>
  </si>
  <si>
    <t>sbio-nipahgpg-015</t>
  </si>
  <si>
    <t>AVSLVESGGGTVKPGESVTLSCQASGFNFSKYQWVWVRQAPGKGLEWVGQISPDGSKTRYHPSVAGRFTISRDNSNSTLYLHMSNLRPEDTAVYYCGIIPQDNVHGDYSISHWGQGTLLTVSA</t>
  </si>
  <si>
    <t>AIKLTQSPKSLSASVGDTVTINCTASRPIGDLLSWYKQKPGKPPQLLIYRSSTLASGVSSRYSGSGSDTNFTLTISSLQSSDFATYYCRQTSRFPITFGEGTTINKK</t>
  </si>
  <si>
    <t>AVSITESGGGTKAPGSSVTLSCKVSGFVFSKYSIAWVRQAPGQGLEWVSQISPDGSTTRYNPAVAGRFTISRDNSNSTAYLQMSNLTPSDTATYYCAIIPQDNEHGDYSLSHWGQGTQLTVSA</t>
  </si>
  <si>
    <t>AIKLTQSPKSLSAKVGDTVTINCTASAPIGDFLSWYKQKPGQPPQLLIYKSSTLAPGVSSRYSGSGSDTNFTLTISSLQEEDFATYYCQQTATLPITFGEGTTINKK</t>
  </si>
  <si>
    <t>SISLVESGGGTVAPGSSVTLSCQASGFNFSKYSKAWVRQPPGQPLEWVSRISPDGSTKYYHPDVAGRFTISKDNSKSTVYLAMSNLTAADTATYYCGIIPGDNTHGDYAMSHWGQGTLLTVSA</t>
  </si>
  <si>
    <t>AITLTQSPSSLSASVGDTVTISCTASRPIGDKLSWYKQKPGQPPQLLIYNASTLAPGVSSRYSGSGSDTSFTLTISSLQEDDFATYYCQQTYTLPITFGQGTTISKK</t>
  </si>
  <si>
    <t>GISLVESGGGTVKPGESVTLSCKASGFVFSKYSHAWVRQPPGGPLEWVSQISSDGSVTRYASSVSGRFTISRDNSNSTVYLQMNNLRPSDTATYYCGIIPQDNVHGDYAISHWGQGTLLTVTA</t>
  </si>
  <si>
    <t>AITLTQSPASLSAKVGDTVTLSCTASRPIGDLLSWYKQKPGQPPQLLIYRASTLAPGVDSRYSGSGSDTSFTLTISSLQPEDFATYYCQQTSRFPITFGQGTTIKQA</t>
  </si>
  <si>
    <t>GVSLTESGGGTVAPGSSVTLSCKASGFNFSKYSHAWVRQAPGQGLTWVGEISPDGSKTRYASSVAGRFTISRDNSNSTVYLQMSSLTPSDTATYYCGIIPGDSVHGERSMSHWGQGTLLTVSA</t>
  </si>
  <si>
    <t>AITLTQSPSSLSASVGDTVTLNCTASRPIGDRLSWYKQKPGQAPQLLIYRASTLAPGVSSRYSGSGSDTQFTLTISSLQSDDFATYYCQQTSSYPVTFGQGTTITKK</t>
  </si>
  <si>
    <t>EVSLVESGGGTVKPGESVTLSCQASGFNFSKYRLAWVRQPPGQGLVWVSEISPDGTEVKYHPDVKGRFTASRDNSNSTAYLKMNNLQPSDTATYYCGIIPQDSSHGDYSISHWGQGTQLTVSA</t>
  </si>
  <si>
    <t xml:space="preserve">TITLTQSPSSLSASVGDTVTINCTASRPIGDFLSWYKQKPGQPPQLLIYRSSTLASGVSSRYSGSGSDTNFTLTISSLQSDDFATYYCQQTYTLPITFGQGTTLTKK </t>
  </si>
  <si>
    <t>AVSLVESGGGTYAPGSSVTLSCQGSGFNFSKVRKVWVRQPPGGPLEYVAEISPDGSTTTYASSVAGRFTISKDNSNSTLYLSMSNLTPADTATYYCGLIPGDSEHGDRSISHWGQGTLVTVSA</t>
  </si>
  <si>
    <t>AITLTQSPSSLSASVGDTVTINCTASQPIGNFLSWYKQKPGQPPQLLIYNASTLAPGVSSRYSGSGSDTNFTLTISSLQSEDFATYYCQQTSRLPVTFGQGTTINKK</t>
  </si>
  <si>
    <t>peleke-phi-4 / v_48_030</t>
  </si>
  <si>
    <t>sbio-nipahgpg-016</t>
  </si>
  <si>
    <t>sbio-nipahgpg-017</t>
  </si>
  <si>
    <t>sbio-nipahgpg-018</t>
  </si>
  <si>
    <t>sbio-nipahgpg-019</t>
  </si>
  <si>
    <t>sbio-nipahgpg-020</t>
  </si>
  <si>
    <t>sbio-nipahgpg-021</t>
  </si>
  <si>
    <t>sbio-nipahgpg-022</t>
  </si>
  <si>
    <t>sbio-nipahgpg-023</t>
  </si>
  <si>
    <t>PVSLVESGGGTVAPGSSVTLTCQASGFNFSKYIVAWVRQPPGQPLRFVAMITPDGSKVWLHPEVEGRFTPSKDNSKNTSYLQLKDLQPEDTATYYCGIIPQGSTHGDYSITHWGQGVVLTVTA</t>
  </si>
  <si>
    <t xml:space="preserve">MVTLTQSPSSLSASVGDTVTITCTASSPVDNLMSWYQQPPGQPLRLLIYNASTRAPGVSSRFSGSGSDTNFTLTISSLQASDFATYYCQQTYRLPVTFGQGTTLSAA </t>
  </si>
  <si>
    <t>SIKLTESGGGTVKPGSSVTLSCQASGFNFSKYEVVWVMQKPGQPLQWVGSISPDGSKVRLHPKVKGRFTLSKDNSKNTAYLTMKNLQPEDTATYYCGIIPGGSVHGDRSITHWGQGVELKVVA</t>
  </si>
  <si>
    <t>MIKLTQSPKSVKAKVGDTVTITCTASEPVDDLVSWYQQKPGQPLRLLIYRSSTLAPGVSSRFSGSGSDTNFTLTISSLQEEDFATYYCMQTSKYPYTFGQGTTLSRA</t>
  </si>
  <si>
    <t>AITLTESGGGVVAPGSSVTLTCTASGFNFSKYSMVWVRQPPGGPLQWVAQISPDNSTVRYHPAVEGRFTASKDNSKNTAYLAMSDLEPSDTATYYCGIIPQGSTHNDYSIVHWGQGTELRVVA</t>
  </si>
  <si>
    <t>MIKLTQSPSSLSAKVGDKVTITCTASSPVDNLVSWYKQPPGGPLQLLIYNSSTRAPGVSSRFKGSGSDTNFTLTIESLQEEDFATYYCQQTYKFPITFGQGTKLTRA</t>
  </si>
  <si>
    <t>SISLTESGGGTVAPGSSVTLTCTASGFNFSKYSVAWVRQPPGQPLQWVALISPDGSKKWYHPDVKGRATISKDNSKNTSYLTLSNLQPSDTATYYCGIIPGGNIHGDYSMTHWGQGTQLTVVA</t>
  </si>
  <si>
    <t>MITLTQSPLSLSAKVGDTVTITCTASSPVDDLVSWYQQKPGQPLRLLIRNASERAPGVSSRFSGSGSDTTFTLTISSVQEEDFATYYCQQTSKLPYTFGQGTTLSRA</t>
  </si>
  <si>
    <t>AVTLTESGGGTVAPGSSVTLTCTASGFNFSKYILAWVRQAPGQPLEWVASISPDGSKTRYHPAVKGRATASKDNSKNTAYLELKDLRPEDTATYYCGIIPQGSVHGDYSMTHWGQGTELRVEA</t>
  </si>
  <si>
    <t>PVVLTQSPLSLSAKVGDTVTITCTASSPVDNLVSWYKQAPGQPLQLLIYNATTRAPGVPSRFTGSGSDTTFTLTISSLQPEDFAVYYCQQTYKFPITFGQGTRLTPA</t>
  </si>
  <si>
    <t>PVKLVESGGGTVAPGSSVTLTCKASGFNFSKYMVQWVRQAPGGAFQWVGLISPDGSTKWYHPDVEGRFTISKDNSKNTAYLEMRNLTPADTAVYYCGIVPQGSVHGDYSITHWGQGVTLTVTA</t>
  </si>
  <si>
    <t>VVQLTQSPPELSAKVGEKVTITCTASSPVDNLVSWYQQKPGGAPKLLIYNATTLAPGVPSRFSGSGSDTVFTLTIDSLQAEDFATYYCQQTSRLPFTFGQGTVLRPA</t>
  </si>
  <si>
    <t>AIKLTESGGGTVKPGSSVTLTCQASGFNFSKYIMAWVRQAPGQPLQWVAQISPDNSVKRYHPEVEGRFTASKDNSKNTAYLEMKNLTPADTATYYCAIIPQGSTQGDYSMVHWGQGVELKVVA</t>
  </si>
  <si>
    <t>PVVLTQSPASLKAAVGDTVTITCTASAPVDNLVSWYKQAPGQPPQLLIYNASTLAPGVPSRFTGSGSDTSFTLTISSLQEEDFATYYCQETSKFPITFGQGTKLEKK</t>
  </si>
  <si>
    <t>SIKLTESGGGVVAPGESVTLTCTASGFNFSKYEMAWVRQAPGGPLEFVAVISPDGSTTRYHPRVEGRATISRDNSKNTAYLTLRDLTPADTAVYYCGIIPGGSVHGDRALSHWGQGVRLEVRA</t>
  </si>
  <si>
    <t>MVTLTQSPSSLSAKVGDKVTISCTASEPVDDLVSWYKQAPGGPPQLLISRASTRAPGVPSRFSGSGSDTNFTLTIESLQSSDFATYYCQQTYKFPDTFGQGTTLSEA</t>
  </si>
  <si>
    <t>Used ProteinMPNN to generate new H/L chain seqs while retaining target A chain seq. Notebook: https://github.com/dauparas/ProteinMPNN/blob/main/colab_notebooks/quickdemo.ipynb</t>
  </si>
  <si>
    <t>note_id</t>
  </si>
  <si>
    <t>description</t>
  </si>
  <si>
    <t>status_folded_boltz2</t>
  </si>
  <si>
    <t>note_ids</t>
  </si>
  <si>
    <t>submitted_to_comp</t>
  </si>
  <si>
    <t>len_lte_250</t>
  </si>
  <si>
    <t>m102.3 (PDB: 6CMI)</t>
  </si>
  <si>
    <t>sbio-nipahgpg-024</t>
  </si>
  <si>
    <t>sbio-nipahgpg-025</t>
  </si>
  <si>
    <t>sbio-nipahgpg-026</t>
  </si>
  <si>
    <t>sbio-nipahgpg-027</t>
  </si>
  <si>
    <t>sbio-nipahgpg-028</t>
  </si>
  <si>
    <t>sbio-nipahgpg-029</t>
  </si>
  <si>
    <t>sbio-nipahgpg-030</t>
  </si>
  <si>
    <t>sbio-nipahgpg-031</t>
  </si>
  <si>
    <t>ProteinMPNN</t>
  </si>
  <si>
    <t>v_48_020</t>
  </si>
  <si>
    <t>Generated from superimposing PDB 2VSM chain A on PDB 6CMI chain A, replacing the Hendra antigen with the Nipah antigen. Then, used ProteinMPNN to regenerate the H and L chains of the m102.3 antibody given the Nipah antigen.</t>
  </si>
  <si>
    <t>SITLVQSGDVTVAPGGSVTLTCTSSGGSFGNKAVAWVRQRPGGPYEWLGFIIPAYGVSRYNPAYEGRVTISVDSASNTASLTISNLTAADTATYYCALGEGEIVYAASPFDENYKLGALYIWGQGTKVTVS</t>
  </si>
  <si>
    <t>SVTLVESGDQTVAPGGSVTLSCTSSGGSFGNSGVSWVKQQPGGPLQWIGGIIPSLGISKVSPEYAGRVTISSDSSNNTAYLTISNLTAADTATYYCALGEGEDVFASSPFASNVNLGALSVWGQGTKVTVS</t>
  </si>
  <si>
    <t>ITVTQSPSSPSLSVGDTATLTCTLSSSVATSNVAWYKQLPGQPPELLISGGSTRAPGVPSRYSGSGSGTTFTLTISSLQASDFATYYCQVYGENPSFGQGTTLTLK</t>
  </si>
  <si>
    <t xml:space="preserve">ITVTQSPSSPSLKVGETATLTCTLSAPVPRSNVAWYKQQPGQPPTLLIYGGSTRAPGVPSRYSGSGSGTTFTLTITALKPEDFATYYCQVYGENPSFGQGTTLKLK </t>
  </si>
  <si>
    <t>GVKLVQSGDLTVKPGGSVTLSCKSEGGSFGNSSVAWVRQRPGGPYEYIGSIIPAYGVSRVSPEYEGRVTISADVANNTAYLTISNLTPEDTATYYCALGPGEVVYAASPFDEKLLTGALSVWGEGTLVTVT</t>
  </si>
  <si>
    <t>AVKLVQSGDQTVAPGGSVTLSCTSSGGSFGNSSVAWVRQRPGGPFEFIGSIIPSLGISRYNSKYKGRVTISSDAANNTAYLTISNLTAADTATYYCALGPGESVFASHPFKEKLLTGALSVWGEGTLVTVS</t>
  </si>
  <si>
    <t>ITVTQSPSSPSKSVGDTVTLTCTLSSSVPVSQVAWYKQHPGQPPELLIYGGSTRASGVPSRYSGSGSGTTFTLTISSLQPEDFATYYCQVYGEEPSFGQGTTVTLA</t>
  </si>
  <si>
    <t>ITLTQSPSSPSLSVGETATLTCTASAPVPKSNVAWYKQLPGQPPELLIYGGSTRASGVPSRYSGSGSGTTFTLTISSLTADDFATYYCQVYGENPSFGEGTTLTLK</t>
  </si>
  <si>
    <t>SVTLVQSGDQTVPIGGSVTLSCTANGGSFGNKGVAWVRQRPGGPYEFLGFIKPAIGESRYHPKYKGRVTISSDVSSNTAYLTISNLTPEDTAVYYCALGEAEDVFAAHPFKTDLLLGALSIWGQGTRVTVT</t>
  </si>
  <si>
    <t>ITVTQSPSSPSLSVGETAVLTCTLSQPVPQSQVAWYKQLPGQPPTLLISGGSTRASGVPSRYSGSGSGTTFTLTISSLLPEDFATYYCQVVGKEPSFGQGTTLTLK</t>
  </si>
  <si>
    <t>ITVTQSPSSPSLKVGETATLTCTLSAPVAKSNVAWYKQLPGQPPELLIYGGSTRASGVPSRYSGSGSGTTFTLTISSLQPEDFATYYCQVVGKNPSFGQGTLLKLK</t>
  </si>
  <si>
    <t>SVKLVQSGDQTVPVGGSVTLSCTASGGSFGNYGVAWVRQRPGGPLEYIGSIIPAYGISTVNPKYEGRVTISADPTNNTAYLTISNLTPEDTATYYCALGPGEVVFASSPFDIDVLTGALWVWGEGTKVTVT</t>
  </si>
  <si>
    <t>linker_seq</t>
  </si>
  <si>
    <t>GGGSGGGSGGGSGGGS</t>
  </si>
  <si>
    <t>GGGSGGGSGGGS</t>
  </si>
  <si>
    <t>ITVTESPSSPELSVGETAVLSCTLSSSVPQSNVAWYKQKPGQPPELLIYGGSTRASGVPSRYSGSGSGTTFYLTISSLEPEDFATYYCQVYGTSPSFGQGTTLKLK</t>
  </si>
  <si>
    <t>SISLVQSSDQTVAPGGSVTLSCTSSGGSFGNSGVAWVRQAPGGPPVYIGGIIPATGVSTYNAAFKGRVTISSDSSNNTAYLTISGLTAADTATYYCALGPAENVFASHPFAEDVNLGALSVWGQGTLVTVT</t>
  </si>
  <si>
    <t>AVSLVESGDQTVAPGGSVTLSCTSSGGSFGNSGVAWVRQAPGGPLEFLGFIIPALGVSKVNSKYEGRVTISSDPANNTAYLTISNLTAADTATYYCGLGTGESVFASSPFDEKLLLGALSVWGQGTKVTVT</t>
  </si>
  <si>
    <t>ITVTQSPASPEKKVGETATLTCTLSSAVPKSNVAWYKQKPGQPPELLIYGGSTRASGVPSRYSGSGSGTTFYLTISSLQPEDFATYYCRVYGEEPSFGQGTTLKLK</t>
  </si>
  <si>
    <t>status_folded_franken_boltz2</t>
  </si>
  <si>
    <t>max_ipsae</t>
  </si>
  <si>
    <t>min_ipsae</t>
  </si>
  <si>
    <t>VQLQESGPGLVKPSQSLSLTCTVTGYSITTGYAWNWIRQFPGNKLEWMGYISYSGSTYYPSLKSRISITRDTSKNQFFLQLSIVTTEDTATYYCARGTTLPDYVDFWGQGTSVTVSS</t>
  </si>
  <si>
    <t>DIQLTQSPSSLSASVGDRVTITCRASQTISTYLNWYQQKPGKAPKLLIYAASTLQSGVPSRFSGSGSGTDFTLTISSLQPEDFATYFCLQHFWTPPITFGQGTRLEIK</t>
  </si>
  <si>
    <t>QVQLQESGPGLVKPSETLSVTCTVSGGSIGSNNYWSWIRQPAGKGLEWIGYIYYSGSTNYNPSLKSRVTMSVDTSKNQFSLKLSSVTAADTAVYYCVRNYYDSSDSSGYYFMDVWGQGTTVTVSS</t>
  </si>
  <si>
    <t>DIVMTQSPLSLSVTPGEPASISCRSSQSLLHSNGYNYLDWYLQKPGQSPQLLIYLGSNRASGVPDRFSGSGSGTDFTLKISRVEAEDVGVYYCMQALQTPTFGQGTRLEIK</t>
  </si>
  <si>
    <t>QVQLVQSGAEVKKPGESLKISCKGSGYRFSSYWIGWVRQMPGKGLEWMGIIYPGDSDTRYSPSFQGQVTISADKSISTAYLQWSSLKASDTAMYYCARQGPDYYYGMDVWGQGTTVTVSS</t>
  </si>
  <si>
    <t>DIQMTQSPSTLSASVGDRVTITCRASQSISSWLAWYQQKPGKAPKLLIYKASELQSGVPSRFSGSGSGTEFTLTISSLQPDDFATYYCQQYINSYTFGQGTKVEIK</t>
  </si>
  <si>
    <t>QVQLQQSGPELVKPGASVKLSCKASGYTFTDYYMHWVKQRPGQGLEWIGEINPNSGGTNTYDQKFKGRATLTVDKSSSTAYLQLSSLTSEDSAVYYCARSPPWYFDYWGQGTTLTVS</t>
  </si>
  <si>
    <t>DIVMTQSPSSMFASVGETVTITCRASENIYSNLAWYQQKPGQSPKLLIYWASTRHTGVPDRFTGSGSGTDFTLTISSVQAEDLALYYCQHYGSYSFTFGSGTKLEIK</t>
  </si>
  <si>
    <t>EVQLVESGGGLVQPGGSLRLSCAASGFNVSYSSIHWVRQAPGKGLEWVASISSYYGYTYYADSVKGRFTISADTSKNTAYLQMNSLRAEDTAVYYCARSRNYVYSSGYLDFWGQGTLVTVSS</t>
  </si>
  <si>
    <t>DIQMTQSPSSLSASVGDRVTITCRASQSVSSAVAWYQQKPGKAPKLLIYSASSLYSGVPSRFSGSRSGTDFTLTISSLQPEDFATYYCQQSSYSSPPTFGQGTKVEIK</t>
  </si>
  <si>
    <t>EVQLVESGGGLVQPGGSLRLSCAASGFNIYYSSIHWVRQAPGKGLEWVASISPYYGSTSYADSVKGRFTISADTSKNTAYLQMNSLRAEDTAVYYCARDYGHYYYAMDYWGQGTLVTVSS</t>
  </si>
  <si>
    <t>EIVMTQSPATLSVSPGERATLSCRASQSVSSYLAWYQQKPGQAPRLLIYGASTRATGIPARFSGSGSGTEFTLTISSLQSEDSAVYYCQQYNNWPPITFGQGTRLEIK</t>
  </si>
  <si>
    <t>QVQLQESGPGLVKPSETLSLSCVVSGDSSSTNYYWGWIRQPPGKGLEWIGYIYGSGDTAYNPSLKSRVTISVDTSKNQFSLKLSSVTAADTAVYYCARRSWGYGYNGYSTYYYYYYFDQGYFDVWGPGTLVT</t>
  </si>
  <si>
    <t>DIQMTQSPSSLSASVGDRVTITCRASQSIGSYLNWYQQKPGKAPKLLIYAASTLQSGVPSRFSGSGSGTEFTLTISSLQPEDFATYYCQQSYSWGQGTKVEIK</t>
  </si>
  <si>
    <t>QVQLVQSGAEVKKPGASVKVSCKASGYTFTSYGISWVRQAPGQGLEWMGWISAHNGDTNYAQKFQGRVTMTRDTSITTAYMELRSDDTAVYYCARDGSVGGFYWGQGTLVTVSS</t>
  </si>
  <si>
    <t>EIVLTQSPGTLSLSPGERATLSCRASQSVSSYLAWYQQKPGQAPRLLIYGASSRATGIPDRFSGSGSGTDFTLTISRLEPEDFAVYYCQQYGSSPITFGQGTRLEIK</t>
  </si>
  <si>
    <t>EVQLLESGGGLVQPGGSLRLSCAASGFNVSYSSIHWVRQAPGKGLEWVASISPYYGSTSYADSVKGRFTISADTSKNTAYLQMNSLRAEDTAVYYCARSYYWYWSGWGTLVTVSS</t>
  </si>
  <si>
    <t>DIQMTQSPSSLSASVGDRVTITCRASQSVSSAVAWYQQKPGKAPKLLIYSASSLYSGVPSRFSGSRSGTDFTLTISSLQPEDFATYYCQQSYGSPPTFGQGTKVEIK</t>
  </si>
  <si>
    <t>QVQLQESGPGLVKPSQTLSLTCTVSGGSISSGHYAWWIRQPPGKGLEWIACIYSSSGSTYYNPSLKSRITISVDTSKNQFSLKLSSVTAADTAVYYCARRQRGYDYDYYYGMDVWGQGTTVTVSS</t>
  </si>
  <si>
    <t>DIQLTQSPSSLSASVGDRVTITCRASQGISRNLAWYQQKPGKAPKLLIYAASSLQSGVPSRFSGSGSGTDFTLTISSLQPEDFATYYCQQSNNWPITFGQGTKVEIK</t>
  </si>
  <si>
    <t>EVQLVESGGGLVQPGGSLRLSCAASGFNIYYSSIHWVRQAPGKGLEWVASIYSYYSSTSYADSVKGRFTISADTSKNTAYLQMNSLRAEDTAVYYCARVYGYLSYSYFYWGLDVWGQGTLVTVS</t>
  </si>
  <si>
    <t>DIQMTQSPSSLSASVGDRVTITCRASQSVSSAVAWYQQKPGKAPKLLIYSASSLYSGVPSRFSGSRSGTDFTLTISSLQPEDFATYYCQQYKYVPVTFGQGTKVEI</t>
  </si>
  <si>
    <t>EVQLQQSGAELVKPGASVKLSCTASGFNIKDTYVHWVKQRPEQGLEWIGRIDPANGYTKYDPKFQGKATITADTSSNTAYLQLSSLTSEDTAVYYCVRPLYDYYAMDYWGQGTTLTVSS</t>
  </si>
  <si>
    <t>DIVMTQSPSSLAMSAGRVSITCRTSQSISSYLNWVQQKPGKSPKLLIYWASTRESGVPDRFTGSGSGTDFTLTISRVEAEDLGVYYCMQGTHVPYTFGGGTKLEIK</t>
  </si>
  <si>
    <t>EVQLVESGGGLVKPGGSLRLSCAASGFTFSSYAMHWVRQAPGKGLEWVSAISGGGGSTYYADSVKGRFTISRDNSKNTLYLQMRAEDTAVYYCAKDDADWGQGTLVTVSS</t>
  </si>
  <si>
    <t>DIQMTQSPSSLSASVGDRVTITCRASQSVSSAVAWYQQKPGKAPKLLIYSASSLYSGVPSRFSGSRSGTDFTLTISSLQPEDFATYYCQQYKYVPFTFGQGTKVEIK</t>
  </si>
  <si>
    <t>QVQLQESGPGLVKPSQTLSLTCTVSGGSISSGSYYWIRQSPGKGLEWIGYIYYSGSTNYNPSLKSRVTISVDTSKNQFSLKLSSVTAADTAVYYCARHRYYDRGQGTLVTVSS</t>
  </si>
  <si>
    <t>DIQMTQSPASLSASVGETVTITCRASENIYSNLAWYQQKQGKSPQLLVYAATDLADGVPSRFSGSGSGTQFSLKINSLQPEDFGSYYCQHFWDTPWTFGQGTRVE</t>
  </si>
  <si>
    <t>EVQLVESGGGLVQPGGSLRLSCAASGFNLYSSSIHWVRQAPGKGLEWVAYISSSGTHYADSVKGRFTISADTSKNTAYLQMRAEDTAVYYCARVGHYYSSGGYYYAMDYWGQGTLVTVSS</t>
  </si>
  <si>
    <t>DIQMTQSPSSLSASVGDRVTITCRASQSVSSAVAWYQQKPGKAPKLLIYSASSLYSGVPSRFSGSRSGTDFTLTISSLQPEDFATYYCQQYSSYWTFGQGTKVEIK</t>
  </si>
  <si>
    <t>EVQLVESGGGLVQPGGSLRLSCAASGFNVVDSGISWVRQAPGKGLEWVSYISSSSGSTYYADSVKGRFTISADTSKNTAYLQMNSLRAEDTAVYYCARAHYYGSYFGSVVYYYGLDVWGQGTLVTVSS</t>
  </si>
  <si>
    <t>DIQMTQSPSSLSASVGDRVTITCRASQSVSSAVAWYQQKPGKAPKLLIYSASSLYSGVPSRFSGSRSGTDFTLTISSLQPEDFATYYCQQYDTYPITFGQGTKVEIK</t>
  </si>
  <si>
    <t>EVQLVESGGGLVQPGGSLRLSCAASGFNVYSSSIHWVRQAPGKGLEWVASISSYYGYTYYADSVKGRFTISADTSKNTAYLQMNSLRAEDTAVYYCARSYSTYYYGYWYFDVWGQGTLVTVSS</t>
  </si>
  <si>
    <t>DIQMTQSPSSLSAAVGDRVTITCRASQSVSSAVAWYQQKPGKAPKLLIYSASSLYSGVPSRFSGSRSGTDFTLTISSLQPEDFATYYCQQYNYYWLITFGQGTKVEIK</t>
  </si>
  <si>
    <t>QVQLQQPGAELVKPGASVKLSCKASGYTFTSDWIHWVKQRPGHGLEWIGEIIPSYGRANYNEKIQKKATLTADKSSSTAFMHLSSLTSEDSAVYYCARERGDGYFAVWGAGTTVTVSS</t>
  </si>
  <si>
    <t>DILLTQSPAILSVSPGERVSFSCRASQSIGTDIHWYQQRTNGSPRLLIKYASESISGIPSRFSGSGSGTDFTLSINSVESEDIANYYCQQSNRWPFTFGSGTKLEIK</t>
  </si>
  <si>
    <t>VRLLESGGGLVQPGGSLKLSCAASGFDYSRYWMSWVRQAPGKGLKWIGEINPVSSTINYTPSLKDKFIISRDNAKDTLYLQISKVRSEDTALYYCARLYYGYGYWYFDVWGAGTTVTVSS</t>
  </si>
  <si>
    <t>DIVLTQSPAIMSAAPGDKVTMTCSASSSVSYIHWYQQKSGTSPKRWIYDTSKLTSGVPVRFSGSGSGTSYSLTINTMEAEDAATYYCQQWSSHPQTFGGGTKLEIl</t>
  </si>
  <si>
    <t>QVQLQESGPGLVQPSQSLSLTCTVSGFSLTSYGVHWVRQSPGKGLEWLGVIWAGGSTDYNSALKSRLSISRDTSKNQVFLKMNSLQTDDTAMYYCAKHGSSNGDYWGQGTSVTVSS</t>
  </si>
  <si>
    <t>DIVMTQSPDSLAVSLGERATINCKSSQSVLYSSNNKNYLAWYQQKPEGQPPNLLIYWASTRESGVPDRFSGSGSGTDFTLTISSLQAEDVAVYYCQQYYSAPTFGQGTKLEIK</t>
  </si>
  <si>
    <t>sbio-nipahgpg-032</t>
  </si>
  <si>
    <t>sbio-nipahgpg-033</t>
  </si>
  <si>
    <t>sbio-nipahgpg-034</t>
  </si>
  <si>
    <t>sbio-nipahgpg-035</t>
  </si>
  <si>
    <t>sbio-nipahgpg-036</t>
  </si>
  <si>
    <t>sbio-nipahgpg-037</t>
  </si>
  <si>
    <t>sbio-nipahgpg-038</t>
  </si>
  <si>
    <t>sbio-nipahgpg-039</t>
  </si>
  <si>
    <t>sbio-nipahgpg-040</t>
  </si>
  <si>
    <t>sbio-nipahgpg-041</t>
  </si>
  <si>
    <t>sbio-nipahgpg-042</t>
  </si>
  <si>
    <t>sbio-nipahgpg-043</t>
  </si>
  <si>
    <t>sbio-nipahgpg-044</t>
  </si>
  <si>
    <t>sbio-nipahgpg-045</t>
  </si>
  <si>
    <t>sbio-nipahgpg-046</t>
  </si>
  <si>
    <t>sbio-nipahgpg-047</t>
  </si>
  <si>
    <t>sbio-nipahgpg-048</t>
  </si>
  <si>
    <t>sbio-nipahgpg-049</t>
  </si>
  <si>
    <t>sbio-nipahgpg-050</t>
  </si>
  <si>
    <t>sbio-nipahgpg-051</t>
  </si>
  <si>
    <t>proteinbase_name</t>
  </si>
  <si>
    <t>proteinbase_ipsae</t>
  </si>
  <si>
    <t>swift-swan-bronze</t>
  </si>
  <si>
    <t>young-zebra-cloud</t>
  </si>
  <si>
    <t>strong-shark-ember</t>
  </si>
  <si>
    <t>pale-bison-leaf</t>
  </si>
  <si>
    <t>noble-heron-dust</t>
  </si>
  <si>
    <t>scarlet-otter-ivy</t>
  </si>
  <si>
    <t>noble-lion-ruby</t>
  </si>
  <si>
    <t>strong-ox-thorn</t>
  </si>
  <si>
    <t>quick-quail-thorn</t>
  </si>
  <si>
    <t>strong-otter-frost</t>
  </si>
  <si>
    <t>shy-seal-ember</t>
  </si>
  <si>
    <t>vast-yak-ember</t>
  </si>
  <si>
    <t>rough-bee-opal</t>
  </si>
  <si>
    <t>vast-gecko-birch</t>
  </si>
  <si>
    <t>dark-dove-opal</t>
  </si>
  <si>
    <t>rapid-wolf-lotus</t>
  </si>
  <si>
    <t>amber-quail-granite</t>
  </si>
  <si>
    <t>noble-ram-moss</t>
  </si>
  <si>
    <t>wild-owl-rose</t>
  </si>
  <si>
    <t>swift-ant-ivy</t>
  </si>
  <si>
    <t>scarlet-eagle-ivy</t>
  </si>
  <si>
    <t>strong-zebra-ice</t>
  </si>
  <si>
    <t>mellow-toad-oak</t>
  </si>
  <si>
    <t>silver-quail-moss</t>
  </si>
  <si>
    <t>soft-cat-iron</t>
  </si>
  <si>
    <t>pale-crow-stone</t>
  </si>
  <si>
    <t>ivory-yak-flint</t>
  </si>
  <si>
    <t>soft-bear-clay</t>
  </si>
  <si>
    <t>soft-mole-cedar</t>
  </si>
  <si>
    <t>IVLEPIYWNSSNSKFLPGQGLVLYPQIGDKLDIICPKVDSKTVGQYEYYKVYMVDKDQADRCTIKKENTPLLNCAKPDQDIKFTIKFQEFSPNLWGLEFQKNKDYYIISTSNGSLEGLDNQEGGVCQTRAMKILMKVGHH</t>
  </si>
  <si>
    <t>QNYTRSTDNQAVIKDALQGIQQQIKGLADKIGTEIGPKVSLIDTSSTITIPANIGLLGSKISQSTASINENVNEKCKFTLPPLKIHECNISCPNPLPFREYRPQTEGVSNLVGLPNNICLQKTSNQILKPKLISYTLPVVGQSGTCITDPLLAMDEGYFAYSHLERIGSCSRGVSKQRIIGVGEVLDRGDEVPSLFMTNVWTPPNPNTVYHCSAVYNNEFYYVLCAVSTVGDPILNSTYWSGSLMMTRLAVKPKSNGGGYNQHQLALRSIEKGRYDKVMPYGPSGIKQGDTLYFPAVGFLVRTEFKYNDSNCPITKCQYSKPENCRLSMGIRPNSHYILRSGLLKYNLSDGENPKVVFIEISDQRLSIGSPSKIYDSLGQPVFYQASFSWDTMIKFGDVLTVNPLVVNWRNNTVISRPGQSQCPRFNTCPEICWEGVYNDAFLIDRINWISAGVFLDSNQTAENPVFTVFKDNEILYRAQLASEDTNAQKTITNCFLLKNKIWCISLVEIYDTGDNVIRPKLFAVKIPEQCT</t>
  </si>
  <si>
    <t>ephrin_b2</t>
  </si>
  <si>
    <t>receptor_seq</t>
  </si>
  <si>
    <t>receptor_id</t>
  </si>
  <si>
    <t>QNYTRSTDNQAVIKDALQGIQQQIKGLADKIGTEIGPKVSLIDTSSTITIPANIGLLGSKISQSTASINENVNEKCKFTLPPLKIHECNISCPNPLPFREYRPQTEGVSNLVGLPNNICLQKTSNQILKPKLISYTLGQSGTCITDPLLAMDEGYFAYSHLERIG[S][C][S][R]GVSKQRIIGVGEVLDRGDEVPSLFMTNVWTPPNPNTVYHCSAVYNNEFYYVLCAVSTVGDPI[L]NSTYWSGSLMMTRLAVKPKSNGGGYNQHQLALRSIEKGRYDKVMPYGPSGIKQGDTLYFPAVGFLVRTEFKYNDSNCPITKC[Q][Y]SKPENCRLSMG[I][R]PNSHYILRSGLLKYNLSDGENPKVVFIEISDQRLSIGSPSKIYDSLGQPVFYQAS[F]SWDTMIKFGDVLTVNPLVVNWRNNTVISR[P][G][Q][S][Q]CPRFNTCP[E]IC[W][E][G][V]YNDAFLIDRINWISAGVFLDSN[Q][T][A][E]NPVFTVFKDNEILYRAQLASE[D]T[N][A][Q]KTITNCFLLKNKIWCISLV[E][I][Y]D[T]GDNV[I]RPKLFAVKIPEQCT</t>
  </si>
  <si>
    <t>antigen_source</t>
  </si>
  <si>
    <t>nipah_gpG_comp</t>
  </si>
  <si>
    <t>A</t>
  </si>
  <si>
    <t>B</t>
  </si>
  <si>
    <t>From Protein Data Bank entry</t>
  </si>
  <si>
    <t>brisk-bison-clay</t>
  </si>
  <si>
    <t>rough-bee-cedar</t>
  </si>
  <si>
    <t>quick-ram-stone</t>
  </si>
  <si>
    <t>amber-heron-granite</t>
  </si>
  <si>
    <t>steady-kiwi-dust</t>
  </si>
  <si>
    <t>swift-ibis-birch</t>
  </si>
  <si>
    <t>bright-quail-crystal</t>
  </si>
  <si>
    <t>solid-ant-cypress</t>
  </si>
  <si>
    <t>vast-goat-fern</t>
  </si>
  <si>
    <t>silver-fox-marble</t>
  </si>
  <si>
    <t>jade-heron-plume</t>
  </si>
  <si>
    <t>soft-shark-marble</t>
  </si>
  <si>
    <t>swift-cobra-lotus</t>
  </si>
  <si>
    <t>calm-toad-snow</t>
  </si>
  <si>
    <t>pale-deer-willow</t>
  </si>
  <si>
    <t>rough-seal-oak</t>
  </si>
  <si>
    <t>pale-otter-lotus</t>
  </si>
  <si>
    <t>quick-yak-granite</t>
  </si>
  <si>
    <t>bright-ant-jade</t>
  </si>
  <si>
    <t>From Proteinbase CIF output</t>
  </si>
  <si>
    <t>C</t>
  </si>
  <si>
    <t>MPAENKKVRFENTTSDKGKIPSKVIKSYYGTMDIKKINEGLLDSKILSAFNTVIALLGSIVIIVMNIMIIQNYTRSTDNQAVIKDALQGIQQQIKGLADKIGTEIGPKVSLIDTSSTITIPANIGLLGSKISQSTASINENVNEKCKFTLPPLKIHECNISCPNPLPFREYRPQTEGVSNLVGLPNNICLQKTSNQILKPKLISYTLPVVGQSGTCITDPLLAMDEGYFAYSHLERIGSCSRGVSKQRIIGVGEVLDRGDEVPSLFMTNVWTPPNPNTVYHCSAVYNNEFYYVLCAVSTVGDPILNSTYWSGSLMMTRLAVKPKSNGGGYNQHQLALRSIEKGRYDKVMPYGPSGIKQGDTLYFPAVGFLVRTEFKYNDSNCPITKCQYSKPENCRLSMGIRPNSHYILRSGLLKYNLSDGENPKVVFIEISDQRLSIGSPSKIYDSLGQPVFYQASFSWDTMIKFGDVLTVNPLVVNWRNNTVISRPGQSQCPRFNTCPEICWEGVYNDAFLIDRINWISAGVFLDSNQTAENPVFTVFKDNEILYRAQLASEDTNAQKTITNCFLLKNKIWCISLVEIYDTGDNVIRPKLFAVKIPEQCT</t>
  </si>
  <si>
    <t>nipah_gpG_compout</t>
  </si>
  <si>
    <t>proteinbase (github)</t>
  </si>
  <si>
    <t>proteinbase (output)</t>
  </si>
  <si>
    <t>MPAENKKVRFENTTSDKGKIPSKVIKSYYGTMDIKKINEGLLDSKILSAFNTVIALLGSIVIIVMNIMIIQNYTRSTDNQAVIKDALQGIQQQIKGLADKIGTEIGPKVSLIDTSSTITIPANIGLLGSKISQSTASINENVNEKCKFTLPPLKIHECNISCPNPLPFREYRPQTEGVSNLVGLPNNICLQKTSNQILKPKLISYTLGQSGTCITDPLLAMDEGYFAYSHLERIG[S][C][S][R]GVSKQRIIGVGEVLDRGDEVPSLFMTNVWTPPNPNTVYHCSAVYNNEFYYVLCAVSTVGDPI[L]NSTYWSGSLMMTRLAVKPKSNGGGYNQHQLALRSIEKGRYDKVMPYGPSGIKQGDTLYFPAVGFLVRTEFKYNDSNCPITKC[Q][Y]SKPENCRLSMG[I][R]PNSHYILRSGLLKYNLSDGENPKVVFIEISDQRLSIGSPSKIYDSLGQPVFYQAS[F]SWDTMIKFGDVLTVNPLVVNWRNNTVISR[P][G][Q][S][Q]CPRFNTCP[E]IC[W][E][G][V]YNDAFLIDRINWISAGVFLDSN[Q][T][A][E]NPVFTVFKDNEILYRAQLASE[D]T[N][A][Q]KTITNCFLLKNKIWCISLV[E][I][Y]D[T]GDNV[I]RPKLFAVKIPEQCT</t>
  </si>
  <si>
    <t>From Proteinbase competition evaluation logic (GitHub)</t>
  </si>
  <si>
    <t>sbio-nipahgpg-052</t>
  </si>
  <si>
    <t>sbio-nipahgpg-053</t>
  </si>
  <si>
    <t>sbio-nipahgpg-054</t>
  </si>
  <si>
    <t>sbio-nipahgpg-055</t>
  </si>
  <si>
    <t>sbio-nipahgpg-056</t>
  </si>
  <si>
    <t>sbio-nipahgpg-057</t>
  </si>
  <si>
    <t>sbio-nipahgpg-058</t>
  </si>
  <si>
    <t>sbio-nipahgpg-059</t>
  </si>
  <si>
    <t>sbio-nipahgpg-060</t>
  </si>
  <si>
    <t>sbio-nipahgpg-061</t>
  </si>
  <si>
    <t>sbio-nipahgpg-062</t>
  </si>
  <si>
    <t>sbio-nipahgpg-063</t>
  </si>
  <si>
    <t>sbio-nipahgpg-064</t>
  </si>
  <si>
    <t>sbio-nipahgpg-065</t>
  </si>
  <si>
    <t>sbio-nipahgpg-066</t>
  </si>
  <si>
    <t>sbio-nipahgpg-067</t>
  </si>
  <si>
    <t>sbio-nipahgpg-068</t>
  </si>
  <si>
    <t>sbio-nipahgpg-069</t>
  </si>
  <si>
    <t>sbio-nipahgpg-070</t>
  </si>
  <si>
    <t>sbio-nipahgpg-071</t>
  </si>
  <si>
    <t>sbio-nipahgpg-072</t>
  </si>
  <si>
    <t>sbio-nipahgpg-073</t>
  </si>
  <si>
    <t>sbio-nipahgpg-074</t>
  </si>
  <si>
    <t>sbio-nipahgpg-075</t>
  </si>
  <si>
    <t>sbio-nipahgpg-076</t>
  </si>
  <si>
    <t>sbio-nipahgpg-077</t>
  </si>
  <si>
    <t>sbio-nipahgpg-078</t>
  </si>
  <si>
    <t>sbio-nipahgpg-079</t>
  </si>
  <si>
    <t>sbio-nipahgpg-080</t>
  </si>
  <si>
    <t>sbio-nipahgpg-081</t>
  </si>
  <si>
    <t>QVQLQESGPGLVKPSETLSLTCTVSGGSVSSGGYFWSWIRQPPGKGLEWIGCIYYSGSTNYNPSLKSRVTISVDTSKNQFSLKLSSVTAADTAVYYCARVDSFYYGMDVWGQGTTVTVSS</t>
  </si>
  <si>
    <t>DIQMTQSPSSLSASVGDRVTITCRASQGIRNDLGWYQQKPGKAPKLLIYAASSLQSGVPSRFSGSGSGTDFTLTISSLQPEDFATYYCQQSYSTPRTFGQGTKVEIK</t>
  </si>
  <si>
    <t>EVQLVESGGGLVQPGGSLRLSCAASGFTFSSYAMSWVRQAPGKGLEWVSAISGSGGSTYYADSVKGRFTISRDNSKNTLYLQMNSLRAEDTAVYYCARQVWFGGFDYWGQGTLVTVSS</t>
  </si>
  <si>
    <t>DIQMTQSPSSLSASVGDRVTITCRASQSVSSAVAWYQQKPGKAPKLLIYSASSLYSGVPSRFSGSRSGTDFTLTISSLQPEDFATYYCQQYKYVPVTFGQGTKVEIK</t>
  </si>
  <si>
    <t>EVQLVESGGGLVQPGGSLRLSCAASGFNVSSSYIHWVRQAPGKGLEWVASISSYYGYTYYADSVKGRFTISADTSKNTAYLQMNSLRAEDTAVYYCARSRQFWYSGLDYWGQGTLVTVSS</t>
  </si>
  <si>
    <t>EVQLVESGGGLVQPGGSLRLSCAASGFNISSSSIHWVRQAPGKGLEWVASIYSYSGYTSYADSVKGRFTISADTSKNTAYLQMNSLRAEDTAVYYCARGGSSYFGYYAMDYWGQGTLVTVSS</t>
  </si>
  <si>
    <t>QVQLVQSGAEVKKPGSSVKVSCKASGGTFSSYSISWVRQAPGQGLEWMGGIIIFGTANYAQKFQGRVTITADESTSTAYMELSSLRSEDTAVYYCARGQGTLVDFYWGQGTLVTVSS</t>
  </si>
  <si>
    <t>DIQMTQSPSSLSASVGDRVTITCRASQSISSYLNWYQQKPGKAPKLLIYAASSLQSGVPSRFSGSGSGTDFTLTISSLQPEDFATYYCQQSYSTPRTFGQGTKVEIK</t>
  </si>
  <si>
    <t>EVQLVESGGGLVQPGGSLRLSCAASGFNVSYYSIHWVRQAPGKGLEWVASIYPYSGYTNYADSVKGRFTISADTSKNTAYLQMNSLRAEDTAVYYCARYYGYGYWGYAMDYWGQGTLVTVSS</t>
  </si>
  <si>
    <t>EVQLVESGGGLVQPGGSLRLSCAASGFTFSSYAMSWVRQAPGKGLEWVSAISGSGGSTYYADSVKGRFTISRDNSKNTLYLQMNSLRAEDTAVYYCARGYQVYFDYWGQGTLVTVSS</t>
  </si>
  <si>
    <t>EVQLVESGGGLVQPGGSLRLSCAASGFNVSSSYIHWVRQAPGKGLEWVASISSYYGSTYYADSVKGRFTISADTSKNTAYLQMNSLRAEDTAVYYCARGWSYSWSYSWSYSGLDVWGQGTTVTVSS</t>
  </si>
  <si>
    <t>DIQMTQSPSSLSASVGDRVTITCRASQSVSSAVAWYQQKPGKAPKLLIYSASSLYSGVPSRFSGSRSGTDFTLTISSLQPEDFATYYCQQSSSSLITFGQGTKVEIK</t>
  </si>
  <si>
    <t>EVQLVESGGGLVQPGGSLRLSCAASGFNISSSSIHWVRQAPGKGLEWVASIYSYSGYTSYADSVKGRFTISADTSKNTAYLQMNSLRAEDTAVYYCARGWYYGSSYWGQGTLVTVSS</t>
  </si>
  <si>
    <t>EVQLVESGGGLVQPGGSLRLSCAASGFNVSSSYIHWVRQAPGKGLEWVASISSYYGYTYYADSVKGRFTISADTSKNTAYLQMNSLRAEDTAVYYCARYYGTYYGSSYWGQGTLVTVSS</t>
  </si>
  <si>
    <t>QMQLVQSGAEVKKPGESLKISCKGSGYSFTSYWIGWVRQMPGKGLEWMGIIYPGDSDTRYSPSFQGQVTISADKSISTAYLQWSSLKASDTAIYYCARHYYGGQYFDYWGQGTLVTVSS</t>
  </si>
  <si>
    <t>DIQMTQSPSSLSASVGDRVTITCRASQGIRNDLGWYQQKPGKAPKLLIYAASSLQSGVPSRFSGSGSGTDFTLTISSLQPEDFATYYCQQSYSTPYTFGQGTKLEIK</t>
  </si>
  <si>
    <t>QVQLVQSGAEVKKPGSSVKVSCKASGGTFSSYAISWVRQAPGQGLEWMGGIIPIFGTANYAQKFQGRVTITADESTSTAYMELSSLRSEDTAVYYCARWYDGYFVYWGQGTLVTVSS</t>
  </si>
  <si>
    <t>EVQLVESGGGLVQPGGSLRLSCAASGFNVSSSSIHWVRQAPGKGLEWVASISSYYGYTYYADSVKGRFTISADTSKNTAYLQMNSLRAEDTAVYYCARSRQFWYSGLDYWGQGTLVTVFN</t>
  </si>
  <si>
    <t>EVQLVESGGGLVQPGGSLRLSCAASGFNISSSSIHWVRQAPGKGLEWVASIYSYYGSTYYADSVKGRFTISADTSKNTAYLQMRAEDTAVYYCARGWRSYAMDYWGQGTLVTVSS</t>
  </si>
  <si>
    <t>QVQLVQSGAEVKKPGSSVKVSCKASGGTFSSYSFIWVRQAPGQGLEWMGGIIPIFGTANYAQKFQGRVTITADESTSTAYMELSSLRSEDTAVYYCARSSYSGVYYSWYFDVWGAGTTVTVSS</t>
  </si>
  <si>
    <t>DIQMTQSPSSLSASVGDRVTITCRASQGISNYLAWYQQKPGKAPKLLIYAASTLQSGVPSRFSGSGSGTDFTLTISSLQPEDFATYYCQQSYSTPRTFGQGTKVEIK</t>
  </si>
  <si>
    <t>EVQLQESGPGLVKPSQTLSLTCTVSGGSISSYAAWSWIRQPPGKGLEWIGYIYSSSGSTNYNPSLKSRVTISVDTSKNQFSLKLSSVTAADTAVYYCARGDYSYSYYGLDYWGQGTLVTVSS</t>
  </si>
  <si>
    <t>DIQMTQSPSSLSASVGDRVTITCRASQGIRNDLGWYQQKPGKAPKLLIYAASNLQSGVPSRFSGSGSGTDFTLTISSLQPEDFATYYCQQSYSTPRYTFGQGTKVEIK</t>
  </si>
  <si>
    <t>EVQLQQSGPELVKPGASVKMSCKASGYTFTSYNIHWVKQTPVHGLEWIGAIVSGGDTNYNENFKDKATLTVDKSSSTAYMQLTSEDSAVYYCARGGFYGDYWGQGTSVTVSS</t>
  </si>
  <si>
    <t>DIVLTQSPATLSVTPGDSVSLSCRASQSVTNNIHWYQQKSHESPRLLIKYASQSISGIPSRFSGSGSGTDFTLSINSVETEDFGMYFCQQSNSWPYTFGGGTKLEIK</t>
  </si>
  <si>
    <t>QVQLQESGPGLVKPSQTLSLTCTVSGGSISSGDYYWIRQHPGKGLEWIGYIYYSGSTYYNPSLKSRVTISVDTSKNQFSLKLSSVTAADTAVYYCARQLWLRGRFDYWGQGTLVTVSS</t>
  </si>
  <si>
    <t>DIQMTQSPSSLSASVGDRVTITCRASQGISSWLAWYQQKPGKAPKLLIYAASTLQSGVPSRFSGSGSGTDFTLTISSLQPEDFATYYCQQSYSTPYTFGQGTKVEIK</t>
  </si>
  <si>
    <t>EVQLVESGGGLVQPGGSLRLSCAASGFTVSSNYMSWVRQAPGKGLEWVSVIYSGGSTYYADSVKGRFTISRDNSKNTLYLQMNSLRAEDTAVYYCAREAGVWVFDYWGQGTLVTVSS</t>
  </si>
  <si>
    <t>EVQLVESGGGLVQPGGSLRLSCAASGFNLYSSSIHWVRQAPGKGLEWVASISSYYGSTYYADSVKGRFTISADTSKNTAYLQMNSLRAEDTAVYYCARSRQFWLWFGQGTLVTVSS</t>
  </si>
  <si>
    <t>VQLVQSGAEVKKPGASVKVSCKASGYTFTTYTISWVRQAPGQGLEWMGWINNSGGTNYAQKFQGRVTMTRDTSTSTVSAYMELRSEDTAVYYCATFVYGYSAYQPLTDDYGQMDVWGQGTTVTVSS</t>
  </si>
  <si>
    <t>DIQMTQSPSSLSASVGDRVTITCRASQSISSYLNWFQQKPGKAPKLLIYAASSLQSGVPSRFSGSGSGTDFTLTISSLQPEDFATYYCQQSLLYPLTFGGGTKVEIK</t>
  </si>
  <si>
    <t>EVQLVESGGGLVQPGGSLRLSCAASGFNISSSSIHWVRQAPGKGLEWVASIYSSSGSTYYADSVKGRFTISADTSKNTAYLQMNSLRAEDTAVYYCARHRWWAHPYWGQGTLVTVSS</t>
  </si>
  <si>
    <t>DIQMTQSPSSLSASVGDRVTITCRASQSVSSAVAWYQQKPGKAPKLLIYSASSLYSGVPSRFSGSRSGTDFTLTISSLQPEDFATYYCQQSYYITPYTFGQGTKVEIK</t>
  </si>
  <si>
    <t>EVQLVESGGGVVQPGRSLRLSCAASGFTFSSYAMHWVRQAPGKGLEWVAVIWYDGSNKYYADSVKGRFTISRDNSKNTLFLQMNSLRPEDTAVYYCARDTPMYYDVWGQGTTVTVSS</t>
  </si>
  <si>
    <t>DIQLTQSPSSLSASVGDRVTITCRTSQDIDNYLNWYQQKPGKAPKLLIYYTSSLHSGVPSRFSGSGSGTDFTFTISSLQPEDIATYYCQQYDNLPITFGQGTKLEIK</t>
  </si>
  <si>
    <t>EVQLVESGGGLVQPGGSLRLSCAASGFTFSNYAMSWVRQAPGKGLEWVSAISGSGGSTYYADSVKGRFTISRDNSKNTLYLQMNSLRAEDTAVYYCARLSPYNGSMDYWGQGTLVTVSS</t>
  </si>
  <si>
    <t>VTQPASVSGSPGQSITISCTGTSSDIGAYNYVSWYQQHPGKAPKLMIYEVSKRPSGVSNRFSGSKSGNTASLTISGLQTEDEADYYCSSYTRSGSVVFGGGTKLTVL</t>
  </si>
  <si>
    <t>QVQLVQSGAEVKKPGSSVKVSCKASGGTFSSYTISWVRQAPGQGLEWMGGIIPILGIANYAQKFQGRVTITADKSTSTAYMELSSLRSEDTAVYYCARGDSSYVDSWDYWGQGTLVTVS</t>
  </si>
  <si>
    <t>EIVLTQSPGTLSLSPGERATLSCRASQSVSSSYLAWYQQKPGQAPRLLIYGASSRATGIPDRFSGSGSGTDFTLTISRLEPEDFAVYYCQQYGSSPWTFGQGTKVEIK</t>
  </si>
  <si>
    <t>QVQLVESGGGVVQPGRSLRLSCAASGFTFSNYGMHWVRQAPGKGLEWVAVISDGSNKYYADSVKGRFTISRDNSKNTLYLQMRAEDTAVYYCARGSHSSRDYWGQGTLVTVSS</t>
  </si>
  <si>
    <t>DIQMTQSPSSLSASVGDRVTITCRASQSISSYLNWYQQKPGKAPKLLIYAASSLQSGVPSRFSGSGSGTDFTLTISSLQPEDFATYYCQQSYSTPPYTFGQGTKVEIK</t>
  </si>
  <si>
    <t>VQLVQSGAEVKRPGSSVKVSCKTSGGTIFSTYVFWVRQAPGQGLEWMGGFPPKAGYIYAQKFQGRVTFTADESSSTTVYMEDLRSEDTAVYFCARFPYFVYDVWGQGTTVTVSS</t>
  </si>
  <si>
    <t>DIQMTQSPSSLSASVGDRVTITCRASQSIGGYLAWYQQKPGKVPKLLIYAASSLQSGVPSRFSGSGSGTDFTLTISSLQPEDFATYYCQQSYSTPRTFGQGTKVEIK</t>
  </si>
  <si>
    <t>VQLQESGPGLVKPSQSLSLTCTVTGFSIDYNIYWGWIRQPPGKGLEWIGYIYSGSDTYNPSLKSRVTISVDTSKNQFSLKVNSVTAADTAVYYCARVVDLWYDDGKYASCVKGAIDYWGQGTLVTVSS</t>
  </si>
  <si>
    <t>SVLTQPPSVSGAPGQRVTISCTGSSGAGYDVHWYQQLPGTAPKLLIYGNSNRPSGVPDRFSGSKSGTSASLAITGLQAEDEADYYCQSYDSSLSGWVFGGGTKLTVL</t>
  </si>
  <si>
    <t>EVQLVESGGGLVQPGGSLRLSCAASGFNVVDFSLHWVRQAPGKGLEWVASIYPYDGSAYYADSVKGRFTISADTSKNTAYLQMNSLRAEDTAVYYCARWGYWPGEGWLGKYWGQGTLVTVS</t>
  </si>
  <si>
    <t>EVQLVESGGGLVQPGGSLRLSCAASGFNISSSSIHWVRQAPGKGLEWVASISSSYGSTYYADSVKGRFTISADTSKNTAYLQMNSLRAEDTAVYYCARWEGYRGDLWGQGTLVTVSS</t>
  </si>
  <si>
    <t>DIQMTQSPSSLSASVGDRVTITCRASQSVSSAVAWYQQKPGKAPKLLIYSASSLYSGVPSRFSGSRSGTDFTLTISSLQPEDFATYYCQQYYEWLRTFGQGTKVEIK</t>
  </si>
  <si>
    <t>sbio-nipahgpg-082</t>
  </si>
  <si>
    <t>Humanized using Abysis (Chothia scheme and CDR regions)</t>
  </si>
  <si>
    <t>QVQLQESGPGLVKPSQTLSLTCTVSGGSVSSGSYYWSWIRQPPGKGLEWIGYIYYSGSTNYNPSLKSRVTISVDTSKNQFSLKLSSVTAADTAVYYCARVDSFYYGMDVWGQGTTVTVSS</t>
  </si>
  <si>
    <t>DIQMTQSPSSLSASVGDRVTITCRASSGSSYDNGWYQQKPGKAPKLLIYAASSLQSGVPSRFSGSGSGTDFTLTISSLQPEDFATYYLQDSNYTPRTFGQGTKVEIK</t>
  </si>
  <si>
    <t>gentle-quail-fern</t>
  </si>
  <si>
    <t>swift-wolf-marble</t>
  </si>
  <si>
    <t>crimson-kiwi-pine</t>
  </si>
  <si>
    <t>solid-bee-ivy</t>
  </si>
  <si>
    <t>vast-goat-clay</t>
  </si>
  <si>
    <t>quick-panda-iron</t>
  </si>
  <si>
    <t>brisk-panther-marble</t>
  </si>
  <si>
    <t>wild-tiger-jade</t>
  </si>
  <si>
    <t>ivory-cat-ivy</t>
  </si>
  <si>
    <t>violet-quail-maple</t>
  </si>
  <si>
    <t>ref_antibody_id</t>
  </si>
  <si>
    <t>pdb_id</t>
  </si>
  <si>
    <t>QSLEESGGRLVTPGTPLTLTCTASGFSLSSYYMMWVRQAPGKGLEWIGIINTGGNAYYASWTKGRFTISKTSTTVDLKITSPTTEDTATYFCARAVPSGAGYSAGGLWGPGTLVTVSS</t>
  </si>
  <si>
    <t>DQVLTQTPASVEAAVGGTVTIKCQASQSVGFYLSWYQQKPGQPPKLLIYRASTLESGVPSRFKGSGSGTEFTLTISDLECADAATYYCQTNDYLASSAFGGGTEVVVRGDP</t>
  </si>
  <si>
    <t>fab92_1</t>
  </si>
  <si>
    <t>8RVN_fasta</t>
  </si>
  <si>
    <t>fab92_2</t>
  </si>
  <si>
    <t>8VRN_JI</t>
  </si>
  <si>
    <t>EVQLQQSGAELVKPGASVKLSCTASGFNIKDTYMYWVKQRPEQGLEWIGRIDPANGDTKYDPKFQGKATITTDTFSNTAYLQLSSLTSEDTAVYYCARKGLRWAMDYWGQGTSVTVST</t>
  </si>
  <si>
    <t>NIVMTQSPKSMSMSVGERVTLSCKASEYVGTYVSWYQQKPEQSPKLLIYGASNRYTGVPDRFTGSGSATDFTLTIGSVQAEDLADYHCGQSYSYPTFGAGTKLELKRA</t>
  </si>
  <si>
    <t>1f5</t>
  </si>
  <si>
    <t>7KI6_CB</t>
  </si>
  <si>
    <t>QIVLTQSPAIMSASLGEAITLTCSASSSVSYMHWYQQKSGTSPKLLIYSTSNLASGVPSRFSGSGSGTFYSLTISSVEAEDAADYYCHQWYSYPWTFGGGTKLEIK</t>
  </si>
  <si>
    <t>DVQLQESGPGLVKPSQSLSLTCSVTGYSITSDYYWNWIRQFPGNKLEWMGYVTYDGSNNYNPSLKNRISITRDSSKNQFFLKLNSVISEDTATYYCARFGSSYWAMDYWGQGTSLTVSS</t>
  </si>
  <si>
    <t>sbio-nipahgpg-083</t>
  </si>
  <si>
    <t>QVQLVQSGAEVKKPGSSVKVSCKASGGTFSSYTISWVRQAPGQGLEWMGRIIPIFGTANYAQKFQGRVTITADKSTSTAYMELSSLRSEDTAVYYCARYYDSYFDYWGQGTLVTVSS</t>
  </si>
  <si>
    <t>DIQMTQSPSSLSASVGDRVTITCRASQGISSWLAWYQQKPGKAPKLLIYAASSLQSGVPSRFSGSGSGTDFTLTISSLQPEDFATYYCQCGNSFPWTFGGGTKLEIK</t>
  </si>
  <si>
    <t>frozen-goat-snow</t>
  </si>
  <si>
    <t>vast-shark-iron</t>
  </si>
  <si>
    <t>quiet-ant-vine</t>
  </si>
  <si>
    <t>crimson-boar-moss</t>
  </si>
  <si>
    <t>swift-panther-sand</t>
  </si>
  <si>
    <t>deep-otter-oak</t>
  </si>
  <si>
    <t>carlet-moth-plume</t>
  </si>
  <si>
    <t>swift-heron-dust</t>
  </si>
  <si>
    <t>violet-panda-ash</t>
  </si>
  <si>
    <t>FAILED SIMILARITY TEST</t>
  </si>
  <si>
    <t>GPT-4o</t>
  </si>
  <si>
    <t>DVQLQESGPGLVKPSQTLSLTCTVSGYSITSDYYWNWIRQFPGNKLEWMGYISYDGSSNYNPSLKNRISITRDNSKNQFFLQLNSVTTEDTATYYCARSCSRRGYAMDYWGQGTSVTVSS</t>
  </si>
  <si>
    <t>QIVLTQSPAIMSASLGEKVTLTCSASSSVSYMHWYQQKPGTSPKLLIYSCNLLSGVPDRFSGSGSGTDFTLSISNVETEDAATYYCYQYRIRFGGGTKLTVLQ</t>
  </si>
  <si>
    <t>sbio-nipahgpg-084</t>
  </si>
  <si>
    <t>sbio-nipahgpg-085</t>
  </si>
  <si>
    <t>sbio-nipahgpg-086</t>
  </si>
  <si>
    <t>EVQLVESGGGLVQPGGSLRLSCAASGFTFSSYAMSWVRQAPGKGLEWVSSISRSGGSTYYADSVKGRFTISRDNAKNSLYLQMNSLRAEDTAVYYCARSCSSRGYFDYWGQGTLVTVSS</t>
  </si>
  <si>
    <t>DIVMTQSPDSLAVSLGERATINCRASQSVSSYLAWYQQKPGQSPKLLIYSCNLQSGVPDRFSGSGSGTDFTLTISSLQPEDFATYYCQPYIRFGGGGTKLEIK</t>
  </si>
  <si>
    <t>QVQLQESGPGLVKPSQTLSLTCTVSGFSFSSYAMSWVRQAPGKGLEWVSSISRSGGSTYYADSVKGRFTISRDNAKNSLYLQMNSLRAEDTAVYYCARSCSSRGYLFDYWGQGTLVTVSS</t>
  </si>
  <si>
    <t>GPT-4o /  v_48_030</t>
  </si>
  <si>
    <t>sbio-nipahgpg-087</t>
  </si>
  <si>
    <t>General LLM + ProteinMPNN</t>
  </si>
  <si>
    <t>QVKLTQSPKEVTAKIGDTVTLTCTASQPVSTVSWYMQKPGQPPQLLISNNKLVEGVPERFSASGSGTEFTLTIKDVQKEDEAIYYCEVNGQVFGQGTKLTVLE</t>
  </si>
  <si>
    <t>SIKLTESGPTSVAPGSTLNLTCTVTGDNITSSGWYWWVKQAPDNKLTWIGGIDKNGNTWLNVAYIDRATLTRDPAANTVYLSIRNVTSSDTATYYCAKSSDDNGSYLDVWGQGLKVTVSG</t>
  </si>
  <si>
    <t>sbio-nipahgpg-088</t>
  </si>
  <si>
    <t>sbio-nipahgpg-089</t>
  </si>
  <si>
    <t>sbio-nipahgpg-090</t>
  </si>
  <si>
    <t>sbio-nipahgpg-091</t>
  </si>
  <si>
    <t>sbio-nipahgpg-092</t>
  </si>
  <si>
    <t>sbio-nipahgpg-093</t>
  </si>
  <si>
    <t>sbio-nipahgpg-094</t>
  </si>
  <si>
    <t>sbio-nipahgpg-095</t>
  </si>
  <si>
    <t>sbio-nipahgpg-096</t>
  </si>
  <si>
    <t>sbio-nipahgpg-097</t>
  </si>
  <si>
    <t>sbio-nipahgpg-098</t>
  </si>
  <si>
    <t>sbio-nipahgpg-099</t>
  </si>
  <si>
    <t>sbio-nipahgpg-100</t>
  </si>
  <si>
    <t>sbio-nipahgpg-101</t>
  </si>
  <si>
    <t>sbio-nipahgpg-102</t>
  </si>
  <si>
    <t>sbio-nipahgpg-103</t>
  </si>
  <si>
    <t>sbio-nipahgpg-104</t>
  </si>
  <si>
    <t>sbio-nipahgpg-105</t>
  </si>
  <si>
    <t>sbio-nipahgpg-106</t>
  </si>
  <si>
    <t>sbio-nipahgpg-107</t>
  </si>
  <si>
    <t>sbio-nipahgpg-108</t>
  </si>
  <si>
    <t>sbio-nipahgpg-109</t>
  </si>
  <si>
    <t>sbio-nipahgpg-110</t>
  </si>
  <si>
    <t>sbio-nipahgpg-111</t>
  </si>
  <si>
    <t>sbio-nipahgpg-112</t>
  </si>
  <si>
    <t>sbio-nipahgpg-113</t>
  </si>
  <si>
    <t>sbio-nipahgpg-114</t>
  </si>
  <si>
    <t>sbio-nipahgpg-115</t>
  </si>
  <si>
    <t>sbio-nipahgpg-116</t>
  </si>
  <si>
    <t>sbio-nipahgpg-117</t>
  </si>
  <si>
    <t>EVQLVESGGGLVQPGGSLRLSCAASGFNVSYSSIHWVRQAPGKGLEWVASIYSYSGYTYYADSVKGRFTISADTSKNTAYLQMNSLRAEDTAVYYCARGWYSYFDYWGQGTLVTVSS</t>
  </si>
  <si>
    <t>QVQLVQSGAEVKKPGSSVKVSCKASGGTFSSYAISWVRQAPGQGLEWMGGIIIFGTANYAQKFQGRVTITADKSTSTAYMELRSEDTAVYYCAREGTTGWDYWGQGTLVTVSS</t>
  </si>
  <si>
    <t>EIVLTQSPGTLSLSPGERATLSCRASQSVSSSYLAWYQQKPGQAPRLLIYGASSRATGIPDRFSGSGSGTDFTLTISRLEPEDFAVYYCQQYGSSPRTFGQGTKVEIK</t>
  </si>
  <si>
    <t>EVQLVESGGGLVQPGGSLRLSCAASGFNVSYYSIHWVRQAPGKGLEWVASIYSYSGYTSYADSVKGRFTISADTSKNTAYLQMNSLRAEDTAVYYCARYYVYYGAMDYWGQGTLVTVSS</t>
  </si>
  <si>
    <t>EVQLVESGGGLVQPGGSLRLSCAASGFNVSYSSIHWVRQAPGKGLEWVASIYSYSGYTYYADSVKGRFTISADTSKNTAYLQMNSLRAEDTAVYYCARGWVRGSSYWGQGTLVTVSS</t>
  </si>
  <si>
    <t>EVQLVESGGGLVQPGGSLRLSCAASGFNVSYSSIHWVRQAPGKGLEWVASIYSYSGYTNYADSVKGRFTISADTSKNTAYLQMNSLRAEDTAVYYCARYYGGYGGYFDYWGQGTLVTVSS</t>
  </si>
  <si>
    <t>EVQLVESGGGLVQPGGSLRLSCAASGFNVSYYSIHWVRQAPGKGLEWVASIYPYSGYTNYADSVKGRFTISADTSKNTAYLQMNSLRAEDTAVYYCARYYGYWYFDYWGQGTLVTVSS</t>
  </si>
  <si>
    <t>EVQLVESGGGLVQPGGSLRLSCAASGFNVSYSSIHWVRQAPGKGLEWVASIYSYSGYTSYADSVKGRFTISADTSKNTAYLQMNSLRAEDTAVYYCARYYGGYGGWYFDYWGQGTLVTVSS</t>
  </si>
  <si>
    <t>EVQLVESGGGLVQPGGSLRLSCAASGFNVSYYSIHWVRQAPGKGLEWVASISSYYGYTYYADSVKGRFTISADTSKNTAYLQMNSLRAEDTAVYYCARYYGYWYFDYWGQGTLVTVSS</t>
  </si>
  <si>
    <t>EVQLVESGGGLVQPGGSLRLSCAASGFNVSYYSIHWVRQAPGKGLEWVASISSYYGYTYYADSVKGRFTISADTSKNTAYLQMNSLRAEDTAVYYCARYYGTYYGHSYWGQGTLVTVSS</t>
  </si>
  <si>
    <t>EVQLVESGGGLVQPGGSLRLSCAASGFNVSYSSIHWVRQAPGKGLEWVASIYSYSGYTNYADSVKGRFTISADTSKNTAYLQMNSLRAEDTAVYYCARYWYFGYFDYWGQGTLVTVSS</t>
  </si>
  <si>
    <t>EVQLVESGGGLVKPGGSLRLSCAASGFTFRNYAMSWVRQAPGKGLEWVSSISSKSKSTSYADSVKGRFTISRDNAKNSLYLQMNSLRAEDTAVYYCARESGSFSYEGVWGQGTLVTVSS</t>
  </si>
  <si>
    <t>SVLTQPPSVSGAPGQRVTISCTGSSSNIGAGYDVHWYQQLPGTAPKLLIYDNNKRPSGVPDRFSGSKSGTSASLAITGLQAEDEADYYCQSYDSSLSGLVFGGGTKLTVL</t>
  </si>
  <si>
    <t>EVQLVESGGGLVQPGGSLRLSCAASGFNISSSSIHWVRQAPGKGLEWVASIYYSSGYTHYADSVKGRFTISADTSKNTAYLQMNSLRAEDTAVYYCARWGYWPGQVWLWFAYWGQGTLVTVS</t>
  </si>
  <si>
    <t>QVQLVQSGAEVKKPGSSVKVSCKSSGGTSNNYAISWVRQAPGQGLEWMGGIIPILGIANYAQKFQGRVTITADKSTSTAYMELSSLRSEDTAVYYCAREDAVVDYWGQGTLVTVSS</t>
  </si>
  <si>
    <t>DIQMTQSPSTLSASVGDRVTITCRASQGISSWLAWYQQKPGKAPKLLIYKASSLESGVPSRFSGSGSGTEFTLTISSLQPDDFATYYCQQYNSYPLTFGQGTKVQVK</t>
  </si>
  <si>
    <t>EVQLVESGGGLVQPGGSLRLSCAASGFNVSSSSIHWVRQAPGKGLEWVASISSYYGYTYYADSVKGRFTISADTSKNTAYLQMNSLRAEDTAVYYCARHWGYCSWFAYWGQGTLVTVSS</t>
  </si>
  <si>
    <t>EVQLVESGGGLVQPGGSLRLSCAASGFNISSSSIHWVRQAPGKGLEWVASIYSYSGYTSYADSVKGRFTISADTSKNTAYLQMNSLRAEDTAVYYCARGSHYFGYFDYWGQGTLVTVSS</t>
  </si>
  <si>
    <t>QVQLQESGPGLVKPSQTLSLTCTVSGGSISSGDYYWIRQHPGKGLEWIGYIYYSGSTDYNPSLKSRVTISVDTSKNQFSLKVTAADTAVYYCARTWFGSDYWGQGTLVTVSS</t>
  </si>
  <si>
    <t>DIQMTQSPSSLSASVGDRVTITCRASQGISNYLAWYQQKPGKAPKLLIYAASTLQSGVPSRFSGSGSGTDFTLTISSLQPEDFATYYCQQAHSFPYTFGGGTKLEIK</t>
  </si>
  <si>
    <t>EVQLVESGGGLVQPGGSLRLSCAASGFTFSSYWMNWVRQAPGKGLEWVAFIRYDGGNKYYADSVKGRFTISRDNSKNTLYLQMNSLRAEDTAVYYCARWSYSGGSGSYYVYFDYWGQGTLVTVS</t>
  </si>
  <si>
    <t>SVLTQPPSVSGAPGQRVTISCTGSSSNIGAGYDVHWYQQLPGTAPKLLIYGNSNRPSGVPDRFSGSKSGTSASLAITGLQAEDEADYYCQSYDSSLSGSVFGGGTKLTVL</t>
  </si>
  <si>
    <t>QVQLVQSGAEVKKPGASVKVSCKASGYTFTNYYIHWVRQAPGQGLEWMGWIYPGGNTNYAQKFQGRVTMTRDTSISTAYMELSRLRSDDTAVYYCARVRTEFDYWGQGTLVTVSS</t>
  </si>
  <si>
    <t>DIVMTQSPSSLAMSAGAETITCRSSQSVHSNGYLNWYQQKPGQPPKLLIYWASTRESGVPDRFTGSGSGTDFTLTITNVQSEDLAEYFCQQYSSYPLTFGAGTKLELR</t>
  </si>
  <si>
    <t>QVQLQESGPGLVKPSETLSLTCTVSGGSVSSGGYFWSWIRQPPGKGLEWIGYVSGSGSTNYNPSLKSRVTISVDTSKNQFSLKLSSVTAADTAVYYCARWDVWISDYWGQGTLVTVSS</t>
  </si>
  <si>
    <t>EIVLTQSPATLSLSPGERATLSCRASQSVSSYLAWYQQKPGQAPRLLIYDASNRATGIPARFSGSGSGTDFTLTISSLEPEDFAVYYCQHSWDQPPWTFGQGTKVEIK</t>
  </si>
  <si>
    <t>QVQLQESGPGLVKPSQTLSLTCTVTGSSITSGYWNWIRQFPGNKLEWMGYISYSGTITYNPSLKSRISITRDTSKNQFFLQLNSVTTEDTATYYCARVYDGFYDYWGQGTLVTVSS</t>
  </si>
  <si>
    <t>DIVMTQSPSSLSASVGDRVTITCRASQGISSWLAWYQQKPGKAPKLLIYKASSLESGVPSRFSGSGSGTEFTLTISSLQPDDFATYYCQQYNSYPLTFGGGTKVEIK</t>
  </si>
  <si>
    <t>QVQLVESGGGVVQPGRSLRLSCAASGFTFSNYAMHWVRQAPGKGLEWVAVISYNSGNPYADSVKGRFTISRDNSKNTLYLQMRVEDTAVYYCSRTTIGYGGDIWGNMFDYWGQGTLVTVSS</t>
  </si>
  <si>
    <t>DIVMTQSPATLSVSPGDRATLSCRASQSISTNLAWYQQKPGQAPRLLIYTASTLESGVPSRFSGSGSGTEFTLTISNLQSEDFATYFCQQYSAPLTFGGGTKVEIK</t>
  </si>
  <si>
    <t>EVQLVESGGGLVQPGGSLRLSCAASGFASSSSNYVHWVRQAPGKGLEWVATIYPYSSSEYAASVQGRFTISRDDSKNTLYLQMNSLRGEDTAVYYCARYGYYSSRSGYGYYFNYWGQGTLVTVSS</t>
  </si>
  <si>
    <t>DIVMTQSPASLAVSLGQRATISCRASESVDSYGNSFLAWYQQKPGQPPKLLIYWASTRQSGVPARFSGSGSGTDFTLNIHPVEEEDAATYYCQQHNYPLTFGAGTKLEIK</t>
  </si>
  <si>
    <t>EVQLVESGAEVKKPGSSVKVSCKASGGPFTSYVISWVRQAPGQGLEWMGRIIPIRGTTYAQKFQGRVTITADKSTSTAYMELRSEDTAVYYCARGSHVFGYYDYWGQGTLVTVSS</t>
  </si>
  <si>
    <t>EIVLTQSPGTLSLSPGERATLSCRASQSISGNYLAWYQQKPGQAPRLLIYGASIRAAGIPDRFSGSGSGTDFTLTISRLEPEDFAVYYCQQYGSSPRTFGQGTKVEIK</t>
  </si>
  <si>
    <t>EVQLVETGGGLVQPGGSLKLSCRASGYTFTDYAMHWVRQAPLGLGLYTGGVNYARHFMKSRISITRDNSKNTLYLQMTKVDDTATYFCARRGLFDSDYWGQGTLVTVSS</t>
  </si>
  <si>
    <t>SVTQPPSVSGSTSVGDRVTTCRASQSISSNWLAWYQQFPGTAPKLLIYENSSRPSGVPDRFSGSGSGTDFTLKISRVEAEDVGVYYCLQALSPRFTFGSGTKLEIK</t>
  </si>
  <si>
    <t>QVQLVQSGAEVKKPGSSVKVSCKASGGTFSNYGISWVRQAPGQGLEWMGGIIPILGIANYAQKFQGRVTITADKSTSTAYMELRSLRSDDTAVYYCAREGHAYFHNGLDYWGQGTLVTVSS</t>
  </si>
  <si>
    <t>EIVLTQSPGTLSLSPGERATLSCRASQSVSSSYFAWYQQKPGQAPRLLIYGASSRATGIPDRFSGSGSGTDFTLTISRLEPEDFAVYYCQQYGSSPPATFGQGTKVEIK</t>
  </si>
  <si>
    <t>QVQLVESGGGVVQPGRSLRLSCAASGFTFSSFGMHWVRQAPGKGLEWVAIIWDGSNKYYADSVKGRFTISRDNSKNTLYLQMRAEDTAVYYCALDGGSFDDYWGQGTLVTVSS</t>
  </si>
  <si>
    <t>DIQMTQSPSTLSTSVGDRVTITCRASQSISSWLAWYQQKPGKAPKLLIYKASTLESGVPSRFSGSGSGTEFTLTISSLQPDDFATYYCQHFYGTPITFGPGTKVD</t>
  </si>
  <si>
    <t>EVQLVESGGGLVKPGGSLKVSCAASGFTFSDYSMNWVRQAPGKGLEWVSSITSGYTSIYYADSVKGRFTISRDNAKNSLYLQMNSLRAGDTAVYYCARVSDNFDYWGQGTAVTVSS</t>
  </si>
  <si>
    <t>DIQMTQSPSSLSASVGDRVTITCQASQDIRFYLNWYQQKPGKAPKLLISAASTLQSGVPSRFSGSGSGTDFTLTITSLQPEDFATYYCAGYVPSYTFGPGTKVDIK</t>
  </si>
  <si>
    <t>EVQLQQSGAELVKPGASVKLSCKASGYTFLDYYMYWVKQRPEQGLEWIGRIDPANGNTIYAPKFQDKATLTLTTDTTSSNTAYMQLSSLTSEDSAVYYCAREGNYGYRDLAWFAYWGQGTLVTVSS</t>
  </si>
  <si>
    <t>AIRMTQSPSSLSASVGDTVTITCRASQSISSYLNWYQQKPGKAPKLLIYTASNLESGVPSRFSGSGSGTDYTLTISSLQPEDIATYYCQQYDNPPLTFGGGTKVEIK</t>
  </si>
  <si>
    <t>QVQLQESGPGLVKPSETLSLTCTVSGGSVSSGGYFWSWIRQRPGKGLEWIGHIYYSGTTNYNPSLRSRVTISRDTSKSQFSLKMDSLTSEDTALYYCARQLGLRFDIWGQGTMVTVSS</t>
  </si>
  <si>
    <t>DIQMTQSPSSLSASVGDRVTITCRASQSISSYLNWYQQKPGKAPKLLIYAASSLQSGVPSRFSGSGSGTDFTLTISSLQPEDFATYYCQQSYTTPPTFGQGTKVEIK</t>
  </si>
  <si>
    <t>QVQLVESGGGLVQPGGSLRLSCAASGFNLYSSSIHWVRQAPGKGLEWVARIYPSGATYYADSVKGRFTISADTSKNTAYLQMRAEDTAVYYCARSYYGDDYWGQGTLVTVSS</t>
  </si>
  <si>
    <t>DIQMTQSPSSLSASVGDRVTITCRASQSVSSAVAWYQQKPGKAPKLLIYSASFLYSGVPSRFSGSRSGTDFTLTISSLQPEDFATYYCQQYSYYPFTFGQGTKVEIK</t>
  </si>
  <si>
    <t>bright-moth-reed</t>
  </si>
  <si>
    <t>calm-tiger-flint</t>
  </si>
  <si>
    <t>silver-dove-moss</t>
  </si>
  <si>
    <t>silent-seal-marble</t>
  </si>
  <si>
    <t>radiant-quail-lotus</t>
  </si>
  <si>
    <t>young-fox-flint</t>
  </si>
  <si>
    <t>steady-ant-cloud</t>
  </si>
  <si>
    <t>azure-falcon-cypress</t>
  </si>
  <si>
    <t>calm-moth-ivy</t>
  </si>
  <si>
    <t>young-wolf-cedar</t>
  </si>
  <si>
    <t>silver-raven-granite</t>
  </si>
  <si>
    <t>amber-boar-ice</t>
  </si>
  <si>
    <t>wild-cat-jade</t>
  </si>
  <si>
    <t>violet-ant-onyx</t>
  </si>
  <si>
    <t>young-dove-rose</t>
  </si>
  <si>
    <t>misty-ibis-clay</t>
  </si>
  <si>
    <t>scarlet-panther-opal</t>
  </si>
  <si>
    <t>azure-toad-ice</t>
  </si>
  <si>
    <t>noble-heron-rose</t>
  </si>
  <si>
    <t>solid-fox-crystal</t>
  </si>
  <si>
    <t>wild-crane-lotus</t>
  </si>
  <si>
    <t>mellow-bison-reed</t>
  </si>
  <si>
    <t>misty-lynx-snow</t>
  </si>
  <si>
    <t>green-ant-granite</t>
  </si>
  <si>
    <t>steady-fox-ash</t>
  </si>
  <si>
    <t>strong-eagle-crystal</t>
  </si>
  <si>
    <t>rapid-dove-frost</t>
  </si>
  <si>
    <t>EVQLVESGGGLVQPGGSLRLSCAASGFATVSSNYMSWVRQAPGKGLEWVSVIYSCGSTYYADSVKGRFTISRDNSKNTLYLQMNSLRAEDTAVYYCARYYYDSSRSGYYYYFDYWGQGTLVTVSS</t>
  </si>
  <si>
    <t>sbio-nipahgpg-118</t>
  </si>
  <si>
    <t>sbio-nipahgpg-119</t>
  </si>
  <si>
    <t>DIVLTQSPASLAVSLGQRATISCKASQSVDYDGDSYMHWYQQKPGQPPKLLIYRASNLESGIPARFSGSGSRTDFTLTINPVEADDVATYYCQQSNYPLTFGSGTKVEIK</t>
  </si>
  <si>
    <t>peleke-phi-4 (humanized)</t>
  </si>
  <si>
    <t>EVQLLESGGGLVQPGGSLRLSCAASGFTFSSYAMSWVRQAPGKGLEWVSYISSSSSTIYYADSVKGRFTISRDNAKNSLYLQMNSLRAEDTAVYYCAKYSSYDYDYWGRGTMVTVSS</t>
  </si>
  <si>
    <t>DIQLTQSPSSLSASVGDRVTITCRASQGISSYLNWYQQKPGKAPKLLIYDASSLQSGVPSRFSGSGSGTDFTLTISSLQPEDFATYYCQQFYEWLRTFGQGTRLEIK</t>
  </si>
  <si>
    <t>brisk-vole-plume</t>
  </si>
  <si>
    <t>hollow-hawk-iron</t>
  </si>
  <si>
    <t>misty-quail-pearl</t>
  </si>
  <si>
    <t>gentle-fox-plume</t>
  </si>
  <si>
    <t>silver-quail-maple</t>
  </si>
  <si>
    <t>frozen-boar-ruby</t>
  </si>
  <si>
    <t>small-wolf-oak</t>
  </si>
  <si>
    <t>peleke-1 + AntiBMPNN</t>
  </si>
  <si>
    <t>sbio-nipahgpg-120</t>
  </si>
  <si>
    <t>sbio-nipahgpg-121</t>
  </si>
  <si>
    <t>sbio-nipahgpg-122</t>
  </si>
  <si>
    <t>sbio-nipahgpg-123</t>
  </si>
  <si>
    <t>sbio-nipahgpg-124</t>
  </si>
  <si>
    <t>sbio-nipahgpg-125</t>
  </si>
  <si>
    <t>sbio-nipahgpg-126</t>
  </si>
  <si>
    <t>sbio-nipahgpg-127</t>
  </si>
  <si>
    <t>sbio-nipahgpg-128</t>
  </si>
  <si>
    <t>sbio-nipahgpg-129</t>
  </si>
  <si>
    <t>peleke-phi-4 / 000</t>
  </si>
  <si>
    <t>EVQLVESGGGLVQPGGSLRLSCAASGFNISDSSIHWVRQAPGKGLEWVASISSYSGYTYYADSVKGRFTISADTSKNTAYLQMNSLRAEDTAVYYCARGGRDLFGLDALDYWGQGTLVTVSS</t>
  </si>
  <si>
    <t>EVQLVESGGGLVQPGGSLRLSCAASGFNISSSSIHWVRQAPGKGLEWVASIYSYSGLTYYADSVKGRFTISADTSKNTAYLQMNSLRAEDTAVYYCARGGYYLDGLYALDYWGQGTLVTVSS</t>
  </si>
  <si>
    <t>EVQLVESGGGLVQPGGSLRLSCAASGFNISSSSIHWVRQAPGKGLEWVASIYSYSGATYYADSVKGRFTISADTSKNTAYLQMNSLRAEDTAVYYCARGGNHLDGLYALDYWGQGTLVTVSS</t>
  </si>
  <si>
    <t>EVQLVESGGGLVQPGGSLRLSCAASGFNISSSSIHWVRQAPGKGLEWVASIYSYSGYTYYADSVKGRFTISADTSKNTAYLQMNSLRAEDTAVYYCARGGRYLDGLFALDYWGQGTLVTVSS</t>
  </si>
  <si>
    <t>EVQLVESGGGLVQPGGSLRLSCAASGFNISSSSIHWVRQAPGKGLEWVASISSYSGYTYYADSVKGRFTISADTSKNTAYLQMNSLRAEDTAVYYCARGGSLLRGLSALDYWGQGTLVTVSS</t>
  </si>
  <si>
    <t>EVQLVESGGGLVQPGGSLRLSCAASGFNISDSSIHWVRQAPGKGLEWVASISSYSGYTYYADSVKGRFTISADTSKNTAYLQMNSLRAEDTAVYYCARGGRYLDGLYALDYWGQGTLVTVSS</t>
  </si>
  <si>
    <t>EVQLVESGGGLVQPGGSLRLSCAASGFNISSSSIHWVRQAPGKGLEWVASISSYSGYTYYADSVKGRFTISADTSKNTAYLQMNSLRAEDTAVYYCARGGSYLDGLSALDYWGQGTLVTVSS</t>
  </si>
  <si>
    <t>EVQLVESGGGLVQPGGSLRLSCAASGFNISDSSIHWVRQAPGKGLEWVASIYNYSGYTYYADSVKGRFTISADTSKNTAYLQMNSLRAEDTAVYYCARGGYYLDGLDALDYWGQGTLVTVSS</t>
  </si>
  <si>
    <t>EVQLVESGGGLVQPGGSLRLSCAASGFNISDYSIHWVRQAPGKGLEWVASIYNRSGYTYYADSVKGRFTISADTSKNTAYLQMNSLRAEDTAVYYCARGGYYLDGLYALDYWGQGTLVTVSS</t>
  </si>
  <si>
    <t>EVQLVESGGGLVQPGGSLRLSCAASGFNISSSSIHWVRQAPGKGLEWVASISSYSGYTYYADSVKGRFTISADTSKNTAYLQMNSLRAEDTAVYYCARGGHDLDGLYALDYWGQGTLVTVSS</t>
  </si>
  <si>
    <t>silent-wolf-ember</t>
  </si>
  <si>
    <t>lunar-ox-vine</t>
  </si>
  <si>
    <t>bright-crow-wave</t>
  </si>
  <si>
    <t>frozen-bee-crystal</t>
  </si>
  <si>
    <t>young-bee-orchid</t>
  </si>
  <si>
    <t>wild-boar-quartz</t>
  </si>
  <si>
    <t>steady-hawk-pine</t>
  </si>
  <si>
    <t>wild-shark-clay</t>
  </si>
  <si>
    <t>hollow-orca-rose</t>
  </si>
  <si>
    <t>dark-quail-thorn</t>
  </si>
  <si>
    <t>sbio-nipahgpg-130</t>
  </si>
  <si>
    <t>sbio-nipahgpg-131</t>
  </si>
  <si>
    <t>sbio-nipahgpg-132</t>
  </si>
  <si>
    <t>sbio-nipahgpg-133</t>
  </si>
  <si>
    <t>sbio-nipahgpg-134</t>
  </si>
  <si>
    <t>sbio-nipahgpg-135</t>
  </si>
  <si>
    <t>sbio-nipahgpg-136</t>
  </si>
  <si>
    <t>sbio-nipahgpg-137</t>
  </si>
  <si>
    <t>sbio-nipahgpg-138</t>
  </si>
  <si>
    <t>sbio-nipahgpg-139</t>
  </si>
  <si>
    <t>EVQLVESGGGLVKPGGSLKVSCAASGFTFSSYAMHWVRQAPGKGLEWVSYIWSGADSIGYADSVKGRFTISRDNAKNSLYLQMNSLRAGDTAVYYCARDDDAFDYWGQGTAVTVSS</t>
  </si>
  <si>
    <t>EVQLVESGGGLVKPGGSLKVSCAASGFTFSSYSMHWVRQAPGKGLEWVSSIWSGADSTGYADSVKGRFTISRDNAKNSLYLQMNSLRAGDTAVYYCARDDDAFDYWGQGTAVTVSS</t>
  </si>
  <si>
    <t>EVQLVESGGGLVKPGGSLKVSCAASGFTFSSYAMHWVRQAPGKGLEWVSRIWSGADSTGYADSVKGRFTISRDNAKNSLYLQMNSLRAGDTAVYYCARDDDAFDYWGQGTAVTVSS</t>
  </si>
  <si>
    <t>EVQLVESGGGLVKPGGSLKVSCAASGFTFSSYAMHWVRQAPGKGLEWVSYIWSGADSIGYADSVKGRFTISRDNAKNSLYLQMNSLRAGDTAVYYCARYDDAFDYWGQGTAVTVSS</t>
  </si>
  <si>
    <t>EVQLVESGGGLVKPGGSLKVSCAASGFTFSSYSMHWVRQAPGKGLEWVSRIWSGTDSIGYADSVKGRFTISRDNAKNSLYLQMNSLRAGDTAVYYCARDDDAFDYWGQGTAVTVSS</t>
  </si>
  <si>
    <t>EVQLVESGGGLVKPGGSLKVSCAASGFTFSSYAMHWVRQAPGKGLEWVSYIWSGVDSIGYADSVKGRFTISRDNAKNSLYLQMNSLRAGDTAVYYCARDDDAFDYWGQGTAVTVSS</t>
  </si>
  <si>
    <t>EVQLVESGGGLVKPGGSLKVSCAASGFTFSSFAMHWVRQAPGKGLEWVSYIWSGADSTGYADSVKGRFTISRDNAKNSLYLQMNSLRAGDTAVYYCARDDDAFDYWGQGTAVTVSS</t>
  </si>
  <si>
    <t>EVQLVESGGGLVKPGGSLKVSCAASGFTFSSYSMVWVRQAPGKGLEWVSRIWSGVDSTGYADSVKGRFTISRDNAKNSLYLQMNSLRAGDTAVYYCARDDDAFDYWGQGTAVTVSS</t>
  </si>
  <si>
    <t>EIVMTQSPGTPSLSPGERATLSCRASQSIRSTYLAWYQQKPGQAPRLLIYGASSRATGIPDRFSGSGSGTDFTLTISRLEPEDFAVYYCQQYGRSPSFGQGTKVEIK</t>
  </si>
  <si>
    <t>EVQLVQSGAEVKKRGSSVKVSCKSSGGTFSNYAINWVRQAPGQGLEWMGGIIPILGIANYAQKFQGRVTITTDESTSTAYMELSSLRSEDTAVYYCARGWGREQLAPHPSQYYYYYYGMDVWGQGTTVTVSS</t>
  </si>
  <si>
    <t>m102.3</t>
  </si>
  <si>
    <t>6CMI_HL</t>
  </si>
  <si>
    <t>GGGSGGGSGGG</t>
  </si>
  <si>
    <t>quick-fox-orchid</t>
  </si>
  <si>
    <t>wild-boar-maple</t>
  </si>
  <si>
    <t>radiant-falcon-leaf</t>
  </si>
  <si>
    <t>dark-tiger-pearl</t>
  </si>
  <si>
    <t>silent-deer-oak</t>
  </si>
  <si>
    <t>hollow-gecko-clay</t>
  </si>
  <si>
    <t>sbio-nipahgpg-140</t>
  </si>
  <si>
    <t>sbio-nipahgpg-141</t>
  </si>
  <si>
    <t>sbio-nipahgpg-142</t>
  </si>
  <si>
    <t>sbio-nipahgpg-143</t>
  </si>
  <si>
    <t>sbio-nipahgpg-144</t>
  </si>
  <si>
    <t>sbio-nipahgpg-145</t>
  </si>
  <si>
    <t>sbio-nipahgpg-146</t>
  </si>
  <si>
    <t>sbio-nipahgpg-147</t>
  </si>
  <si>
    <t>sbio-nipahgpg-148</t>
  </si>
  <si>
    <t>sbio-nipahgpg-149</t>
  </si>
  <si>
    <t>EVQLVESGGGLVQPGGSLRLSCAASGFNISYSSIHWVRQAPGKGLEWVASISSYSGSTYYADSVKGRFTISADTSKNTAYLQMNSLRAEDTAVYYCARGGYVPVGWYALDYWGQGTLVTVSS</t>
  </si>
  <si>
    <t>DIQMTQSPSSLSASVGDRVTITCRASQSVSTAVAWYQQKPGKAPKLLIYYASDRYSGVPSRFSGSRSGTDFTLTISSLQPEDFATYYCQQHYNYPLTFGQGTKVEIK</t>
  </si>
  <si>
    <t>DIQMTQSPSSLSASVGDRVTITCRASQSVSDDVAWYQQKPGKAPKLLIYRASDRYFGVPSRFSGSRSGTDFTLTISSLQPEDFATYYCQQYYSYPITFGQGTKVEIK</t>
  </si>
  <si>
    <t>EVQLVESGGGLVQPGGSLRLSCAASGFNISYSSIHWVRQAPGKGLEWVASISSYSGSTYYADSVKGRFTISADTSKNTAYLQMNSLRAEDTAVYYCARGGAVPVGWYALDYWGQGTLVTVSS</t>
  </si>
  <si>
    <t>EVQLVESGGGLVQPGGSLRLSCAASGFNISYSSIHWVRQAPGKGLEWVASISSYSGSTYYADSVKGRFTISADTSKNTAYLQMNSLRAEDTAVYYCARGGDVPNGWYALDYWGQGTLVTVSS</t>
  </si>
  <si>
    <t>DIQMTQSPSSLSASVGDRVTITCRASQSVYTAVAWYQQKPGKAPKLLIYFASDRYSGVPSRFSGSRSGTDFTLTISSLQPEDFATYYCQQHYYYPITFGQGTKVEIK</t>
  </si>
  <si>
    <t>EVQLVESGGGLVQPGGSLRLSCAASGFNISYSSIHWVRQAPGKGLEWVASISSYSGSTYYADSVKGRFTISADTSKNTAYLQMNSLRAEDTAVYYCARGGDVPVGWYALDYWGQGTLVTVSS</t>
  </si>
  <si>
    <t>DIQMTQSPSSLSASVGDRVTITCRASQSVSDAVAWYQQKPGKAPKLLIYYASDRYAGVPSRFSGSRSGTDFTLTISSLQPEDFATYYCQQYYSYPLTFGQGTKVEIK</t>
  </si>
  <si>
    <t>DIQMTQSPSSLSASVGDRVTITCRASQSVYTAVAWYQQKPGKAPKLLIYRASDRYAGVPSRFSGSRSGTDFTLTISSLQPEDFATYYCQQYYYYPLTFGQGTKVEIK</t>
  </si>
  <si>
    <t>DIQMTQSPSSLSASVGDRVTITCRASQSVNTAVAWYQQKPGKAPKLLIYSASDRYFGVPSRFSGSRSGTDFTLTISSLQPEDFATYYCQQHYSYPLTFGQGTKVEIK</t>
  </si>
  <si>
    <t>DIQMTQSPSSLSASVGDRVTITCRASQSVYTAVAWYQQKPGKAPKLLIYSASDRYSGVPSRFSGSRSGTDFTLTISSLQPEDFATYYCQQYASYPITFGQGTKVEIK</t>
  </si>
  <si>
    <t>DIQMTQSPSSLSASVGDRVTITCRASQSVSIAVAWYQQKPGKAPKLLIYSASDRYFGVPSRFSGSRSGTDFTLTISSLQPEDFATYYCQQYYSYPLTFGQGTKVEIK</t>
  </si>
  <si>
    <t>DIQMTQSPSSLSASVGDRVTITCRASQSVYYAVAWYQQKPGKAPKLLIYRASDRYSGVPSRFSGSRSGTDFTLTISSLQPEDFATYYCQQYYSYPLTFGQGTKVEIK</t>
  </si>
  <si>
    <t>DIQMTQSPSSLSASVGDRVTITCRASQSVYTAVAWYQQKPGKAPKLLIYRASDRYFGVPSRFSGSRSGTDFTLTISSLQPEDFATYYCQQYYYYPLTFGQGTKVEIK</t>
  </si>
  <si>
    <t>EVQLVESGGGLVQPGGSLRLSCAASGFNISYSSIHWVRQAPGKGLEWVASISSYSGSTYYADSVKGRFTISADTSKNTAYLQMNSLRAEDTAVYYCARGGDVPVGYYALDYWGQGTLVTVSS</t>
  </si>
  <si>
    <t>EVQLVESGGGLVQPGGSLRLSCAASGFNISSSSIHWVRQAPGKGLEWVASISSSSGSTYYADSVKGRFTISADTSKNTAYLQMNSLRAEDTAVYYCARGGDVPNGWYALDYWGQGTLVTVSS</t>
  </si>
  <si>
    <t>noble-panther-rose</t>
  </si>
  <si>
    <t>small-otter-jade</t>
  </si>
  <si>
    <t>mellow-crow-vine</t>
  </si>
  <si>
    <t>rough-crane-ice</t>
  </si>
  <si>
    <t>gentle-bee-pearl</t>
  </si>
  <si>
    <t>amber-crow-wave</t>
  </si>
  <si>
    <t>vast-zebra-topaz</t>
  </si>
  <si>
    <t>soft-heron-topaz</t>
  </si>
  <si>
    <t>rapid-otter-pearl</t>
  </si>
  <si>
    <t>mellow-hawk-willow</t>
  </si>
  <si>
    <t>sbio-nipahgpg-150</t>
  </si>
  <si>
    <t>sbio-nipahgpg-151</t>
  </si>
  <si>
    <t>sbio-nipahgpg-152</t>
  </si>
  <si>
    <t>sbio-nipahgpg-153</t>
  </si>
  <si>
    <t>sbio-nipahgpg-154</t>
  </si>
  <si>
    <t>sbio-nipahgpg-155</t>
  </si>
  <si>
    <t>sbio-nipahgpg-156</t>
  </si>
  <si>
    <t>sbio-nipahgpg-157</t>
  </si>
  <si>
    <t>sbio-nipahgpg-158</t>
  </si>
  <si>
    <t>sbio-nipahgpg-159</t>
  </si>
  <si>
    <t>EVQLVESGGGLVQPGGSLRLSCAASGFNISYSSIHWVRQAPGKGLEWVASISSYSGYTYYADSVKGRFTISADTSKNTAYLQMNSLRAEDTAVYYCARGGWRPIGSYALDYWGQGTLVTVSS</t>
  </si>
  <si>
    <t>EVQLVESGGGLVQPGGSLRLSCAASGFNISYSSIHWVRQAPGKGLEWVASISSYSGSTYYADSVKGRFTISADTSKNTAYLQMNSLRAEDTAVYYCARGGYRPIGNYALDYWGQGTLVTVSS</t>
  </si>
  <si>
    <t>EVQLVESGGGLVQPGGSLRLSCAASGFNISYYSIHWVRQAPGKGLEWVASISSYSGYTYYADSVKGRFTISADTSKNTAYLQMNSLRAEDTAVYYCARGGDRPSGCYALDYWGQGTLVTVSS</t>
  </si>
  <si>
    <t>EVQLVESGGGLVQPGGSLRLSCAASGFNISYSSIHWVRQAPGKGLEWVASISSYSGYTYYADSVKGRFTISADTSKNTAYLQMNSLRAEDTAVYYCARGGSLPTGCYALDYWGQGTLVTVSS</t>
  </si>
  <si>
    <t>EVQLVESGGGLVQPGGSLRLSCAASGFNISYSSIHWVRQAPGKGLEWVASISSYSGYTYYADSVKGRFTISADTSKNTAYLQMNSLRAEDTAVYYCARGGWYPWGCDALDYWGQGTLVTVSS</t>
  </si>
  <si>
    <t>EVQLVESGGGLVQPGGSLRLSCAASGFNISYSSIHWVRQAPGKGLEWVASISSYSGSTYYADSVKGRFTISADTSKNTAYLQMNSLRAEDTAVYYCARGGSRPWGCYALDYWGQGTLVTVSS</t>
  </si>
  <si>
    <t>EVQLVESGGGLVQPGGSLRLSCAASGFNISYSSIHWVRQAPGKGLEWVASISSYSGSTYYADSVKGRFTISADTSKNTAYLQMNSLRAEDTAVYYCARGGWYPWGNYALDYWGQGTLVTVSS</t>
  </si>
  <si>
    <t>EVQLVESGGGLVQPGGSLRLSCAASGFNISYSSIHWVRQAPGKGLEWVASISSYSGYTYYADSVKGRFTISADTSKNTAYLQMNSLRAEDTAVYYCARGGWRPFGCYALDYWGQGTLVTVSS</t>
  </si>
  <si>
    <t>EVQLVESGGGLVQPGGSLRLSCAASGFNISYSSIHWVRQAPGKGLEWVASISSYSGYTYYADSVKGRFTISADTSKNTAYLQMNSLRAEDTAVYYCARGGWYPLGCYAMDYWGQGTLVTVSS</t>
  </si>
  <si>
    <t>EVQLVESGGGLVQPGGSLRLSCAASGFNISYSSIHWVRQAPGKGLEWVASISSYSGYTYYADSVKGRFTISADTSKNTAYLQMNSLRAEDTAVYYCARGGDRPVGCYALDYWGQGTLVTVSS</t>
  </si>
  <si>
    <t>DIQMTQSPSSLSASVGDRVTITCRASQDVFTAVAWYQQKPGKAPKLLIYFASFLYSGVPSRFSGSRSGTDFTLTISSLQPEDFATYYCQQYSIVPVTFGQGTKVEIK</t>
  </si>
  <si>
    <t>DIQMTQSPSSLSASVGDRVTITCRASQDVNTAVAWYQQKPGKAPKLLIYEASFRYSGVPSRFSGSRSGTDFTLTISSLQPEDFATYYCQQHYEVPITFGQGTKVEIK</t>
  </si>
  <si>
    <t>DIQMTQSPSSLSASVGDRVTITCRASQDVFSAVAWYQQKPGKAPKLLIYSASFLYSGVPSRFSGSRSGTDFTLTISSLQPEDFATYYCQQHYIYPVTFGQGTKVEIK</t>
  </si>
  <si>
    <t>DIQMTQSPSSLSASVGDRVTITCRASQDVLSDVAWYQQKPGKAPKLLIYYASFRYSGVPSRFSGSRSGTDFTLTISSLQPEDFATYYCQQHYVVPVTFGQGTKVEIK</t>
  </si>
  <si>
    <t>DIQMTQSPSSLSASVGDRVTITCRASQDVTSAVAWYQQKPGKAPKLLIYSASFRYSGVPSRFSGSRSGTDFTLTISSLQPEDFATYYCQQHYVVPVTFGQGTKVEIK</t>
  </si>
  <si>
    <t>DIQMTQSPSSLSASVGDRVTITCRASQDVFSAVAWYQQKPGKAPKLLIYYASFLYSGVPSRFSGSRSGTDFTLTISSLQPEDFATYYCQQHSVVPITFGQGTKVEIK</t>
  </si>
  <si>
    <t>DIQMTQSPSSLSASVGDRVTITCRASQDVFSAVAWYQQKPGKAPKLLIYFASFLYSGVPSRFSGSRSGTDFTLTISSLQPEDFATYYCQQHYEVPITFGQGTKVEIK</t>
  </si>
  <si>
    <t>DIQMTQSPSSLSASVGDRVTITCRASQDVDSAVAWYQQKPGKAPKLLIYYASFLYSGVPSRFSGSRSGTDFTLTISSLQPEDFATYYCQQHYVVPVTFGQGTKVEIK</t>
  </si>
  <si>
    <t>DIQMTQSPSSLSASVGDRVTITCRASQDVDSAVAWYQQKPGKAPKLLIYFASSLYSGVPSRFSGSRSGTDFTLTISSLQPEDFATYYCQQHYDAPITFGQGTKVEIK</t>
  </si>
  <si>
    <t>DIQMTQSPSSLSASVGDRVTITCRASQDVDSAVAWYQQKPGKAPKLLIYFASFLYSGVPSRFSGSRSGTDFTLTISSLQPEDFATYYCQQHYDVPITFGQGTKVEIK</t>
  </si>
  <si>
    <t>GGGSGGGSGGGSGGGSGGGS</t>
  </si>
  <si>
    <t>silent-panther-ember</t>
  </si>
  <si>
    <t>golden-bat-ash</t>
  </si>
  <si>
    <t>shy-gecko-topaz</t>
  </si>
  <si>
    <t>vast-yak-reed</t>
  </si>
  <si>
    <t>calm-falcon-ember</t>
  </si>
  <si>
    <t>quiet-quail-onyx</t>
  </si>
  <si>
    <t>lunar-hawk-granite</t>
  </si>
  <si>
    <t>amber-fox-dust</t>
  </si>
  <si>
    <t>noble-owl-lotus</t>
  </si>
  <si>
    <t>gentle-shark-cypress</t>
  </si>
  <si>
    <t>Humanized using Humatch</t>
  </si>
  <si>
    <t>sbio-nipahgpg-160</t>
  </si>
  <si>
    <t>DIQMTQSPSSLSASVGDRVTITCRASQSVYYAVAWYQQKPGKAPKLLIYRASDLYSGVPSRFSGSRSGTDFTLTISSLQPEDFATYYCQQYYSYPLTFGQGTKVEIK</t>
  </si>
  <si>
    <t>EVQLVESGGGLVQPGGSLRLSCAASGFNISYSSIHWVRQAPGKGLEWVASISSYSGSTYYADSVKGRFTISADTSKNTAYLQMNSLRAEDTAVYYCARGGDVPVGWYALDYWGQGTLVTVSSGGGSGGGSGGGSGGGSGGGSDIQMTQSPSSLSASVGDRVTITCRASQSVYYAVAWYQQKPGKAPKLLIYRASDLYSGVPSRFSGSRSGTDFTLTISSLQPEDFATYYCQQYYSYPLTFGQGTKVEIK</t>
  </si>
  <si>
    <t>noble-tiger-lotus</t>
  </si>
  <si>
    <t>score</t>
  </si>
  <si>
    <t>vdw</t>
  </si>
  <si>
    <t>elec</t>
  </si>
  <si>
    <t>desolv</t>
  </si>
  <si>
    <t>bsa</t>
  </si>
  <si>
    <t>total</t>
  </si>
  <si>
    <t>on_ephrin_b2_epitope</t>
  </si>
  <si>
    <t>min_ipsae_full</t>
  </si>
  <si>
    <t>max_ipsae_full</t>
  </si>
  <si>
    <t>min_ipsae_comp</t>
  </si>
  <si>
    <t>max_ipsae_comp</t>
  </si>
  <si>
    <t>confidence_score</t>
  </si>
  <si>
    <t>complex_plddt</t>
  </si>
  <si>
    <t>ptm</t>
  </si>
  <si>
    <t>iptm</t>
  </si>
  <si>
    <t>protein_iptm</t>
  </si>
  <si>
    <t>complex_iplddt</t>
  </si>
  <si>
    <t>complex_pde</t>
  </si>
  <si>
    <t>complex_ipde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</si>
</sst>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rgb="FF000000"/>
      <name val="Aptos Narrow"/>
      <family val="2"/>
      <charset val="1"/>
    </font>
    <font>
      <sz val="8"/>
      <name val="Aptos Narrow"/>
      <family val="2"/>
      <charset val="1"/>
    </font>
    <font>
      <b/>
      <sz val="11"/>
      <color rgb="FF000000"/>
      <name val="Aptos Narrow"/>
      <family val="2"/>
    </font>
    <font>
      <b/>
      <sz val="11"/>
      <color rgb="FF000000"/>
      <name val="Aptos Narrow"/>
      <family val="2"/>
    </font>
    <font>
      <sz val="11"/>
      <color rgb="FFFF0000"/>
      <name val="Aptos Narrow"/>
      <family val="2"/>
      <charset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2" fillId="0" borderId="0" xfId="0" applyFont="1" applyAlignment="1">
      <alignment vertical="center" wrapText="1"/>
    </xf>
    <xf numFmtId="0" fontId="3" fillId="0" borderId="0" xfId="0" applyFont="1" applyAlignment="1">
      <alignment horizontal="center" vertical="center"/>
    </xf>
    <xf numFmtId="0" fontId="0" fillId="0" borderId="0" xfId="0" pivotButton="1"/>
    <xf numFmtId="14" fontId="0" fillId="0" borderId="0" xfId="0" applyNumberFormat="1" applyAlignment="1">
      <alignment horizontal="left"/>
    </xf>
    <xf numFmtId="14" fontId="0" fillId="0" borderId="0" xfId="0" applyNumberFormat="1" applyAlignment="1">
      <alignment horizontal="center" vertical="center"/>
    </xf>
    <xf numFmtId="0" fontId="4" fillId="0" borderId="0" xfId="0" applyFont="1" applyAlignment="1">
      <alignment vertical="center" wrapText="1"/>
    </xf>
  </cellXfs>
  <cellStyles count="1">
    <cellStyle name="Normal" xfId="0" builtinId="0"/>
  </cellStyles>
  <dxfs count="24"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 patternType="none">
          <bgColor auto="1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 patternType="none">
          <bgColor auto="1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colby/Nipah_gpG_Fv_Generation/data/candidates/structures_boltz2_frankenchain/boltz2_frankenchain_ipsae_scores.csv" TargetMode="External"/><Relationship Id="rId1" Type="http://schemas.openxmlformats.org/officeDocument/2006/relationships/externalLinkPath" Target="/Users/colby/Nipah_gpG_Fv_Generation/data/candidates/structures_boltz2_frankenchain/boltz2_frankenchain_ipsae_scores.csv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ltz2_frankenchain_ipsae_score"/>
    </sheetNames>
    <sheetDataSet>
      <sheetData sheetId="0">
        <row r="1">
          <cell r="A1" t="str">
            <v>antibody_id</v>
          </cell>
          <cell r="B1" t="str">
            <v>min_ipsae</v>
          </cell>
          <cell r="C1" t="str">
            <v>max_ipsae</v>
          </cell>
        </row>
        <row r="2">
          <cell r="A2" t="str">
            <v>sbio-nipahgpg-001</v>
          </cell>
          <cell r="B2">
            <v>0</v>
          </cell>
          <cell r="C2">
            <v>5.2630000000000003E-3</v>
          </cell>
        </row>
        <row r="3">
          <cell r="A3" t="str">
            <v>sbio-nipahgpg-002</v>
          </cell>
          <cell r="B3">
            <v>0</v>
          </cell>
          <cell r="C3">
            <v>1.2614999999999999E-2</v>
          </cell>
        </row>
        <row r="4">
          <cell r="A4" t="str">
            <v>sbio-nipahgpg-003</v>
          </cell>
          <cell r="B4">
            <v>0</v>
          </cell>
          <cell r="C4">
            <v>0</v>
          </cell>
        </row>
        <row r="5">
          <cell r="A5" t="str">
            <v>sbio-nipahgpg-004</v>
          </cell>
          <cell r="B5">
            <v>5.4530000000000004E-3</v>
          </cell>
          <cell r="C5">
            <v>0.125301</v>
          </cell>
        </row>
        <row r="6">
          <cell r="A6" t="str">
            <v>sbio-nipahgpg-005</v>
          </cell>
          <cell r="B6">
            <v>0</v>
          </cell>
          <cell r="C6">
            <v>0</v>
          </cell>
        </row>
        <row r="7">
          <cell r="A7" t="str">
            <v>sbio-nipahgpg-008</v>
          </cell>
          <cell r="B7">
            <v>3.5594000000000001E-2</v>
          </cell>
          <cell r="C7">
            <v>8.8202000000000003E-2</v>
          </cell>
        </row>
        <row r="8">
          <cell r="A8" t="str">
            <v>sbio-nipahgpg-009</v>
          </cell>
          <cell r="B8">
            <v>0</v>
          </cell>
          <cell r="C8">
            <v>0</v>
          </cell>
        </row>
        <row r="9">
          <cell r="A9" t="str">
            <v>sbio-nipahgpg-010</v>
          </cell>
          <cell r="B9">
            <v>0</v>
          </cell>
          <cell r="C9">
            <v>0</v>
          </cell>
        </row>
        <row r="10">
          <cell r="A10" t="str">
            <v>sbio-nipahgpg-011</v>
          </cell>
          <cell r="B10">
            <v>0</v>
          </cell>
          <cell r="C10">
            <v>0</v>
          </cell>
        </row>
        <row r="11">
          <cell r="A11" t="str">
            <v>sbio-nipahgpg-012</v>
          </cell>
          <cell r="B11">
            <v>0.40337800000000001</v>
          </cell>
          <cell r="C11">
            <v>0.50577000000000005</v>
          </cell>
        </row>
        <row r="12">
          <cell r="A12" t="str">
            <v>sbio-nipahgpg-014</v>
          </cell>
          <cell r="B12">
            <v>0</v>
          </cell>
          <cell r="C12">
            <v>0</v>
          </cell>
        </row>
        <row r="13">
          <cell r="A13" t="str">
            <v>sbio-nipahgpg-015</v>
          </cell>
          <cell r="B13">
            <v>0</v>
          </cell>
          <cell r="C13">
            <v>5.1609999999999998E-3</v>
          </cell>
        </row>
        <row r="14">
          <cell r="A14" t="str">
            <v>sbio-nipahgpg-017</v>
          </cell>
          <cell r="B14">
            <v>0</v>
          </cell>
          <cell r="C14">
            <v>0</v>
          </cell>
        </row>
        <row r="15">
          <cell r="A15" t="str">
            <v>sbio-nipahgpg-018</v>
          </cell>
          <cell r="B15">
            <v>0.39001999999999998</v>
          </cell>
          <cell r="C15">
            <v>0.48038599999999998</v>
          </cell>
        </row>
        <row r="16">
          <cell r="A16" t="str">
            <v>sbio-nipahgpg-019</v>
          </cell>
          <cell r="B16">
            <v>2.325E-2</v>
          </cell>
          <cell r="C16">
            <v>7.4709999999999999E-2</v>
          </cell>
        </row>
        <row r="17">
          <cell r="A17" t="str">
            <v>sbio-nipahgpg-020</v>
          </cell>
          <cell r="B17">
            <v>0</v>
          </cell>
          <cell r="C17">
            <v>0</v>
          </cell>
        </row>
        <row r="18">
          <cell r="A18" t="str">
            <v>sbio-nipahgpg-021</v>
          </cell>
          <cell r="B18">
            <v>0</v>
          </cell>
          <cell r="C18">
            <v>0</v>
          </cell>
        </row>
        <row r="19">
          <cell r="A19" t="str">
            <v>sbio-nipahgpg-022</v>
          </cell>
          <cell r="B19">
            <v>0</v>
          </cell>
          <cell r="C19">
            <v>0</v>
          </cell>
        </row>
        <row r="20">
          <cell r="A20" t="str">
            <v>sbio-nipahgpg-023</v>
          </cell>
          <cell r="B20">
            <v>0</v>
          </cell>
          <cell r="C20">
            <v>0</v>
          </cell>
        </row>
        <row r="21">
          <cell r="A21" t="str">
            <v>sbio-nipahgpg-025</v>
          </cell>
          <cell r="B21">
            <v>0.170014</v>
          </cell>
          <cell r="C21">
            <v>0.265094</v>
          </cell>
        </row>
        <row r="22">
          <cell r="A22" t="str">
            <v>sbio-nipahgpg-026</v>
          </cell>
          <cell r="B22">
            <v>0</v>
          </cell>
          <cell r="C22">
            <v>0</v>
          </cell>
        </row>
        <row r="23">
          <cell r="A23" t="str">
            <v>sbio-nipahgpg-027</v>
          </cell>
          <cell r="B23">
            <v>0.31783099999999997</v>
          </cell>
          <cell r="C23">
            <v>0.43640499999999999</v>
          </cell>
        </row>
        <row r="24">
          <cell r="A24" t="str">
            <v>sbio-nipahgpg-028</v>
          </cell>
          <cell r="B24">
            <v>4.9259999999999998E-3</v>
          </cell>
          <cell r="C24">
            <v>1.8696999999999998E-2</v>
          </cell>
        </row>
        <row r="25">
          <cell r="A25" t="str">
            <v>sbio-nipahgpg-029</v>
          </cell>
          <cell r="B25">
            <v>0</v>
          </cell>
          <cell r="C25">
            <v>0</v>
          </cell>
        </row>
        <row r="26">
          <cell r="A26" t="str">
            <v>sbio-nipahgpg-030</v>
          </cell>
          <cell r="B26">
            <v>0</v>
          </cell>
          <cell r="C26">
            <v>0</v>
          </cell>
        </row>
        <row r="27">
          <cell r="A27" t="str">
            <v>sbio-nipahgpg-031</v>
          </cell>
          <cell r="B27">
            <v>0</v>
          </cell>
          <cell r="C27">
            <v>0</v>
          </cell>
        </row>
        <row r="28">
          <cell r="A28" t="str">
            <v>sbio-nipahgpg-032</v>
          </cell>
          <cell r="B28">
            <v>0.24712400000000001</v>
          </cell>
          <cell r="C28">
            <v>0.385683</v>
          </cell>
        </row>
        <row r="29">
          <cell r="A29" t="str">
            <v>sbio-nipahgpg-033</v>
          </cell>
          <cell r="B29">
            <v>0</v>
          </cell>
          <cell r="C29">
            <v>4.7840000000000001E-3</v>
          </cell>
        </row>
        <row r="30">
          <cell r="A30" t="str">
            <v>sbio-nipahgpg-034</v>
          </cell>
          <cell r="B30">
            <v>0</v>
          </cell>
          <cell r="C30">
            <v>5.5339999999999999E-3</v>
          </cell>
        </row>
        <row r="31">
          <cell r="A31" t="str">
            <v>sbio-nipahgpg-035</v>
          </cell>
          <cell r="B31">
            <v>0</v>
          </cell>
          <cell r="C31">
            <v>1.9792000000000001E-2</v>
          </cell>
        </row>
        <row r="32">
          <cell r="A32" t="str">
            <v>sbio-nipahgpg-036</v>
          </cell>
          <cell r="B32">
            <v>7.6040999999999997E-2</v>
          </cell>
          <cell r="C32">
            <v>0.20837700000000001</v>
          </cell>
        </row>
        <row r="33">
          <cell r="A33" t="str">
            <v>sbio-nipahgpg-037</v>
          </cell>
          <cell r="B33">
            <v>0</v>
          </cell>
          <cell r="C33">
            <v>5.2519999999999997E-3</v>
          </cell>
        </row>
        <row r="34">
          <cell r="A34" t="str">
            <v>sbio-nipahgpg-038</v>
          </cell>
          <cell r="B34">
            <v>5.3099999999999996E-3</v>
          </cell>
          <cell r="C34">
            <v>3.4667999999999997E-2</v>
          </cell>
        </row>
        <row r="35">
          <cell r="A35" t="str">
            <v>sbio-nipahgpg-039</v>
          </cell>
          <cell r="B35">
            <v>0.31343599999999999</v>
          </cell>
          <cell r="C35">
            <v>0.46242</v>
          </cell>
        </row>
        <row r="36">
          <cell r="A36" t="str">
            <v>sbio-nipahgpg-040</v>
          </cell>
          <cell r="B36">
            <v>1.6670999999999998E-2</v>
          </cell>
          <cell r="C36">
            <v>0.10281999999999999</v>
          </cell>
        </row>
        <row r="37">
          <cell r="A37" t="str">
            <v>sbio-nipahgpg-041</v>
          </cell>
          <cell r="B37">
            <v>0.10602200000000001</v>
          </cell>
          <cell r="C37">
            <v>0.13172300000000001</v>
          </cell>
        </row>
        <row r="38">
          <cell r="A38" t="str">
            <v>sbio-nipahgpg-042</v>
          </cell>
          <cell r="B38">
            <v>0</v>
          </cell>
          <cell r="C38">
            <v>5.7039999999999999E-3</v>
          </cell>
        </row>
        <row r="39">
          <cell r="A39" t="str">
            <v>sbio-nipahgpg-043</v>
          </cell>
          <cell r="B39">
            <v>5.5859999999999998E-3</v>
          </cell>
          <cell r="C39">
            <v>5.9671000000000002E-2</v>
          </cell>
        </row>
        <row r="40">
          <cell r="A40" t="str">
            <v>sbio-nipahgpg-044</v>
          </cell>
          <cell r="B40">
            <v>5.4609999999999997E-3</v>
          </cell>
          <cell r="C40">
            <v>6.6970000000000002E-2</v>
          </cell>
        </row>
        <row r="41">
          <cell r="A41" t="str">
            <v>sbio-nipahgpg-045</v>
          </cell>
          <cell r="B41">
            <v>0</v>
          </cell>
          <cell r="C41">
            <v>2.9451000000000001E-2</v>
          </cell>
        </row>
        <row r="42">
          <cell r="A42" t="str">
            <v>sbio-nipahgpg-046</v>
          </cell>
          <cell r="B42">
            <v>4.9959999999999996E-3</v>
          </cell>
          <cell r="C42">
            <v>4.6261999999999998E-2</v>
          </cell>
        </row>
        <row r="43">
          <cell r="A43" t="str">
            <v>sbio-nipahgpg-047</v>
          </cell>
          <cell r="B43">
            <v>0.316245</v>
          </cell>
          <cell r="C43">
            <v>0.44687100000000002</v>
          </cell>
        </row>
        <row r="44">
          <cell r="A44" t="str">
            <v>sbio-nipahgpg-048</v>
          </cell>
          <cell r="B44">
            <v>0</v>
          </cell>
          <cell r="C44">
            <v>6.1840000000000003E-3</v>
          </cell>
        </row>
        <row r="45">
          <cell r="A45" t="str">
            <v>sbio-nipahgpg-049</v>
          </cell>
          <cell r="B45">
            <v>0.14995</v>
          </cell>
          <cell r="C45">
            <v>0.21074100000000001</v>
          </cell>
        </row>
        <row r="46">
          <cell r="A46" t="str">
            <v>sbio-nipahgpg-051</v>
          </cell>
          <cell r="B46">
            <v>0</v>
          </cell>
          <cell r="C46">
            <v>2.4691000000000001E-2</v>
          </cell>
        </row>
        <row r="47">
          <cell r="A47" t="str">
            <v>sbio-nipahgpg-052</v>
          </cell>
          <cell r="B47">
            <v>0.38378699999999999</v>
          </cell>
          <cell r="C47">
            <v>0.49392399999999997</v>
          </cell>
        </row>
        <row r="48">
          <cell r="A48" t="str">
            <v>sbio-nipahgpg-053</v>
          </cell>
          <cell r="B48">
            <v>0</v>
          </cell>
          <cell r="C48">
            <v>1.9137000000000001E-2</v>
          </cell>
        </row>
        <row r="49">
          <cell r="A49" t="str">
            <v>sbio-nipahgpg-054</v>
          </cell>
          <cell r="B49">
            <v>0</v>
          </cell>
          <cell r="C49">
            <v>1.6077999999999999E-2</v>
          </cell>
        </row>
        <row r="50">
          <cell r="A50" t="str">
            <v>sbio-nipahgpg-055</v>
          </cell>
          <cell r="B50">
            <v>0</v>
          </cell>
          <cell r="C50">
            <v>5.6519999999999999E-3</v>
          </cell>
        </row>
        <row r="51">
          <cell r="A51" t="str">
            <v>sbio-nipahgpg-056</v>
          </cell>
          <cell r="B51">
            <v>0</v>
          </cell>
          <cell r="C51">
            <v>5.5129999999999997E-3</v>
          </cell>
        </row>
        <row r="52">
          <cell r="A52" t="str">
            <v>sbio-nipahgpg-057</v>
          </cell>
          <cell r="B52">
            <v>0.63849</v>
          </cell>
          <cell r="C52">
            <v>0.67738500000000001</v>
          </cell>
        </row>
        <row r="53">
          <cell r="A53" t="str">
            <v>sbio-nipahgpg-058</v>
          </cell>
          <cell r="B53">
            <v>3.9883000000000002E-2</v>
          </cell>
          <cell r="C53">
            <v>0.11426699999999999</v>
          </cell>
        </row>
        <row r="54">
          <cell r="A54" t="str">
            <v>sbio-nipahgpg-059</v>
          </cell>
          <cell r="B54">
            <v>0.26429200000000003</v>
          </cell>
          <cell r="C54">
            <v>0.37001499999999998</v>
          </cell>
        </row>
        <row r="55">
          <cell r="A55" t="str">
            <v>sbio-nipahgpg-060</v>
          </cell>
          <cell r="B55">
            <v>0</v>
          </cell>
          <cell r="C55">
            <v>7.3150000000000003E-3</v>
          </cell>
        </row>
        <row r="56">
          <cell r="A56" t="str">
            <v>sbio-nipahgpg-061</v>
          </cell>
          <cell r="B56">
            <v>0.15906799999999999</v>
          </cell>
          <cell r="C56">
            <v>0.268154</v>
          </cell>
        </row>
        <row r="57">
          <cell r="A57" t="str">
            <v>sbio-nipahgpg-062</v>
          </cell>
          <cell r="B57">
            <v>5.0899999999999999E-3</v>
          </cell>
          <cell r="C57">
            <v>5.1970000000000002E-2</v>
          </cell>
        </row>
        <row r="58">
          <cell r="A58" t="str">
            <v>sbio-nipahgpg-063</v>
          </cell>
          <cell r="B58">
            <v>0</v>
          </cell>
          <cell r="C58">
            <v>6.2989999999999999E-3</v>
          </cell>
        </row>
        <row r="59">
          <cell r="A59" t="str">
            <v>sbio-nipahgpg-064</v>
          </cell>
          <cell r="B59">
            <v>0</v>
          </cell>
          <cell r="C59">
            <v>5.1700000000000001E-3</v>
          </cell>
        </row>
        <row r="60">
          <cell r="A60" t="str">
            <v>sbio-nipahgpg-065</v>
          </cell>
          <cell r="B60">
            <v>0</v>
          </cell>
          <cell r="C60">
            <v>5.5830000000000003E-3</v>
          </cell>
        </row>
        <row r="61">
          <cell r="A61" t="str">
            <v>sbio-nipahgpg-066</v>
          </cell>
          <cell r="B61">
            <v>0</v>
          </cell>
          <cell r="C61">
            <v>5.169E-3</v>
          </cell>
        </row>
        <row r="62">
          <cell r="A62" t="str">
            <v>sbio-nipahgpg-067</v>
          </cell>
          <cell r="B62">
            <v>0</v>
          </cell>
          <cell r="C62">
            <v>5.385E-3</v>
          </cell>
        </row>
        <row r="63">
          <cell r="A63" t="str">
            <v>sbio-nipahgpg-068</v>
          </cell>
          <cell r="B63">
            <v>0</v>
          </cell>
          <cell r="C63">
            <v>0</v>
          </cell>
        </row>
        <row r="64">
          <cell r="A64" t="str">
            <v>sbio-nipahgpg-069</v>
          </cell>
          <cell r="B64">
            <v>5.1159999999999999E-3</v>
          </cell>
          <cell r="C64">
            <v>6.4093999999999998E-2</v>
          </cell>
        </row>
        <row r="65">
          <cell r="A65" t="str">
            <v>sbio-nipahgpg-070</v>
          </cell>
          <cell r="B65">
            <v>0</v>
          </cell>
          <cell r="C65">
            <v>5.4440000000000001E-3</v>
          </cell>
        </row>
        <row r="66">
          <cell r="A66" t="str">
            <v>sbio-nipahgpg-071</v>
          </cell>
          <cell r="B66">
            <v>0</v>
          </cell>
          <cell r="C66">
            <v>5.0159999999999996E-3</v>
          </cell>
        </row>
        <row r="67">
          <cell r="A67" t="str">
            <v>sbio-nipahgpg-072</v>
          </cell>
          <cell r="B67">
            <v>0</v>
          </cell>
          <cell r="C67">
            <v>3.0013000000000001E-2</v>
          </cell>
        </row>
        <row r="68">
          <cell r="A68" t="str">
            <v>sbio-nipahgpg-073</v>
          </cell>
          <cell r="B68">
            <v>0</v>
          </cell>
          <cell r="C68">
            <v>5.509E-3</v>
          </cell>
        </row>
        <row r="69">
          <cell r="A69" t="str">
            <v>sbio-nipahgpg-074</v>
          </cell>
          <cell r="B69">
            <v>0</v>
          </cell>
          <cell r="C69">
            <v>0</v>
          </cell>
        </row>
        <row r="70">
          <cell r="A70" t="str">
            <v>sbio-nipahgpg-075</v>
          </cell>
          <cell r="B70">
            <v>0.36516999999999999</v>
          </cell>
          <cell r="C70">
            <v>0.49659900000000001</v>
          </cell>
        </row>
        <row r="71">
          <cell r="A71" t="str">
            <v>sbio-nipahgpg-076</v>
          </cell>
          <cell r="B71">
            <v>0</v>
          </cell>
          <cell r="C71">
            <v>0</v>
          </cell>
        </row>
        <row r="72">
          <cell r="A72" t="str">
            <v>sbio-nipahgpg-077</v>
          </cell>
          <cell r="B72">
            <v>0.31373400000000001</v>
          </cell>
          <cell r="C72">
            <v>0.45195200000000002</v>
          </cell>
        </row>
        <row r="73">
          <cell r="A73" t="str">
            <v>sbio-nipahgpg-078</v>
          </cell>
          <cell r="B73">
            <v>0</v>
          </cell>
          <cell r="C73">
            <v>0</v>
          </cell>
        </row>
        <row r="74">
          <cell r="A74" t="str">
            <v>sbio-nipahgpg-079</v>
          </cell>
          <cell r="B74">
            <v>0.387965</v>
          </cell>
          <cell r="C74">
            <v>0.54476199999999997</v>
          </cell>
        </row>
        <row r="75">
          <cell r="A75" t="str">
            <v>sbio-nipahgpg-080</v>
          </cell>
          <cell r="B75">
            <v>0</v>
          </cell>
          <cell r="C75">
            <v>5.1640000000000002E-3</v>
          </cell>
        </row>
        <row r="76">
          <cell r="A76" t="str">
            <v>sbio-nipahgpg-081</v>
          </cell>
          <cell r="B76">
            <v>8.3640000000000006E-2</v>
          </cell>
          <cell r="C76">
            <v>0.13513700000000001</v>
          </cell>
        </row>
        <row r="77">
          <cell r="A77" t="str">
            <v>sbio-nipahgpg-082</v>
          </cell>
          <cell r="B77">
            <v>0.35263</v>
          </cell>
          <cell r="C77">
            <v>0.46911599999999998</v>
          </cell>
        </row>
        <row r="78">
          <cell r="A78" t="str">
            <v>sbio-nipahgpg-083</v>
          </cell>
          <cell r="B78">
            <v>0.39901900000000001</v>
          </cell>
          <cell r="C78">
            <v>0.51660399999999995</v>
          </cell>
        </row>
        <row r="79">
          <cell r="A79" t="str">
            <v>sbio-nipahgpg-084</v>
          </cell>
          <cell r="B79">
            <v>0</v>
          </cell>
          <cell r="C79">
            <v>5.4860000000000004E-3</v>
          </cell>
        </row>
        <row r="80">
          <cell r="A80" t="str">
            <v>sbio-nipahgpg-085</v>
          </cell>
          <cell r="B80">
            <v>0</v>
          </cell>
          <cell r="C80">
            <v>0</v>
          </cell>
        </row>
        <row r="81">
          <cell r="A81" t="str">
            <v>sbio-nipahgpg-086</v>
          </cell>
          <cell r="B81">
            <v>0.24510999999999999</v>
          </cell>
          <cell r="C81">
            <v>0.360954</v>
          </cell>
        </row>
        <row r="82">
          <cell r="A82" t="str">
            <v>sbio-nipahgpg-087</v>
          </cell>
          <cell r="B82">
            <v>0</v>
          </cell>
          <cell r="C82">
            <v>5.1929999999999997E-3</v>
          </cell>
        </row>
        <row r="83">
          <cell r="A83" t="str">
            <v>sbio-nipahgpg-088</v>
          </cell>
          <cell r="B83">
            <v>5.5250000000000004E-3</v>
          </cell>
          <cell r="C83">
            <v>4.4499999999999998E-2</v>
          </cell>
        </row>
        <row r="84">
          <cell r="A84" t="str">
            <v>sbio-nipahgpg-089</v>
          </cell>
          <cell r="B84">
            <v>5.2729999999999999E-3</v>
          </cell>
          <cell r="C84">
            <v>0.137435</v>
          </cell>
        </row>
        <row r="85">
          <cell r="A85" t="str">
            <v>sbio-nipahgpg-090</v>
          </cell>
          <cell r="B85">
            <v>0.19143199999999999</v>
          </cell>
          <cell r="C85">
            <v>0.33597900000000003</v>
          </cell>
        </row>
        <row r="86">
          <cell r="A86" t="str">
            <v>sbio-nipahgpg-091</v>
          </cell>
          <cell r="B86">
            <v>0.18263699999999999</v>
          </cell>
          <cell r="C86">
            <v>0.32111899999999999</v>
          </cell>
        </row>
        <row r="87">
          <cell r="A87" t="str">
            <v>sbio-nipahgpg-092</v>
          </cell>
          <cell r="B87">
            <v>0</v>
          </cell>
          <cell r="C87">
            <v>5.4879999999999998E-3</v>
          </cell>
        </row>
        <row r="88">
          <cell r="A88" t="str">
            <v>sbio-nipahgpg-093</v>
          </cell>
          <cell r="B88">
            <v>0.15790899999999999</v>
          </cell>
          <cell r="C88">
            <v>0.27579799999999999</v>
          </cell>
        </row>
        <row r="89">
          <cell r="A89" t="str">
            <v>sbio-nipahgpg-094</v>
          </cell>
          <cell r="B89">
            <v>0.46681299999999998</v>
          </cell>
          <cell r="C89">
            <v>0.57323199999999996</v>
          </cell>
        </row>
        <row r="90">
          <cell r="A90" t="str">
            <v>sbio-nipahgpg-095</v>
          </cell>
          <cell r="B90">
            <v>0.117975</v>
          </cell>
          <cell r="C90">
            <v>0.23105999999999999</v>
          </cell>
        </row>
        <row r="91">
          <cell r="A91" t="str">
            <v>sbio-nipahgpg-096</v>
          </cell>
          <cell r="B91">
            <v>0</v>
          </cell>
          <cell r="C91">
            <v>5.6280000000000002E-3</v>
          </cell>
        </row>
        <row r="92">
          <cell r="A92" t="str">
            <v>sbio-nipahgpg-097</v>
          </cell>
          <cell r="B92">
            <v>0</v>
          </cell>
          <cell r="C92">
            <v>5.5160000000000001E-3</v>
          </cell>
        </row>
        <row r="93">
          <cell r="A93" t="str">
            <v>sbio-nipahgpg-098</v>
          </cell>
          <cell r="B93">
            <v>0</v>
          </cell>
          <cell r="C93">
            <v>0</v>
          </cell>
        </row>
        <row r="94">
          <cell r="A94" t="str">
            <v>sbio-nipahgpg-099</v>
          </cell>
          <cell r="B94">
            <v>2.3158999999999999E-2</v>
          </cell>
          <cell r="C94">
            <v>0.107353</v>
          </cell>
        </row>
        <row r="95">
          <cell r="A95" t="str">
            <v>sbio-nipahgpg-100</v>
          </cell>
          <cell r="B95">
            <v>0.13461999999999999</v>
          </cell>
          <cell r="C95">
            <v>0.210697</v>
          </cell>
        </row>
        <row r="96">
          <cell r="A96" t="str">
            <v>sbio-nipahgpg-101</v>
          </cell>
          <cell r="B96">
            <v>0</v>
          </cell>
          <cell r="C96">
            <v>5.2370000000000003E-3</v>
          </cell>
        </row>
        <row r="97">
          <cell r="A97" t="str">
            <v>sbio-nipahgpg-102</v>
          </cell>
          <cell r="B97">
            <v>0.41967900000000002</v>
          </cell>
          <cell r="C97">
            <v>0.54871800000000004</v>
          </cell>
        </row>
        <row r="98">
          <cell r="A98" t="str">
            <v>sbio-nipahgpg-103</v>
          </cell>
          <cell r="B98">
            <v>5.2844000000000002E-2</v>
          </cell>
          <cell r="C98">
            <v>0.106228</v>
          </cell>
        </row>
        <row r="99">
          <cell r="A99" t="str">
            <v>sbio-nipahgpg-104</v>
          </cell>
          <cell r="B99">
            <v>0.20178599999999999</v>
          </cell>
          <cell r="C99">
            <v>0.31110399999999999</v>
          </cell>
        </row>
        <row r="100">
          <cell r="A100" t="str">
            <v>sbio-nipahgpg-105</v>
          </cell>
          <cell r="B100">
            <v>0</v>
          </cell>
          <cell r="C100">
            <v>4.8450000000000003E-3</v>
          </cell>
        </row>
        <row r="101">
          <cell r="A101" t="str">
            <v>sbio-nipahgpg-106</v>
          </cell>
          <cell r="B101">
            <v>0</v>
          </cell>
          <cell r="C101">
            <v>3.3703999999999998E-2</v>
          </cell>
        </row>
        <row r="102">
          <cell r="A102" t="str">
            <v>sbio-nipahgpg-107</v>
          </cell>
          <cell r="B102">
            <v>0</v>
          </cell>
          <cell r="C102">
            <v>4.9810000000000002E-3</v>
          </cell>
        </row>
        <row r="103">
          <cell r="A103" t="str">
            <v>sbio-nipahgpg-108</v>
          </cell>
          <cell r="B103">
            <v>0</v>
          </cell>
          <cell r="C103">
            <v>8.8760000000000002E-3</v>
          </cell>
        </row>
        <row r="104">
          <cell r="A104" t="str">
            <v>sbio-nipahgpg-109</v>
          </cell>
          <cell r="B104">
            <v>0.17435200000000001</v>
          </cell>
          <cell r="C104">
            <v>0.27768900000000002</v>
          </cell>
        </row>
        <row r="105">
          <cell r="A105" t="str">
            <v>sbio-nipahgpg-110</v>
          </cell>
          <cell r="B105">
            <v>5.156E-3</v>
          </cell>
          <cell r="C105">
            <v>5.5950000000000001E-3</v>
          </cell>
        </row>
        <row r="106">
          <cell r="A106" t="str">
            <v>sbio-nipahgpg-111</v>
          </cell>
          <cell r="B106">
            <v>0</v>
          </cell>
          <cell r="C106">
            <v>3.1406999999999997E-2</v>
          </cell>
        </row>
        <row r="107">
          <cell r="A107" t="str">
            <v>sbio-nipahgpg-112</v>
          </cell>
          <cell r="B107">
            <v>5.1370000000000001E-3</v>
          </cell>
          <cell r="C107">
            <v>3.1036000000000001E-2</v>
          </cell>
        </row>
        <row r="108">
          <cell r="A108" t="str">
            <v>sbio-nipahgpg-113</v>
          </cell>
          <cell r="B108">
            <v>0.21313499999999999</v>
          </cell>
          <cell r="C108">
            <v>0.346024</v>
          </cell>
        </row>
        <row r="109">
          <cell r="A109" t="str">
            <v>sbio-nipahgpg-114</v>
          </cell>
          <cell r="B109">
            <v>0</v>
          </cell>
          <cell r="C109">
            <v>0</v>
          </cell>
        </row>
        <row r="110">
          <cell r="A110" t="str">
            <v>sbio-nipahgpg-115</v>
          </cell>
          <cell r="B110">
            <v>0</v>
          </cell>
          <cell r="C110">
            <v>5.2859999999999999E-3</v>
          </cell>
        </row>
        <row r="111">
          <cell r="A111" t="str">
            <v>sbio-nipahgpg-116</v>
          </cell>
          <cell r="B111">
            <v>0</v>
          </cell>
          <cell r="C111">
            <v>0</v>
          </cell>
        </row>
        <row r="112">
          <cell r="A112" t="str">
            <v>sbio-nipahgpg-117</v>
          </cell>
          <cell r="B112">
            <v>0</v>
          </cell>
          <cell r="C112">
            <v>5.0179999999999999E-3</v>
          </cell>
        </row>
        <row r="113">
          <cell r="A113" t="str">
            <v>sbio-nipahgpg-118</v>
          </cell>
          <cell r="B113">
            <v>0.22622700000000001</v>
          </cell>
          <cell r="C113">
            <v>0.35278199999999998</v>
          </cell>
        </row>
        <row r="114">
          <cell r="A114" t="str">
            <v>sbio-nipahgpg-119</v>
          </cell>
          <cell r="B114">
            <v>0.328266</v>
          </cell>
          <cell r="C114">
            <v>0.44527299999999997</v>
          </cell>
        </row>
        <row r="115">
          <cell r="A115" t="str">
            <v>sbio-nipahgpg-120</v>
          </cell>
          <cell r="B115">
            <v>0.60797800000000002</v>
          </cell>
          <cell r="C115">
            <v>0.69888600000000001</v>
          </cell>
        </row>
        <row r="116">
          <cell r="A116" t="str">
            <v>sbio-nipahgpg-121</v>
          </cell>
          <cell r="B116">
            <v>0</v>
          </cell>
          <cell r="C116">
            <v>0</v>
          </cell>
        </row>
        <row r="117">
          <cell r="A117" t="str">
            <v>sbio-nipahgpg-122</v>
          </cell>
          <cell r="B117">
            <v>5.6439999999999997E-3</v>
          </cell>
          <cell r="C117">
            <v>3.739E-2</v>
          </cell>
        </row>
        <row r="118">
          <cell r="A118" t="str">
            <v>sbio-nipahgpg-123</v>
          </cell>
          <cell r="B118">
            <v>0</v>
          </cell>
          <cell r="C118">
            <v>0</v>
          </cell>
        </row>
        <row r="119">
          <cell r="A119" t="str">
            <v>sbio-nipahgpg-124</v>
          </cell>
          <cell r="B119">
            <v>0.106119</v>
          </cell>
          <cell r="C119">
            <v>0.18599299999999999</v>
          </cell>
        </row>
        <row r="120">
          <cell r="A120" t="str">
            <v>sbio-nipahgpg-125</v>
          </cell>
          <cell r="B120">
            <v>3.4564999999999999E-2</v>
          </cell>
          <cell r="C120">
            <v>0.12295</v>
          </cell>
        </row>
        <row r="121">
          <cell r="A121" t="str">
            <v>sbio-nipahgpg-126</v>
          </cell>
          <cell r="B121">
            <v>0</v>
          </cell>
          <cell r="C121">
            <v>5.4609999999999997E-3</v>
          </cell>
        </row>
        <row r="122">
          <cell r="A122" t="str">
            <v>sbio-nipahgpg-127</v>
          </cell>
          <cell r="B122">
            <v>0.23750499999999999</v>
          </cell>
          <cell r="C122">
            <v>0.31801499999999999</v>
          </cell>
        </row>
        <row r="123">
          <cell r="A123" t="str">
            <v>sbio-nipahgpg-128</v>
          </cell>
          <cell r="B123">
            <v>5.3889999999999997E-3</v>
          </cell>
          <cell r="C123">
            <v>6.0082999999999998E-2</v>
          </cell>
        </row>
        <row r="124">
          <cell r="A124" t="str">
            <v>sbio-nipahgpg-129</v>
          </cell>
          <cell r="B124">
            <v>4.8890000000000001E-3</v>
          </cell>
          <cell r="C124">
            <v>5.4359999999999999E-3</v>
          </cell>
        </row>
        <row r="125">
          <cell r="A125" t="str">
            <v>sbio-nipahgpg-130</v>
          </cell>
          <cell r="B125">
            <v>0.142682</v>
          </cell>
          <cell r="C125">
            <v>0.20318</v>
          </cell>
        </row>
        <row r="126">
          <cell r="A126" t="str">
            <v>sbio-nipahgpg-131</v>
          </cell>
          <cell r="B126">
            <v>0</v>
          </cell>
          <cell r="C126">
            <v>0</v>
          </cell>
        </row>
        <row r="127">
          <cell r="A127" t="str">
            <v>sbio-nipahgpg-132</v>
          </cell>
          <cell r="B127">
            <v>0</v>
          </cell>
          <cell r="C127">
            <v>0</v>
          </cell>
        </row>
        <row r="128">
          <cell r="A128" t="str">
            <v>sbio-nipahgpg-133</v>
          </cell>
          <cell r="B128">
            <v>0</v>
          </cell>
          <cell r="C128">
            <v>5.025E-3</v>
          </cell>
        </row>
        <row r="129">
          <cell r="A129" t="str">
            <v>sbio-nipahgpg-134</v>
          </cell>
          <cell r="B129">
            <v>0.172879</v>
          </cell>
          <cell r="C129">
            <v>0.23088800000000001</v>
          </cell>
        </row>
        <row r="130">
          <cell r="A130" t="str">
            <v>sbio-nipahgpg-135</v>
          </cell>
          <cell r="B130">
            <v>0.24937000000000001</v>
          </cell>
          <cell r="C130">
            <v>0.38214999999999999</v>
          </cell>
        </row>
        <row r="131">
          <cell r="A131" t="str">
            <v>sbio-nipahgpg-136</v>
          </cell>
          <cell r="B131">
            <v>0.41361399999999998</v>
          </cell>
          <cell r="C131">
            <v>0.52491299999999996</v>
          </cell>
        </row>
        <row r="132">
          <cell r="A132" t="str">
            <v>sbio-nipahgpg-137</v>
          </cell>
          <cell r="B132">
            <v>0</v>
          </cell>
          <cell r="C132">
            <v>2.4022000000000002E-2</v>
          </cell>
        </row>
        <row r="133">
          <cell r="A133" t="str">
            <v>sbio-nipahgpg-138</v>
          </cell>
          <cell r="B133">
            <v>0</v>
          </cell>
          <cell r="C133">
            <v>0</v>
          </cell>
        </row>
        <row r="134">
          <cell r="A134" t="str">
            <v>sbio-nipahgpg-139</v>
          </cell>
          <cell r="B134">
            <v>0</v>
          </cell>
          <cell r="C134">
            <v>0</v>
          </cell>
        </row>
        <row r="135">
          <cell r="A135" t="str">
            <v>sbio-nipahgpg-140</v>
          </cell>
          <cell r="B135">
            <v>0</v>
          </cell>
          <cell r="C135">
            <v>4.9649999999999998E-3</v>
          </cell>
        </row>
        <row r="136">
          <cell r="A136" t="str">
            <v>sbio-nipahgpg-141</v>
          </cell>
          <cell r="B136">
            <v>0</v>
          </cell>
          <cell r="C136">
            <v>5.1679999999999999E-3</v>
          </cell>
        </row>
        <row r="137">
          <cell r="A137" t="str">
            <v>sbio-nipahgpg-142</v>
          </cell>
          <cell r="B137">
            <v>0</v>
          </cell>
          <cell r="C137">
            <v>0</v>
          </cell>
        </row>
        <row r="138">
          <cell r="A138" t="str">
            <v>sbio-nipahgpg-143</v>
          </cell>
          <cell r="B138">
            <v>0.389683</v>
          </cell>
          <cell r="C138">
            <v>0.521339</v>
          </cell>
        </row>
        <row r="139">
          <cell r="A139" t="str">
            <v>sbio-nipahgpg-144</v>
          </cell>
          <cell r="B139">
            <v>0</v>
          </cell>
          <cell r="C139">
            <v>5.8060000000000004E-3</v>
          </cell>
        </row>
        <row r="140">
          <cell r="A140" t="str">
            <v>sbio-nipahgpg-145</v>
          </cell>
          <cell r="B140">
            <v>0</v>
          </cell>
          <cell r="C140">
            <v>0</v>
          </cell>
        </row>
        <row r="141">
          <cell r="A141" t="str">
            <v>sbio-nipahgpg-146</v>
          </cell>
          <cell r="B141">
            <v>0.15173700000000001</v>
          </cell>
          <cell r="C141">
            <v>0.19972799999999999</v>
          </cell>
        </row>
        <row r="142">
          <cell r="A142" t="str">
            <v>sbio-nipahgpg-147</v>
          </cell>
          <cell r="B142">
            <v>1.7468999999999998E-2</v>
          </cell>
          <cell r="C142">
            <v>0.11509999999999999</v>
          </cell>
        </row>
        <row r="143">
          <cell r="A143" t="str">
            <v>sbio-nipahgpg-148</v>
          </cell>
          <cell r="B143">
            <v>0</v>
          </cell>
          <cell r="C143">
            <v>0</v>
          </cell>
        </row>
        <row r="144">
          <cell r="A144" t="str">
            <v>sbio-nipahgpg-149</v>
          </cell>
          <cell r="B144">
            <v>0.15501300000000001</v>
          </cell>
          <cell r="C144">
            <v>0.228907</v>
          </cell>
        </row>
        <row r="145">
          <cell r="A145" t="str">
            <v>sbio-nipahgpg-150</v>
          </cell>
          <cell r="B145">
            <v>0</v>
          </cell>
          <cell r="C145">
            <v>4.8437000000000001E-2</v>
          </cell>
        </row>
        <row r="146">
          <cell r="A146" t="str">
            <v>sbio-nipahgpg-151</v>
          </cell>
          <cell r="B146">
            <v>0</v>
          </cell>
          <cell r="C146">
            <v>5.2909999999999997E-3</v>
          </cell>
        </row>
        <row r="147">
          <cell r="A147" t="str">
            <v>sbio-nipahgpg-152</v>
          </cell>
          <cell r="B147">
            <v>0</v>
          </cell>
          <cell r="C147">
            <v>5.3870000000000003E-3</v>
          </cell>
        </row>
        <row r="148">
          <cell r="A148" t="str">
            <v>sbio-nipahgpg-153</v>
          </cell>
          <cell r="B148">
            <v>0</v>
          </cell>
          <cell r="C148">
            <v>5.4920000000000004E-3</v>
          </cell>
        </row>
        <row r="149">
          <cell r="A149" t="str">
            <v>sbio-nipahgpg-154</v>
          </cell>
          <cell r="B149">
            <v>0.186805</v>
          </cell>
          <cell r="C149">
            <v>0.27035199999999998</v>
          </cell>
        </row>
        <row r="150">
          <cell r="A150" t="str">
            <v>sbio-nipahgpg-155</v>
          </cell>
          <cell r="B150">
            <v>0</v>
          </cell>
          <cell r="C150">
            <v>5.0740000000000004E-3</v>
          </cell>
        </row>
        <row r="151">
          <cell r="A151" t="str">
            <v>sbio-nipahgpg-156</v>
          </cell>
          <cell r="B151">
            <v>0.351827</v>
          </cell>
          <cell r="C151">
            <v>0.444826</v>
          </cell>
        </row>
        <row r="152">
          <cell r="A152" t="str">
            <v>sbio-nipahgpg-157</v>
          </cell>
          <cell r="B152">
            <v>0</v>
          </cell>
          <cell r="C152">
            <v>5.2769999999999996E-3</v>
          </cell>
        </row>
        <row r="153">
          <cell r="A153" t="str">
            <v>sbio-nipahgpg-158</v>
          </cell>
          <cell r="B153">
            <v>0</v>
          </cell>
          <cell r="C153">
            <v>3.4485000000000002E-2</v>
          </cell>
        </row>
        <row r="154">
          <cell r="A154" t="str">
            <v>sbio-nipahgpg-159</v>
          </cell>
          <cell r="B154">
            <v>0.198072</v>
          </cell>
          <cell r="C154">
            <v>0.198072</v>
          </cell>
        </row>
        <row r="155">
          <cell r="A155" t="str">
            <v>sbio-nipahgpg-160</v>
          </cell>
          <cell r="B155">
            <v>0.37940400000000002</v>
          </cell>
          <cell r="C155">
            <v>0.46918100000000001</v>
          </cell>
        </row>
      </sheetData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olby Ford" refreshedDate="45991.827188425923" createdVersion="8" refreshedVersion="8" minRefreshableVersion="3" recordCount="159" xr:uid="{C69715DE-2A16-4198-9FD9-FAE4F60B2265}">
  <cacheSource type="worksheet">
    <worksheetSource ref="A1:V2969" sheet="Antibody Candidates"/>
  </cacheSource>
  <cacheFields count="20">
    <cacheField name="antibody_id" numFmtId="0">
      <sharedItems containsBlank="1" count="159">
        <s v="sbio-nipahgpg-001"/>
        <s v="sbio-nipahgpg-002"/>
        <s v="sbio-nipahgpg-003"/>
        <s v="sbio-nipahgpg-004"/>
        <s v="sbio-nipahgpg-005"/>
        <s v="sbio-nipahgpg-008"/>
        <s v="sbio-nipahgpg-009"/>
        <s v="sbio-nipahgpg-010"/>
        <s v="sbio-nipahgpg-011"/>
        <s v="sbio-nipahgpg-012"/>
        <s v="sbio-nipahgpg-013"/>
        <s v="sbio-nipahgpg-014"/>
        <s v="sbio-nipahgpg-015"/>
        <s v="sbio-nipahgpg-016"/>
        <s v="sbio-nipahgpg-017"/>
        <s v="sbio-nipahgpg-018"/>
        <s v="sbio-nipahgpg-019"/>
        <s v="sbio-nipahgpg-020"/>
        <s v="sbio-nipahgpg-021"/>
        <s v="sbio-nipahgpg-022"/>
        <s v="sbio-nipahgpg-023"/>
        <s v="sbio-nipahgpg-024"/>
        <s v="sbio-nipahgpg-025"/>
        <s v="sbio-nipahgpg-026"/>
        <s v="sbio-nipahgpg-027"/>
        <s v="sbio-nipahgpg-028"/>
        <s v="sbio-nipahgpg-029"/>
        <s v="sbio-nipahgpg-030"/>
        <s v="sbio-nipahgpg-031"/>
        <s v="sbio-nipahgpg-032"/>
        <s v="sbio-nipahgpg-033"/>
        <s v="sbio-nipahgpg-034"/>
        <s v="sbio-nipahgpg-035"/>
        <s v="sbio-nipahgpg-036"/>
        <s v="sbio-nipahgpg-037"/>
        <s v="sbio-nipahgpg-038"/>
        <s v="sbio-nipahgpg-039"/>
        <s v="sbio-nipahgpg-040"/>
        <s v="sbio-nipahgpg-041"/>
        <s v="sbio-nipahgpg-042"/>
        <s v="sbio-nipahgpg-043"/>
        <s v="sbio-nipahgpg-044"/>
        <s v="sbio-nipahgpg-045"/>
        <s v="sbio-nipahgpg-046"/>
        <s v="sbio-nipahgpg-047"/>
        <s v="sbio-nipahgpg-048"/>
        <s v="sbio-nipahgpg-049"/>
        <s v="sbio-nipahgpg-050"/>
        <s v="sbio-nipahgpg-051"/>
        <s v="sbio-nipahgpg-052"/>
        <s v="sbio-nipahgpg-053"/>
        <s v="sbio-nipahgpg-054"/>
        <s v="sbio-nipahgpg-055"/>
        <s v="sbio-nipahgpg-056"/>
        <s v="sbio-nipahgpg-057"/>
        <s v="sbio-nipahgpg-058"/>
        <s v="sbio-nipahgpg-059"/>
        <s v="sbio-nipahgpg-060"/>
        <s v="sbio-nipahgpg-061"/>
        <s v="sbio-nipahgpg-062"/>
        <s v="sbio-nipahgpg-063"/>
        <s v="sbio-nipahgpg-064"/>
        <s v="sbio-nipahgpg-065"/>
        <s v="sbio-nipahgpg-066"/>
        <s v="sbio-nipahgpg-067"/>
        <s v="sbio-nipahgpg-068"/>
        <s v="sbio-nipahgpg-069"/>
        <s v="sbio-nipahgpg-070"/>
        <s v="sbio-nipahgpg-071"/>
        <s v="sbio-nipahgpg-072"/>
        <s v="sbio-nipahgpg-073"/>
        <s v="sbio-nipahgpg-074"/>
        <s v="sbio-nipahgpg-075"/>
        <s v="sbio-nipahgpg-076"/>
        <s v="sbio-nipahgpg-077"/>
        <s v="sbio-nipahgpg-078"/>
        <s v="sbio-nipahgpg-079"/>
        <s v="sbio-nipahgpg-080"/>
        <s v="sbio-nipahgpg-081"/>
        <s v="sbio-nipahgpg-082"/>
        <s v="sbio-nipahgpg-083"/>
        <s v="sbio-nipahgpg-084"/>
        <s v="sbio-nipahgpg-085"/>
        <s v="sbio-nipahgpg-086"/>
        <s v="sbio-nipahgpg-087"/>
        <s v="sbio-nipahgpg-088"/>
        <s v="sbio-nipahgpg-089"/>
        <s v="sbio-nipahgpg-090"/>
        <s v="sbio-nipahgpg-091"/>
        <s v="sbio-nipahgpg-092"/>
        <s v="sbio-nipahgpg-093"/>
        <s v="sbio-nipahgpg-094"/>
        <s v="sbio-nipahgpg-095"/>
        <s v="sbio-nipahgpg-096"/>
        <s v="sbio-nipahgpg-097"/>
        <s v="sbio-nipahgpg-098"/>
        <s v="sbio-nipahgpg-099"/>
        <s v="sbio-nipahgpg-100"/>
        <s v="sbio-nipahgpg-101"/>
        <s v="sbio-nipahgpg-102"/>
        <s v="sbio-nipahgpg-103"/>
        <s v="sbio-nipahgpg-104"/>
        <s v="sbio-nipahgpg-105"/>
        <s v="sbio-nipahgpg-106"/>
        <s v="sbio-nipahgpg-107"/>
        <s v="sbio-nipahgpg-108"/>
        <s v="sbio-nipahgpg-109"/>
        <s v="sbio-nipahgpg-110"/>
        <s v="sbio-nipahgpg-111"/>
        <s v="sbio-nipahgpg-112"/>
        <s v="sbio-nipahgpg-113"/>
        <s v="sbio-nipahgpg-114"/>
        <s v="sbio-nipahgpg-115"/>
        <s v="sbio-nipahgpg-116"/>
        <s v="sbio-nipahgpg-117"/>
        <s v="sbio-nipahgpg-118"/>
        <s v="sbio-nipahgpg-119"/>
        <s v="sbio-nipahgpg-120"/>
        <s v="sbio-nipahgpg-121"/>
        <s v="sbio-nipahgpg-122"/>
        <s v="sbio-nipahgpg-123"/>
        <s v="sbio-nipahgpg-124"/>
        <s v="sbio-nipahgpg-125"/>
        <s v="sbio-nipahgpg-126"/>
        <s v="sbio-nipahgpg-127"/>
        <s v="sbio-nipahgpg-128"/>
        <s v="sbio-nipahgpg-129"/>
        <s v="sbio-nipahgpg-130"/>
        <s v="sbio-nipahgpg-131"/>
        <s v="sbio-nipahgpg-132"/>
        <s v="sbio-nipahgpg-133"/>
        <s v="sbio-nipahgpg-134"/>
        <s v="sbio-nipahgpg-135"/>
        <s v="sbio-nipahgpg-136"/>
        <s v="sbio-nipahgpg-137"/>
        <s v="sbio-nipahgpg-138"/>
        <s v="sbio-nipahgpg-139"/>
        <s v="sbio-nipahgpg-140"/>
        <s v="sbio-nipahgpg-141"/>
        <s v="sbio-nipahgpg-142"/>
        <s v="sbio-nipahgpg-143"/>
        <s v="sbio-nipahgpg-144"/>
        <s v="sbio-nipahgpg-145"/>
        <s v="sbio-nipahgpg-146"/>
        <s v="sbio-nipahgpg-147"/>
        <s v="sbio-nipahgpg-148"/>
        <s v="sbio-nipahgpg-149"/>
        <s v="sbio-nipahgpg-150"/>
        <s v="sbio-nipahgpg-151"/>
        <s v="sbio-nipahgpg-152"/>
        <s v="sbio-nipahgpg-153"/>
        <s v="sbio-nipahgpg-154"/>
        <s v="sbio-nipahgpg-155"/>
        <s v="sbio-nipahgpg-156"/>
        <s v="sbio-nipahgpg-157"/>
        <s v="sbio-nipahgpg-158"/>
        <s v="sbio-nipahgpg-159"/>
        <s v="sbio-nipahgpg-160"/>
        <m/>
      </sharedItems>
    </cacheField>
    <cacheField name="method" numFmtId="0">
      <sharedItems containsBlank="1"/>
    </cacheField>
    <cacheField name="model_version" numFmtId="0">
      <sharedItems containsBlank="1" count="11">
        <s v="peleke-phi-4"/>
        <s v="Qwen3-235B-A22B-Instruct-2507"/>
        <s v="peleke-phi-4 / v_48_020"/>
        <s v="peleke-phi-4 / v_48_030"/>
        <s v="v_48_020"/>
        <s v="peleke-mistral-7b-instruct-v0.2"/>
        <s v="GPT-4o"/>
        <s v="GPT-4o /  v_48_030"/>
        <s v="peleke-phi-4 (humanized)"/>
        <s v="peleke-phi-4 / 000"/>
        <m/>
      </sharedItems>
    </cacheField>
    <cacheField name="temperature" numFmtId="0">
      <sharedItems containsString="0" containsBlank="1" containsNumber="1" minValue="0.1" maxValue="0.9"/>
    </cacheField>
    <cacheField name="type" numFmtId="0">
      <sharedItems containsBlank="1"/>
    </cacheField>
    <cacheField name="parent_antibody_id" numFmtId="0">
      <sharedItems containsBlank="1"/>
    </cacheField>
    <cacheField name="antigen_id" numFmtId="0">
      <sharedItems containsBlank="1"/>
    </cacheField>
    <cacheField name="note_ids" numFmtId="0">
      <sharedItems containsString="0" containsBlank="1" containsNumber="1" containsInteger="1" minValue="1" maxValue="4"/>
    </cacheField>
    <cacheField name="h_chain" numFmtId="0">
      <sharedItems containsBlank="1"/>
    </cacheField>
    <cacheField name="l_chain" numFmtId="0">
      <sharedItems containsBlank="1"/>
    </cacheField>
    <cacheField name="test_chotia_pass" numFmtId="0">
      <sharedItems containsBlank="1"/>
    </cacheField>
    <cacheField name="linker_seq" numFmtId="0">
      <sharedItems containsBlank="1"/>
    </cacheField>
    <cacheField name="franken_chain" numFmtId="0">
      <sharedItems containsBlank="1" count="158">
        <s v="QVQLVESGGGVVQPGRSLRLSCAASGFTFSSYGMHWVRQAPGKGLEWVAVISYDGSKKYYADSVKGRFTISRDNSKNTLYLQMNSLRAEDTAVYYCARSPFYDSSGYYAMDYWGQGTLVTVSSGGGSGGGSGGGSGGGSDIQLTQSPSSLSASVGDRVTITCRASQGISSYLAWYQQKPGKAPKLLIYAASTLQSGVPSRFSGSGSGTDFTLTISSLQPEDFATYYCQQANSFPPTFGQGTKVEIK"/>
        <s v="QVQLVESGGGVVQPGKSLRLSCAASGFTFSSYAMSWVRQAPGKGPEWVAFISYDGSNNYYADSVKGRFTISRDNPKNTLYLQMKSLRAEDTAVYYCARWRQRFDMYWGRGTLVTVSSGGGSGGGSGGGSGGGSDIQMTQSPSSLSASVGDRVTITCRASQSISSYLNWYQQKPGKAPKLLIYAASSLQSGVPSRFSGSGSGTDFTLTISSLQPEDFATYYCQQSYSTPYTFGQGTKVEIK"/>
        <s v="QVQLQESGPGLVKPSETLSLTCTVSGASIRGYYWSWIRQFPGKELEWIGYVYSGSTENYNPSLKSRVTVTLTDTKNSFSLKLNSVTSEDTAVYYCARGGALIYYDVWGTGTTVTVSSGGGSGGGSGGGSGGGSDIQVTQSPVSLSASVGDRVTITCRASQGIDSLNWFQQRPGKAPKLLIYAASQLTGIAPRFRSGSGSGTDFTLTISSLQPEDFATYYCQQYNIYPATFGQGTKVEIK"/>
        <s v="EVQLVQSGAEVKKPGESLKISCKGSGYTFSYYWIGWVRQMPGKGLEWMGIIYPGDSDTRYSPSFQGQVTISADKSISTAYLQWSSLKASDTAMYYCARGEGVFDYWGQGTLVTVSSGGGSGGGSGGGSGGGSYTLTQAPSVSASGQSVTISCTGTSRDVGTYWYQQIPGRAPKLLIHDKSENQGKTPGIPDRFSGSKSGNTASLVIIRGLQADDEADYYCNSYHGSGSNIFGGGTKLTVD"/>
        <s v="EVQLVESGGGLVQPGGSLRLSCAASGFTFSSYWMNWVRQAPGKGLEWVANINQDGGEKYYVDSVKGRFTISRDNAKNSLYLQMNSLRAEDTAIYYCARDVGGGMDVWGQGTTVTVSSGGGSGGGSGGGSGGGSQMTQSPSSLSASVGDRVTITCRASQSVSSAVAWYQQKPGKAPKLLIYSASSLYSGVPSRFSGSRSGTDFTLTISSLQPEDFATYYCQQSSSSLITFGQGTKVEIK"/>
        <s v="QVQLVESGGGVVQPGRSLRLSCAASGFTFSSYAMSWVRQAPGKGLEWVSAIWSNGGSTYYADSVKGRFTISRDNAKNSLYLQMNSLRAEDTAVYYCARDYGSYGYFDYWGQGTLVTVSSGGGSGGGSGGGSGGGSDIVMTQSPLSLPVTPGEPASISCRSSQSLLYSNGNTYLEWYLQKPGQSPQLLIYLVSKLDSGVPDRFSGSGSGTDFTLKISRVEAEDLGIYYCQQSKEVPYTFGAGTKLEIK"/>
        <s v="AVSLVESGGGTVKPGESVTLSCQASGFNFSKYQWVWVRQAPGKGLEWVGQISPDGSKTRYHPSVAGRFTISRDNSNSTLYLHMSNLRPEDTAVYYCGIIPQDNVHGDYSISHWGQGTLLTVSAGGGSGGGSGGGSGGGSAIKLTQSPKSLSASVGDTVTINCTASRPIGDLLSWYKQKPGKPPQLLIYRSSTLASGVSSRYSGSGSDTNFTLTISSLQSSDFATYYCRQTSRFPITFGEGTTINKK"/>
        <s v="AVSITESGGGTKAPGSSVTLSCKVSGFVFSKYSIAWVRQAPGQGLEWVSQISPDGSTTRYNPAVAGRFTISRDNSNSTAYLQMSNLTPSDTATYYCAIIPQDNEHGDYSLSHWGQGTQLTVSAGGGSGGGSGGGSGGGSAIKLTQSPKSLSAKVGDTVTINCTASAPIGDFLSWYKQKPGQPPQLLIYKSSTLAPGVSSRYSGSGSDTNFTLTISSLQEEDFATYYCQQTATLPITFGEGTTINKK"/>
        <s v="SISLVESGGGTVAPGSSVTLSCQASGFNFSKYSKAWVRQPPGQPLEWVSRISPDGSTKYYHPDVAGRFTISKDNSKSTVYLAMSNLTAADTATYYCGIIPGDNTHGDYAMSHWGQGTLLTVSAGGGSGGGSGGGSGGGSAITLTQSPSSLSASVGDTVTISCTASRPIGDKLSWYKQKPGQPPQLLIYNASTLAPGVSSRYSGSGSDTSFTLTISSLQEDDFATYYCQQTYTLPITFGQGTTISKK"/>
        <s v="GVSLTESGGGTVAPGSSVTLSCKASGFNFSKYSHAWVRQAPGQGLTWVGEISPDGSKTRYASSVAGRFTISRDNSNSTVYLQMSSLTPSDTATYYCGIIPGDSVHGERSMSHWGQGTLLTVSAGGGSGGGSGGGSGGGSAITLTQSPSSLSASVGDTVTLNCTASRPIGDRLSWYKQKPGQAPQLLIYRASTLAPGVSSRYSGSGSDTQFTLTISSLQSDDFATYYCQQTSSYPVTFGQGTTITKK"/>
        <s v="EVSLVESGGGTVKPGESVTLSCQASGFNFSKYRLAWVRQPPGQGLVWVSEISPDGTEVKYHPDVKGRFTASRDNSNSTAYLKMNNLQPSDTATYYCGIIPQDSSHGDYSISHWGQGTQLTVSAGGGSGGGSGGGSGGGSTITLTQSPSSLSASVGDTVTINCTASRPIGDFLSWYKQKPGQPPQLLIYRSSTLASGVSSRYSGSGSDTNFTLTISSLQSDDFATYYCQQTYTLPITFGQGTTLTKK "/>
        <s v="AVSLVESGGGTYAPGSSVTLSCQGSGFNFSKVRKVWVRQPPGGPLEYVAEISPDGSTTTYASSVAGRFTISKDNSNSTLYLSMSNLTPADTATYYCGLIPGDSEHGDRSISHWGQGTLVTVSAGGGSGGGSGGGSGGGSAITLTQSPSSLSASVGDTVTINCTASQPIGNFLSWYKQKPGQPPQLLIYNASTLAPGVSSRYSGSGSDTNFTLTISSLQSEDFATYYCQQTSRLPVTFGQGTTINKK"/>
        <s v="GISLVESGGGTVKPGESVTLSCKASGFVFSKYSHAWVRQPPGGPLEWVSQISSDGSVTRYASSVSGRFTISRDNSNSTVYLQMNNLRPSDTATYYCGIIPQDNVHGDYAISHWGQGTLLTVTAGGGSGGGSGGGSGGGSAITLTQSPASLSAKVGDTVTLSCTASRPIGDLLSWYKQKPGQPPQLLIYRASTLAPGVDSRYSGSGSDTSFTLTISSLQPEDFATYYCQQTSRFPITFGQGTTIKQA"/>
        <s v="PVSLVESGGGTVAPGSSVTLTCQASGFNFSKYIVAWVRQPPGQPLRFVAMITPDGSKVWLHPEVEGRFTPSKDNSKNTSYLQLKDLQPEDTATYYCGIIPQGSTHGDYSITHWGQGVVLTVTAGGGSGGGSGGGSGGGSMVTLTQSPSSLSASVGDTVTITCTASSPVDNLMSWYQQPPGQPLRLLIYNASTRAPGVSSRFSGSGSDTNFTLTISSLQASDFATYYCQQTYRLPVTFGQGTTLSAA "/>
        <s v="SIKLTESGGGTVKPGSSVTLSCQASGFNFSKYEVVWVMQKPGQPLQWVGSISPDGSKVRLHPKVKGRFTLSKDNSKNTAYLTMKNLQPEDTATYYCGIIPGGSVHGDRSITHWGQGVELKVVAGGGSGGGSGGGSGGGSMIKLTQSPKSVKAKVGDTVTITCTASEPVDDLVSWYQQKPGQPLRLLIYRSSTLAPGVSSRFSGSGSDTNFTLTISSLQEEDFATYYCMQTSKYPYTFGQGTTLSRA"/>
        <s v="AITLTESGGGVVAPGSSVTLTCTASGFNFSKYSMVWVRQPPGGPLQWVAQISPDNSTVRYHPAVEGRFTASKDNSKNTAYLAMSDLEPSDTATYYCGIIPQGSTHNDYSIVHWGQGTELRVVAGGGSGGGSGGGSGGGSMIKLTQSPSSLSAKVGDKVTITCTASSPVDNLVSWYKQPPGGPLQLLIYNSSTRAPGVSSRFKGSGSDTNFTLTIESLQEEDFATYYCQQTYKFPITFGQGTKLTRA"/>
        <s v="SISLTESGGGTVAPGSSVTLTCTASGFNFSKYSVAWVRQPPGQPLQWVALISPDGSKKWYHPDVKGRATISKDNSKNTSYLTLSNLQPSDTATYYCGIIPGGNIHGDYSMTHWGQGTQLTVVAGGGSGGGSGGGSGGGSMITLTQSPLSLSAKVGDTVTITCTASSPVDDLVSWYQQKPGQPLRLLIRNASERAPGVSSRFSGSGSDTTFTLTISSVQEEDFATYYCQQTSKLPYTFGQGTTLSRA"/>
        <s v="AVTLTESGGGTVAPGSSVTLTCTASGFNFSKYILAWVRQAPGQPLEWVASISPDGSKTRYHPAVKGRATASKDNSKNTAYLELKDLRPEDTATYYCGIIPQGSVHGDYSMTHWGQGTELRVEAGGGSGGGSGGGSGGGSPVVLTQSPLSLSAKVGDTVTITCTASSPVDNLVSWYKQAPGQPLQLLIYNATTRAPGVPSRFTGSGSDTTFTLTISSLQPEDFAVYYCQQTYKFPITFGQGTRLTPA"/>
        <s v="PVKLVESGGGTVAPGSSVTLTCKASGFNFSKYMVQWVRQAPGGAFQWVGLISPDGSTKWYHPDVEGRFTISKDNSKNTAYLEMRNLTPADTAVYYCGIVPQGSVHGDYSITHWGQGVTLTVTAGGGSGGGSGGGSGGGSVVQLTQSPPELSAKVGEKVTITCTASSPVDNLVSWYQQKPGGAPKLLIYNATTLAPGVPSRFSGSGSDTVFTLTIDSLQAEDFATYYCQQTSRLPFTFGQGTVLRPA"/>
        <s v="AIKLTESGGGTVKPGSSVTLTCQASGFNFSKYIMAWVRQAPGQPLQWVAQISPDNSVKRYHPEVEGRFTASKDNSKNTAYLEMKNLTPADTATYYCAIIPQGSTQGDYSMVHWGQGVELKVVAGGGSGGGSGGGSGGGSPVVLTQSPASLKAAVGDTVTITCTASAPVDNLVSWYKQAPGQPPQLLIYNASTLAPGVPSRFTGSGSDTSFTLTISSLQEEDFATYYCQETSKFPITFGQGTKLEKK"/>
        <s v="SIKLTESGGGVVAPGESVTLTCTASGFNFSKYEMAWVRQAPGGPLEFVAVISPDGSTTRYHPRVEGRATISRDNSKNTAYLTLRDLTPADTAVYYCGIIPGGSVHGDRALSHWGQGVRLEVRAGGGSGGGSGGGSGGGSMVTLTQSPSSLSAKVGDKVTISCTASEPVDDLVSWYKQAPGGPPQLLISRASTRAPGVPSRFSGSGSDTNFTLTIESLQSSDFATYYCQQTYKFPDTFGQGTTLSEA"/>
        <s v="SVTLVESGDQTVAPGGSVTLSCTSSGGSFGNSGVSWVKQQPGGPLQWIGGIIPSLGISKVSPEYAGRVTISSDSSNNTAYLTISNLTAADTATYYCALGEGEDVFASSPFASNVNLGALSVWGQGTKVTVSGGGSGGGSGGGSITVTQSPSSPSLKVGETATLTCTLSAPVPRSNVAWYKQQPGQPPTLLIYGGSTRAPGVPSRYSGSGSGTTFTLTITALKPEDFATYYCQVYGENPSFGQGTTLKLK "/>
        <s v="GVKLVQSGDLTVKPGGSVTLSCKSEGGSFGNSSVAWVRQRPGGPYEYIGSIIPAYGVSRVSPEYEGRVTISADVANNTAYLTISNLTPEDTATYYCALGPGEVVYAASPFDEKLLTGALSVWGEGTLVTVTGGGSGGGSGGGSITVTQSPSSPSLSVGDTATLTCTLSSSVATSNVAWYKQLPGQPPELLISGGSTRAPGVPSRYSGSGSGTTFTLTISSLQASDFATYYCQVYGENPSFGQGTTLTLK"/>
        <s v="AVKLVQSGDQTVAPGGSVTLSCTSSGGSFGNSSVAWVRQRPGGPFEFIGSIIPSLGISRYNSKYKGRVTISSDAANNTAYLTISNLTAADTATYYCALGPGESVFASHPFKEKLLTGALSVWGEGTLVTVSGGGSGGGSGGGSITVTQSPSSPSKSVGDTVTLTCTLSSSVPVSQVAWYKQHPGQPPELLIYGGSTRASGVPSRYSGSGSGTTFTLTISSLQPEDFATYYCQVYGEEPSFGQGTTVTLA"/>
        <s v="SITLVQSGDVTVAPGGSVTLTCTSSGGSFGNKAVAWVRQRPGGPYEWLGFIIPAYGVSRYNPAYEGRVTISVDSASNTASLTISNLTAADTATYYCALGEGEIVYAASPFDENYKLGALYIWGQGTKVTVSGGGSGGGSGGGSITLTQSPSSPSLSVGETATLTCTASAPVPKSNVAWYKQLPGQPPELLIYGGSTRASGVPSRYSGSGSGTTFTLTISSLTADDFATYYCQVYGENPSFGEGTTLTLK"/>
        <s v="SVTLVQSGDQTVPIGGSVTLSCTANGGSFGNKGVAWVRQRPGGPYEFLGFIKPAIGESRYHPKYKGRVTISSDVSSNTAYLTISNLTPEDTAVYYCALGEAEDVFAAHPFKTDLLLGALSIWGQGTRVTVTGGGSGGGSGGGSITVTQSPSSPSLSVGETAVLTCTLSQPVPQSQVAWYKQLPGQPPTLLISGGSTRASGVPSRYSGSGSGTTFTLTISSLLPEDFATYYCQVVGKEPSFGQGTTLTLK"/>
        <s v="SVKLVQSGDQTVPVGGSVTLSCTASGGSFGNYGVAWVRQRPGGPLEYIGSIIPAYGISTVNPKYEGRVTISADPTNNTAYLTISNLTPEDTATYYCALGPGEVVFASSPFDIDVLTGALWVWGEGTKVTVTGGGSGGGSGGGSITVTQSPSSPSLKVGETATLTCTLSAPVAKSNVAWYKQLPGQPPELLIYGGSTRASGVPSRYSGSGSGTTFTLTISSLQPEDFATYYCQVVGKNPSFGQGTLLKLK"/>
        <s v="SISLVQSSDQTVAPGGSVTLSCTSSGGSFGNSGVAWVRQAPGGPPVYIGGIIPATGVSTYNAAFKGRVTISSDSSNNTAYLTISGLTAADTATYYCALGPAENVFASHPFAEDVNLGALSVWGQGTLVTVTGGGSGGGSGGGSITVTESPSSPELSVGETAVLSCTLSSSVPQSNVAWYKQKPGQPPELLIYGGSTRASGVPSRYSGSGSGTTFYLTISSLEPEDFATYYCQVYGTSPSFGQGTTLKLK"/>
        <s v="AVSLVESGDQTVAPGGSVTLSCTSSGGSFGNSGVAWVRQAPGGPLEFLGFIIPALGVSKVNSKYEGRVTISSDPANNTAYLTISNLTAADTATYYCGLGTGESVFASSPFDEKLLLGALSVWGQGTKVTVTGGGSGGGSGGGSITVTQSPASPEKKVGETATLTCTLSSAVPKSNVAWYKQKPGQPPELLIYGGSTRASGVPSRYSGSGSGTTFYLTISSLQPEDFATYYCRVYGEEPSFGQGTTLKLK"/>
        <s v="VQLQESGPGLVKPSQSLSLTCTVTGYSITTGYAWNWIRQFPGNKLEWMGYISYSGSTYYPSLKSRISITRDTSKNQFFLQLSIVTTEDTATYYCARGTTLPDYVDFWGQGTSVTVSSGGGSGGGSGGGSGGGSDIQLTQSPSSLSASVGDRVTITCRASQTISTYLNWYQQKPGKAPKLLIYAASTLQSGVPSRFSGSGSGTDFTLTISSLQPEDFATYFCLQHFWTPPITFGQGTRLEIK"/>
        <s v="QVQLQESGPGLVKPSETLSVTCTVSGGSIGSNNYWSWIRQPAGKGLEWIGYIYYSGSTNYNPSLKSRVTMSVDTSKNQFSLKLSSVTAADTAVYYCVRNYYDSSDSSGYYFMDVWGQGTTVTVSSGGGSGGGSGGGSDIVMTQSPLSLSVTPGEPASISCRSSQSLLHSNGYNYLDWYLQKPGQSPQLLIYLGSNRASGVPDRFSGSGSGTDFTLKISRVEAEDVGVYYCMQALQTPTFGQGTRLEIK"/>
        <s v="QVQLVQSGAEVKKPGESLKISCKGSGYRFSSYWIGWVRQMPGKGLEWMGIIYPGDSDTRYSPSFQGQVTISADKSISTAYLQWSSLKASDTAMYYCARQGPDYYYGMDVWGQGTTVTVSSGGGSGGGSGGGSGGGSDIQMTQSPSTLSASVGDRVTITCRASQSISSWLAWYQQKPGKAPKLLIYKASELQSGVPSRFSGSGSGTEFTLTISSLQPDDFATYYCQQYINSYTFGQGTKVEIK"/>
        <s v="QVQLQQSGPELVKPGASVKLSCKASGYTFTDYYMHWVKQRPGQGLEWIGEINPNSGGTNTYDQKFKGRATLTVDKSSSTAYLQLSSLTSEDSAVYYCARSPPWYFDYWGQGTTLTVSGGGSGGGSGGGSGGGSDIVMTQSPSSMFASVGETVTITCRASENIYSNLAWYQQKPGQSPKLLIYWASTRHTGVPDRFTGSGSGTDFTLTISSVQAEDLALYYCQHYGSYSFTFGSGTKLEIK"/>
        <s v="EVQLVESGGGLVQPGGSLRLSCAASGFNVSYSSIHWVRQAPGKGLEWVASISSYYGYTYYADSVKGRFTISADTSKNTAYLQMNSLRAEDTAVYYCARSRNYVYSSGYLDFWGQGTLVTVSSGGGSGGGSGGGSGGGSDIQMTQSPSSLSASVGDRVTITCRASQSVSSAVAWYQQKPGKAPKLLIYSASSLYSGVPSRFSGSRSGTDFTLTISSLQPEDFATYYCQQSSYSSPPTFGQGTKVEIK"/>
        <s v="EVQLVESGGGLVQPGGSLRLSCAASGFNIYYSSIHWVRQAPGKGLEWVASISPYYGSTSYADSVKGRFTISADTSKNTAYLQMNSLRAEDTAVYYCARDYGHYYYAMDYWGQGTLVTVSSGGGSGGGSGGGSGGGSEIVMTQSPATLSVSPGERATLSCRASQSVSSYLAWYQQKPGQAPRLLIYGASTRATGIPARFSGSGSGTEFTLTISSLQSEDSAVYYCQQYNNWPPITFGQGTRLEIK"/>
        <s v="QVQLQESGPGLVKPSETLSLSCVVSGDSSSTNYYWGWIRQPPGKGLEWIGYIYGSGDTAYNPSLKSRVTISVDTSKNQFSLKLSSVTAADTAVYYCARRSWGYGYNGYSTYYYYYYFDQGYFDVWGPGTLVTGGGSGGGSGGGSDIQMTQSPSSLSASVGDRVTITCRASQSIGSYLNWYQQKPGKAPKLLIYAASTLQSGVPSRFSGSGSGTEFTLTISSLQPEDFATYYCQQSYSWGQGTKVEIK"/>
        <s v="QVQLVQSGAEVKKPGASVKVSCKASGYTFTSYGISWVRQAPGQGLEWMGWISAHNGDTNYAQKFQGRVTMTRDTSITTAYMELRSDDTAVYYCARDGSVGGFYWGQGTLVTVSSGGGSGGGSGGGSGGGSEIVLTQSPGTLSLSPGERATLSCRASQSVSSYLAWYQQKPGQAPRLLIYGASSRATGIPDRFSGSGSGTDFTLTISRLEPEDFAVYYCQQYGSSPITFGQGTRLEIK"/>
        <s v="EVQLLESGGGLVQPGGSLRLSCAASGFNVSYSSIHWVRQAPGKGLEWVASISPYYGSTSYADSVKGRFTISADTSKNTAYLQMNSLRAEDTAVYYCARSYYWYWSGWGTLVTVSSGGGSGGGSGGGSGGGSDIQMTQSPSSLSASVGDRVTITCRASQSVSSAVAWYQQKPGKAPKLLIYSASSLYSGVPSRFSGSRSGTDFTLTISSLQPEDFATYYCQQSYGSPPTFGQGTKVEIK"/>
        <s v="QVQLQESGPGLVKPSQTLSLTCTVSGGSISSGHYAWWIRQPPGKGLEWIACIYSSSGSTYYNPSLKSRITISVDTSKNQFSLKLSSVTAADTAVYYCARRQRGYDYDYYYGMDVWGQGTTVTVSSGGGSGGGSGGGSGGGSDIQLTQSPSSLSASVGDRVTITCRASQGISRNLAWYQQKPGKAPKLLIYAASSLQSGVPSRFSGSGSGTDFTLTISSLQPEDFATYYCQQSNNWPITFGQGTKVEIK"/>
        <s v="EVQLVESGGGLVQPGGSLRLSCAASGFNIYYSSIHWVRQAPGKGLEWVASIYSYYSSTSYADSVKGRFTISADTSKNTAYLQMNSLRAEDTAVYYCARVYGYLSYSYFYWGLDVWGQGTLVTVSGGGSGGGSGGGSGGGSDIQMTQSPSSLSASVGDRVTITCRASQSVSSAVAWYQQKPGKAPKLLIYSASSLYSGVPSRFSGSRSGTDFTLTISSLQPEDFATYYCQQYKYVPVTFGQGTKVEI"/>
        <s v="EVQLQQSGAELVKPGASVKLSCTASGFNIKDTYVHWVKQRPEQGLEWIGRIDPANGYTKYDPKFQGKATITADTSSNTAYLQLSSLTSEDTAVYYCVRPLYDYYAMDYWGQGTTLTVSSGGGSGGGSGGGSGGGSDIVMTQSPSSLAMSAGRVSITCRTSQSISSYLNWVQQKPGKSPKLLIYWASTRESGVPDRFTGSGSGTDFTLTISRVEAEDLGVYYCMQGTHVPYTFGGGTKLEIK"/>
        <s v="EVQLVESGGGLVKPGGSLRLSCAASGFTFSSYAMHWVRQAPGKGLEWVSAISGGGGSTYYADSVKGRFTISRDNSKNTLYLQMRAEDTAVYYCAKDDADWGQGTLVTVSSGGGSGGGSGGGSGGGSDIQMTQSPSSLSASVGDRVTITCRASQSVSSAVAWYQQKPGKAPKLLIYSASSLYSGVPSRFSGSRSGTDFTLTISSLQPEDFATYYCQQYKYVPFTFGQGTKVEIK"/>
        <s v="QVQLQESGPGLVKPSQTLSLTCTVSGGSISSGSYYWIRQSPGKGLEWIGYIYYSGSTNYNPSLKSRVTISVDTSKNQFSLKLSSVTAADTAVYYCARHRYYDRGQGTLVTVSSGGGSGGGSGGGSGGGSDIQMTQSPASLSASVGETVTITCRASENIYSNLAWYQQKQGKSPQLLVYAATDLADGVPSRFSGSGSGTQFSLKINSLQPEDFGSYYCQHFWDTPWTFGQGTRVE"/>
        <s v="EVQLVESGGGLVQPGGSLRLSCAASGFNLYSSSIHWVRQAPGKGLEWVAYISSSGTHYADSVKGRFTISADTSKNTAYLQMRAEDTAVYYCARVGHYYSSGGYYYAMDYWGQGTLVTVSSGGGSGGGSGGGSGGGSDIQMTQSPSSLSASVGDRVTITCRASQSVSSAVAWYQQKPGKAPKLLIYSASSLYSGVPSRFSGSRSGTDFTLTISSLQPEDFATYYCQQYSSYWTFGQGTKVEIK"/>
        <s v="EVQLVESGGGLVQPGGSLRLSCAASGFNVVDSGISWVRQAPGKGLEWVSYISSSSGSTYYADSVKGRFTISADTSKNTAYLQMNSLRAEDTAVYYCARAHYYGSYFGSVVYYYGLDVWGQGTLVTVSSGGGSGGGSGGGSDIQMTQSPSSLSASVGDRVTITCRASQSVSSAVAWYQQKPGKAPKLLIYSASSLYSGVPSRFSGSRSGTDFTLTISSLQPEDFATYYCQQYDTYPITFGQGTKVEIK"/>
        <s v="EVQLVESGGGLVQPGGSLRLSCAASGFNVYSSSIHWVRQAPGKGLEWVASISSYYGYTYYADSVKGRFTISADTSKNTAYLQMNSLRAEDTAVYYCARSYSTYYYGYWYFDVWGQGTLVTVSSGGGSGGGSGGGSGGGSDIQMTQSPSSLSAAVGDRVTITCRASQSVSSAVAWYQQKPGKAPKLLIYSASSLYSGVPSRFSGSRSGTDFTLTISSLQPEDFATYYCQQYNYYWLITFGQGTKVEIK"/>
        <s v="QVQLQQPGAELVKPGASVKLSCKASGYTFTSDWIHWVKQRPGHGLEWIGEIIPSYGRANYNEKIQKKATLTADKSSSTAFMHLSSLTSEDSAVYYCARERGDGYFAVWGAGTTVTVSSGGGSGGGSGGGSGGGSDILLTQSPAILSVSPGERVSFSCRASQSIGTDIHWYQQRTNGSPRLLIKYASESISGIPSRFSGSGSGTDFTLSINSVESEDIANYYCQQSNRWPFTFGSGTKLEIK"/>
        <s v="VRLLESGGGLVQPGGSLKLSCAASGFDYSRYWMSWVRQAPGKGLKWIGEINPVSSTINYTPSLKDKFIISRDNAKDTLYLQISKVRSEDTALYYCARLYYGYGYWYFDVWGAGTTVTVSSGGGSGGGSGGGSGGGSDIVLTQSPAIMSAAPGDKVTMTCSASSSVSYIHWYQQKSGTSPKRWIYDTSKLTSGVPVRFSGSGSGTSYSLTINTMEAEDAATYYCQQWSSHPQTFGGGTKLEIl"/>
        <s v="QVQLQESGPGLVQPSQSLSLTCTVSGFSLTSYGVHWVRQSPGKGLEWLGVIWAGGSTDYNSALKSRLSISRDTSKNQVFLKMNSLQTDDTAMYYCAKHGSSNGDYWGQGTSVTVSSGGGSGGGSGGGSGGGSDIVMTQSPDSLAVSLGERATINCKSSQSVLYSSNNKNYLAWYQQKPEGQPPNLLIYWASTRESGVPDRFSGSGSGTDFTLTISSLQAEDVAVYYCQQYYSAPTFGQGTKLEIK"/>
        <s v="QVQLQESGPGLVKPSETLSLTCTVSGGSVSSGGYFWSWIRQPPGKGLEWIGCIYYSGSTNYNPSLKSRVTISVDTSKNQFSLKLSSVTAADTAVYYCARVDSFYYGMDVWGQGTTVTVSSGGGSGGGSGGGSGGGSDIQMTQSPSSLSASVGDRVTITCRASQGIRNDLGWYQQKPGKAPKLLIYAASSLQSGVPSRFSGSGSGTDFTLTISSLQPEDFATYYCQQSYSTPRTFGQGTKVEIK"/>
        <s v="EVQLVESGGGLVQPGGSLRLSCAASGFTFSSYAMSWVRQAPGKGLEWVSAISGSGGSTYYADSVKGRFTISRDNSKNTLYLQMNSLRAEDTAVYYCARQVWFGGFDYWGQGTLVTVSSGGGSGGGSGGGSGGGSDIQMTQSPSSLSASVGDRVTITCRASQSVSSAVAWYQQKPGKAPKLLIYSASSLYSGVPSRFSGSRSGTDFTLTISSLQPEDFATYYCQQYKYVPVTFGQGTKVEIK"/>
        <s v="EVQLVESGGGLVQPGGSLRLSCAASGFNVSSSYIHWVRQAPGKGLEWVASISSYYGYTYYADSVKGRFTISADTSKNTAYLQMNSLRAEDTAVYYCARSRQFWYSGLDYWGQGTLVTVSSGGGSGGGSGGGSGGGSDIQMTQSPSSLSASVGDRVTITCRASQSVSSAVAWYQQKPGKAPKLLIYSASSLYSGVPSRFSGSRSGTDFTLTISSLQPEDFATYYCQQYKYVPVTFGQGTKVEIK"/>
        <s v="EVQLVESGGGLVQPGGSLRLSCAASGFNISSSSIHWVRQAPGKGLEWVASIYSYSGYTSYADSVKGRFTISADTSKNTAYLQMNSLRAEDTAVYYCARGGSSYFGYYAMDYWGQGTLVTVSSGGGSGGGSGGGSGGGSDIQMTQSPSSLSASVGDRVTITCRASQSVSSAVAWYQQKPGKAPKLLIYSASSLYSGVPSRFSGSRSGTDFTLTISSLQPEDFATYYCQQYKYVPVTFGQGTKVEIK"/>
        <s v="QVQLVQSGAEVKKPGSSVKVSCKASGGTFSSYSISWVRQAPGQGLEWMGGIIIFGTANYAQKFQGRVTITADESTSTAYMELSSLRSEDTAVYYCARGQGTLVDFYWGQGTLVTVSSGGGSGGGSGGGSGGGSDIQMTQSPSSLSASVGDRVTITCRASQSISSYLNWYQQKPGKAPKLLIYAASSLQSGVPSRFSGSGSGTDFTLTISSLQPEDFATYYCQQSYSTPRTFGQGTKVEIK"/>
        <s v="EVQLVESGGGLVQPGGSLRLSCAASGFNVSYYSIHWVRQAPGKGLEWVASIYPYSGYTNYADSVKGRFTISADTSKNTAYLQMNSLRAEDTAVYYCARYYGYGYWGYAMDYWGQGTLVTVSSGGGSGGGSGGGSGGGSDIQMTQSPSSLSASVGDRVTITCRASQSVSSAVAWYQQKPGKAPKLLIYSASSLYSGVPSRFSGSRSGTDFTLTISSLQPEDFATYYCQQYKYVPVTFGQGTKVEIK"/>
        <s v="EVQLVESGGGLVQPGGSLRLSCAASGFTFSSYAMSWVRQAPGKGLEWVSAISGSGGSTYYADSVKGRFTISRDNSKNTLYLQMNSLRAEDTAVYYCARGYQVYFDYWGQGTLVTVSSGGGSGGGSGGGSGGGSDIQMTQSPSSLSASVGDRVTITCRASQSVSSAVAWYQQKPGKAPKLLIYSASSLYSGVPSRFSGSRSGTDFTLTISSLQPEDFATYYCQQYKYVPVTFGQGTKVEIK"/>
        <s v="EVQLVESGGGLVQPGGSLRLSCAASGFNVSSSYIHWVRQAPGKGLEWVASISSYYGSTYYADSVKGRFTISADTSKNTAYLQMNSLRAEDTAVYYCARGWSYSWSYSWSYSGLDVWGQGTTVTVSSGGGSGGGSGGGSGGGSDIQMTQSPSSLSASVGDRVTITCRASQSVSSAVAWYQQKPGKAPKLLIYSASSLYSGVPSRFSGSRSGTDFTLTISSLQPEDFATYYCQQSSSSLITFGQGTKVEIK"/>
        <s v="EVQLVESGGGLVQPGGSLRLSCAASGFNISSSSIHWVRQAPGKGLEWVASIYSYSGYTSYADSVKGRFTISADTSKNTAYLQMNSLRAEDTAVYYCARGWYYGSSYWGQGTLVTVSSGGGSGGGSGGGSGGGSDIQMTQSPSSLSASVGDRVTITCRASQSVSSAVAWYQQKPGKAPKLLIYSASSLYSGVPSRFSGSRSGTDFTLTISSLQPEDFATYYCQQYKYVPVTFGQGTKVEIK"/>
        <s v="EVQLVESGGGLVQPGGSLRLSCAASGFNVSSSYIHWVRQAPGKGLEWVASISSYYGYTYYADSVKGRFTISADTSKNTAYLQMNSLRAEDTAVYYCARYYGTYYGSSYWGQGTLVTVSSGGGSGGGSGGGSGGGSDIQMTQSPSSLSASVGDRVTITCRASQSVSSAVAWYQQKPGKAPKLLIYSASSLYSGVPSRFSGSRSGTDFTLTISSLQPEDFATYYCQQYKYVPVTFGQGTKVEIK"/>
        <s v="QMQLVQSGAEVKKPGESLKISCKGSGYSFTSYWIGWVRQMPGKGLEWMGIIYPGDSDTRYSPSFQGQVTISADKSISTAYLQWSSLKASDTAIYYCARHYYGGQYFDYWGQGTLVTVSSGGGSGGGSGGGSGGGSDIQMTQSPSSLSASVGDRVTITCRASQGIRNDLGWYQQKPGKAPKLLIYAASSLQSGVPSRFSGSGSGTDFTLTISSLQPEDFATYYCQQSYSTPYTFGQGTKLEIK"/>
        <s v="QVQLVQSGAEVKKPGSSVKVSCKASGGTFSSYAISWVRQAPGQGLEWMGGIIPIFGTANYAQKFQGRVTITADESTSTAYMELSSLRSEDTAVYYCARWYDGYFVYWGQGTLVTVSSGGGSGGGSGGGSGGGSDIQMTQSPSSLSASVGDRVTITCRASQSISSYLNWYQQKPGKAPKLLIYAASSLQSGVPSRFSGSGSGTDFTLTISSLQPEDFATYYCQQSYSTPYTFGQGTKVEIK"/>
        <s v="EVQLVESGGGLVQPGGSLRLSCAASGFNVSSSSIHWVRQAPGKGLEWVASISSYYGYTYYADSVKGRFTISADTSKNTAYLQMNSLRAEDTAVYYCARSRQFWYSGLDYWGQGTLVTVFNGGGSGGGSGGGSGGGSDIQMTQSPSSLSASVGDRVTITCRASQSVSSAVAWYQQKPGKAPKLLIYSASSLYSGVPSRFSGSRSGTDFTLTISSLQPEDFATYYCQQYKYVPVTFGQGTKVEIK"/>
        <s v="EVQLVESGGGLVQPGGSLRLSCAASGFNISSSSIHWVRQAPGKGLEWVASIYSYYGSTYYADSVKGRFTISADTSKNTAYLQMRAEDTAVYYCARGWRSYAMDYWGQGTLVTVSSGGGSGGGSGGGSGGGSDIQMTQSPSSLSASVGDRVTITCRASQSVSSAVAWYQQKPGKAPKLLIYSASSLYSGVPSRFSGSRSGTDFTLTISSLQPEDFATYYCQQSSSSLITFGQGTKVEIK"/>
        <s v="QVQLVQSGAEVKKPGSSVKVSCKASGGTFSSYSFIWVRQAPGQGLEWMGGIIPIFGTANYAQKFQGRVTITADESTSTAYMELSSLRSEDTAVYYCARSSYSGVYYSWYFDVWGAGTTVTVSSGGGSGGGSGGGSGGGSDIQMTQSPSSLSASVGDRVTITCRASQGISNYLAWYQQKPGKAPKLLIYAASTLQSGVPSRFSGSGSGTDFTLTISSLQPEDFATYYCQQSYSTPRTFGQGTKVEIK"/>
        <s v="EVQLQESGPGLVKPSQTLSLTCTVSGGSISSYAAWSWIRQPPGKGLEWIGYIYSSSGSTNYNPSLKSRVTISVDTSKNQFSLKLSSVTAADTAVYYCARGDYSYSYYGLDYWGQGTLVTVSSGGGSGGGSGGGSGGGSDIQMTQSPSSLSASVGDRVTITCRASQGIRNDLGWYQQKPGKAPKLLIYAASNLQSGVPSRFSGSGSGTDFTLTISSLQPEDFATYYCQQSYSTPRYTFGQGTKVEIK"/>
        <s v="EVQLQQSGPELVKPGASVKMSCKASGYTFTSYNIHWVKQTPVHGLEWIGAIVSGGDTNYNENFKDKATLTVDKSSSTAYMQLTSEDSAVYYCARGGFYGDYWGQGTSVTVSSGGGSGGGSGGGSGGGSDIVLTQSPATLSVTPGDSVSLSCRASQSVTNNIHWYQQKSHESPRLLIKYASQSISGIPSRFSGSGSGTDFTLSINSVETEDFGMYFCQQSNSWPYTFGGGTKLEIK"/>
        <s v="QVQLQESGPGLVKPSQTLSLTCTVSGGSISSGDYYWIRQHPGKGLEWIGYIYYSGSTYYNPSLKSRVTISVDTSKNQFSLKLSSVTAADTAVYYCARQLWLRGRFDYWGQGTLVTVSSGGGSGGGSGGGSGGGSDIQMTQSPSSLSASVGDRVTITCRASQGISSWLAWYQQKPGKAPKLLIYAASTLQSGVPSRFSGSGSGTDFTLTISSLQPEDFATYYCQQSYSTPYTFGQGTKVEIK"/>
        <s v="EVQLVESGGGLVQPGGSLRLSCAASGFTVSSNYMSWVRQAPGKGLEWVSVIYSGGSTYYADSVKGRFTISRDNSKNTLYLQMNSLRAEDTAVYYCAREAGVWVFDYWGQGTLVTVSSGGGSGGGSGGGSGGGSDIQMTQSPSSLSASVGDRVTITCRASQSVSSAVAWYQQKPGKAPKLLIYSASSLYSGVPSRFSGSRSGTDFTLTISSLQPEDFATYYCQQYKYVPVTFGQGTKVEIK"/>
        <s v="EVQLVESGGGLVQPGGSLRLSCAASGFNLYSSSIHWVRQAPGKGLEWVASISSYYGSTYYADSVKGRFTISADTSKNTAYLQMNSLRAEDTAVYYCARSRQFWLWFGQGTLVTVSSGGGSGGGSGGGSGGGSDIQMTQSPSSLSASVGDRVTITCRASQSVSSAVAWYQQKPGKAPKLLIYSASSLYSGVPSRFSGSRSGTDFTLTISSLQPEDFATYYCQQYKYVPVTFGQGTKVEIK"/>
        <s v="VQLVQSGAEVKKPGASVKVSCKASGYTFTTYTISWVRQAPGQGLEWMGWINNSGGTNYAQKFQGRVTMTRDTSTSTVSAYMELRSEDTAVYYCATFVYGYSAYQPLTDDYGQMDVWGQGTTVTVSSGGGSGGGSGGGSGGGSDIQMTQSPSSLSASVGDRVTITCRASQSISSYLNWFQQKPGKAPKLLIYAASSLQSGVPSRFSGSGSGTDFTLTISSLQPEDFATYYCQQSLLYPLTFGGGTKVEIK"/>
        <s v="EVQLVESGGGLVQPGGSLRLSCAASGFNISSSSIHWVRQAPGKGLEWVASIYSSSGSTYYADSVKGRFTISADTSKNTAYLQMNSLRAEDTAVYYCARHRWWAHPYWGQGTLVTVSSGGGSGGGSGGGSGGGSDIQMTQSPSSLSASVGDRVTITCRASQSVSSAVAWYQQKPGKAPKLLIYSASSLYSGVPSRFSGSRSGTDFTLTISSLQPEDFATYYCQQSYYITPYTFGQGTKVEIK"/>
        <s v="EVQLVESGGGVVQPGRSLRLSCAASGFTFSSYAMHWVRQAPGKGLEWVAVIWYDGSNKYYADSVKGRFTISRDNSKNTLFLQMNSLRPEDTAVYYCARDTPMYYDVWGQGTTVTVSSGGGSGGGSGGGSGGGSDIQLTQSPSSLSASVGDRVTITCRTSQDIDNYLNWYQQKPGKAPKLLIYYTSSLHSGVPSRFSGSGSGTDFTFTISSLQPEDIATYYCQQYDNLPITFGQGTKLEIK"/>
        <s v="EVQLVESGGGLVQPGGSLRLSCAASGFTFSNYAMSWVRQAPGKGLEWVSAISGSGGSTYYADSVKGRFTISRDNSKNTLYLQMNSLRAEDTAVYYCARLSPYNGSMDYWGQGTLVTVSSGGGSGGGSGGGSGGGSVTQPASVSGSPGQSITISCTGTSSDIGAYNYVSWYQQHPGKAPKLMIYEVSKRPSGVSNRFSGSKSGNTASLTISGLQTEDEADYYCSSYTRSGSVVFGGGTKLTVL"/>
        <s v="QVQLVQSGAEVKKPGSSVKVSCKASGGTFSSYTISWVRQAPGQGLEWMGGIIPILGIANYAQKFQGRVTITADKSTSTAYMELSSLRSEDTAVYYCARGDSSYVDSWDYWGQGTLVTVSGGGSGGGSGGGSGGGSEIVLTQSPGTLSLSPGERATLSCRASQSVSSSYLAWYQQKPGQAPRLLIYGASSRATGIPDRFSGSGSGTDFTLTISRLEPEDFAVYYCQQYGSSPWTFGQGTKVEIK"/>
        <s v="QVQLVESGGGVVQPGRSLRLSCAASGFTFSNYGMHWVRQAPGKGLEWVAVISDGSNKYYADSVKGRFTISRDNSKNTLYLQMRAEDTAVYYCARGSHSSRDYWGQGTLVTVSSGGGSGGGSGGGSGGGSDIQMTQSPSSLSASVGDRVTITCRASQSISSYLNWYQQKPGKAPKLLIYAASSLQSGVPSRFSGSGSGTDFTLTISSLQPEDFATYYCQQSYSTPPYTFGQGTKVEIK"/>
        <s v="VQLVQSGAEVKRPGSSVKVSCKTSGGTIFSTYVFWVRQAPGQGLEWMGGFPPKAGYIYAQKFQGRVTFTADESSSTTVYMEDLRSEDTAVYFCARFPYFVYDVWGQGTTVTVSSGGGSGGGSGGGSGGGSDIQMTQSPSSLSASVGDRVTITCRASQSIGGYLAWYQQKPGKVPKLLIYAASSLQSGVPSRFSGSGSGTDFTLTISSLQPEDFATYYCQQSYSTPRTFGQGTKVEIK"/>
        <s v="VQLQESGPGLVKPSQSLSLTCTVTGFSIDYNIYWGWIRQPPGKGLEWIGYIYSGSDTYNPSLKSRVTISVDTSKNQFSLKVNSVTAADTAVYYCARVVDLWYDDGKYASCVKGAIDYWGQGTLVTVSSGGGSGGGSGGGSSVLTQPPSVSGAPGQRVTISCTGSSGAGYDVHWYQQLPGTAPKLLIYGNSNRPSGVPDRFSGSKSGTSASLAITGLQAEDEADYYCQSYDSSLSGWVFGGGTKLTVL"/>
        <s v="EVQLVESGGGLVQPGGSLRLSCAASGFNVVDFSLHWVRQAPGKGLEWVASIYPYDGSAYYADSVKGRFTISADTSKNTAYLQMNSLRAEDTAVYYCARWGYWPGEGWLGKYWGQGTLVTVSGGGSGGGSGGGSGGGSDIQMTQSPSSLSASVGDRVTITCRASQSVSSAVAWYQQKPGKAPKLLIYSASSLYSGVPSRFSGSRSGTDFTLTISSLQPEDFATYYCQQYKYVPVTFGQGTKVEI"/>
        <s v="EVQLVESGGGLVQPGGSLRLSCAASGFNISSSSIHWVRQAPGKGLEWVASISSSYGSTYYADSVKGRFTISADTSKNTAYLQMNSLRAEDTAVYYCARWEGYRGDLWGQGTLVTVSSGGGSGGGSGGGSGGGSDIQMTQSPSSLSASVGDRVTITCRASQSVSSAVAWYQQKPGKAPKLLIYSASSLYSGVPSRFSGSRSGTDFTLTISSLQPEDFATYYCQQYYEWLRTFGQGTKVEIK"/>
        <s v="QVQLQESGPGLVKPSQTLSLTCTVSGGSVSSGSYYWSWIRQPPGKGLEWIGYIYYSGSTNYNPSLKSRVTISVDTSKNQFSLKLSSVTAADTAVYYCARVDSFYYGMDVWGQGTTVTVSSGGGSGGGSGGGSGGGSDIQMTQSPSSLSASVGDRVTITCRASSGSSYDNGWYQQKPGKAPKLLIYAASSLQSGVPSRFSGSGSGTDFTLTISSLQPEDFATYYLQDSNYTPRTFGQGTKVEIK"/>
        <s v="QVQLVQSGAEVKKPGSSVKVSCKASGGTFSSYTISWVRQAPGQGLEWMGRIIPIFGTANYAQKFQGRVTITADKSTSTAYMELSSLRSEDTAVYYCARYYDSYFDYWGQGTLVTVSSGGGSGGGSGGGSGGGSDIQMTQSPSSLSASVGDRVTITCRASQGISSWLAWYQQKPGKAPKLLIYAASSLQSGVPSRFSGSGSGTDFTLTISSLQPEDFATYYCQCGNSFPWTFGGGTKLEIK"/>
        <s v="DVQLQESGPGLVKPSQTLSLTCTVSGYSITSDYYWNWIRQFPGNKLEWMGYISYDGSSNYNPSLKNRISITRDNSKNQFFLQLNSVTTEDTATYYCARSCSRRGYAMDYWGQGTSVTVSSGGGSGGGSGGGSGGGSQIVLTQSPAIMSASLGEKVTLTCSASSSVSYMHWYQQKPGTSPKLLIYSCNLLSGVPDRFSGSGSGTDFTLSISNVETEDAATYYCYQYRIRFGGGTKLTVLQ"/>
        <s v="EVQLVESGGGLVQPGGSLRLSCAASGFTFSSYAMSWVRQAPGKGLEWVSSISRSGGSTYYADSVKGRFTISRDNAKNSLYLQMNSLRAEDTAVYYCARSCSSRGYFDYWGQGTLVTVSSGGGSGGGSGGGSGGGSDIVMTQSPDSLAVSLGERATINCRASQSVSSYLAWYQQKPGQSPKLLIYSCNLQSGVPDRFSGSGSGTDFTLTISSLQPEDFATYYCQPYIRFGGGGTKLEIK"/>
        <s v="QVQLQESGPGLVKPSQTLSLTCTVSGFSFSSYAMSWVRQAPGKGLEWVSSISRSGGSTYYADSVKGRFTISRDNAKNSLYLQMNSLRAEDTAVYYCARSCSSRGYLFDYWGQGTLVTVSSGGGSGGGSGGGSGGGSDIVMTQSPDSLAVSLGERATINCRASQSVSSYLAWYQQKPGQSPKLLIYSCNLQSGVPDRFSGSGSGTDFTLTISSLQPEDFATYYCQPYIRFGGGGTKLEIK"/>
        <s v="SIKLTESGPTSVAPGSTLNLTCTVTGDNITSSGWYWWVKQAPDNKLTWIGGIDKNGNTWLNVAYIDRATLTRDPAANTVYLSIRNVTSSDTATYYCAKSSDDNGSYLDVWGQGLKVTVSGGGGSGGGSGGGSGGGSQVKLTQSPKEVTAKIGDTVTLTCTASQPVSTVSWYMQKPGQPPQLLISNNKLVEGVPERFSASGSGTEFTLTIKDVQKEDEAIYYCEVNGQVFGQGTKLTVLE"/>
        <s v="EVQLVESGGGLVQPGGSLRLSCAASGFNVSYSSIHWVRQAPGKGLEWVASIYSYSGYTYYADSVKGRFTISADTSKNTAYLQMNSLRAEDTAVYYCARGWYSYFDYWGQGTLVTVSSGGGSGGGSGGGSGGGSDIQMTQSPSSLSASVGDRVTITCRASQSVSSAVAWYQQKPGKAPKLLIYSASSLYSGVPSRFSGSRSGTDFTLTISSLQPEDFATYYCQQYKYVPVTFGQGTKVEIK"/>
        <s v="QVQLVQSGAEVKKPGSSVKVSCKASGGTFSSYAISWVRQAPGQGLEWMGGIIIFGTANYAQKFQGRVTITADKSTSTAYMELRSEDTAVYYCAREGTTGWDYWGQGTLVTVSSGGGSGGGSGGGSGGGSEIVLTQSPGTLSLSPGERATLSCRASQSVSSSYLAWYQQKPGQAPRLLIYGASSRATGIPDRFSGSGSGTDFTLTISRLEPEDFAVYYCQQYGSSPRTFGQGTKVEIK"/>
        <s v="EVQLVESGGGLVQPGGSLRLSCAASGFNVSYYSIHWVRQAPGKGLEWVASIYSYSGYTSYADSVKGRFTISADTSKNTAYLQMNSLRAEDTAVYYCARYYVYYGAMDYWGQGTLVTVSSGGGSGGGSGGGSGGGSDIQMTQSPSSLSASVGDRVTITCRASQSVSSAVAWYQQKPGKAPKLLIYSASSLYSGVPSRFSGSRSGTDFTLTISSLQPEDFATYYCQQYKYVPVTFGQGTKVEIK"/>
        <s v="EVQLVESGGGLVQPGGSLRLSCAASGFNVSYSSIHWVRQAPGKGLEWVASIYSYSGYTYYADSVKGRFTISADTSKNTAYLQMNSLRAEDTAVYYCARGWVRGSSYWGQGTLVTVSSGGGSGGGSGGGSGGGSDIQMTQSPSSLSASVGDRVTITCRASQSVSSAVAWYQQKPGKAPKLLIYSASSLYSGVPSRFSGSRSGTDFTLTISSLQPEDFATYYCQQYKYVPVTFGQGTKVEIK"/>
        <s v="EVQLVESGGGLVQPGGSLRLSCAASGFNVSYSSIHWVRQAPGKGLEWVASIYSYSGYTNYADSVKGRFTISADTSKNTAYLQMNSLRAEDTAVYYCARYYGGYGGYFDYWGQGTLVTVSSGGGSGGGSGGGSGGGSDIQMTQSPSSLSASVGDRVTITCRASQSVSSAVAWYQQKPGKAPKLLIYSASSLYSGVPSRFSGSRSGTDFTLTISSLQPEDFATYYCQQYKYVPVTFGQGTKVEIK"/>
        <s v="EVQLVESGGGLVQPGGSLRLSCAASGFNVSYYSIHWVRQAPGKGLEWVASIYPYSGYTNYADSVKGRFTISADTSKNTAYLQMNSLRAEDTAVYYCARYYGYWYFDYWGQGTLVTVSSGGGSGGGSGGGSGGGSDIQMTQSPSSLSASVGDRVTITCRASQSVSSAVAWYQQKPGKAPKLLIYSASSLYSGVPSRFSGSRSGTDFTLTISSLQPEDFATYYCQQYKYVPVTFGQGTKVEIK"/>
        <s v="EVQLVESGGGLVQPGGSLRLSCAASGFNVSYSSIHWVRQAPGKGLEWVASIYSYSGYTSYADSVKGRFTISADTSKNTAYLQMNSLRAEDTAVYYCARYYGGYGGWYFDYWGQGTLVTVSSGGGSGGGSGGGSGGGSDIQMTQSPSSLSASVGDRVTITCRASQSVSSAVAWYQQKPGKAPKLLIYSASSLYSGVPSRFSGSRSGTDFTLTISSLQPEDFATYYCQQYKYVPVTFGQGTKVEIK"/>
        <s v="EVQLVESGGGLVQPGGSLRLSCAASGFNVSYYSIHWVRQAPGKGLEWVASISSYYGYTYYADSVKGRFTISADTSKNTAYLQMNSLRAEDTAVYYCARYYGYWYFDYWGQGTLVTVSSGGGSGGGSGGGSGGGSDIQMTQSPSSLSASVGDRVTITCRASQSVSSAVAWYQQKPGKAPKLLIYSASSLYSGVPSRFSGSRSGTDFTLTISSLQPEDFATYYCQQYKYVPVTFGQGTKVEIK"/>
        <s v="EVQLVESGGGLVQPGGSLRLSCAASGFNVSYYSIHWVRQAPGKGLEWVASISSYYGYTYYADSVKGRFTISADTSKNTAYLQMNSLRAEDTAVYYCARYYGTYYGHSYWGQGTLVTVSSGGGSGGGSGGGSGGGSDIQMTQSPSSLSASVGDRVTITCRASQSVSSAVAWYQQKPGKAPKLLIYSASSLYSGVPSRFSGSRSGTDFTLTISSLQPEDFATYYCQQYKYVPVTFGQGTKVEIK"/>
        <s v="EVQLVESGGGLVQPGGSLRLSCAASGFNVSYSSIHWVRQAPGKGLEWVASIYSYSGYTNYADSVKGRFTISADTSKNTAYLQMNSLRAEDTAVYYCARYWYFGYFDYWGQGTLVTVSSGGGSGGGSGGGSGGGSDIQMTQSPSSLSASVGDRVTITCRASQSVSSAVAWYQQKPGKAPKLLIYSASSLYSGVPSRFSGSRSGTDFTLTISSLQPEDFATYYCQQYKYVPVTFGQGTKVEIK"/>
        <s v="EVQLVESGGGLVKPGGSLRLSCAASGFTFRNYAMSWVRQAPGKGLEWVSSISSKSKSTSYADSVKGRFTISRDNAKNSLYLQMNSLRAEDTAVYYCARESGSFSYEGVWGQGTLVTVSSGGGSGGGSGGGSGGGSSVLTQPPSVSGAPGQRVTISCTGSSSNIGAGYDVHWYQQLPGTAPKLLIYDNNKRPSGVPDRFSGSKSGTSASLAITGLQAEDEADYYCQSYDSSLSGLVFGGGTKLTVL"/>
        <s v="EVQLVESGGGLVQPGGSLRLSCAASGFNISSSSIHWVRQAPGKGLEWVASIYYSSGYTHYADSVKGRFTISADTSKNTAYLQMNSLRAEDTAVYYCARWGYWPGQVWLWFAYWGQGTLVTVSGGGSGGGSGGGSGGGSDIQMTQSPSSLSASVGDRVTITCRASQSVSSAVAWYQQKPGKAPKLLIYSASSLYSGVPSRFSGSRSGTDFTLTISSLQPEDFATYYCQQSSSSLITFGQGTKVEIK"/>
        <s v="QVQLVQSGAEVKKPGSSVKVSCKSSGGTSNNYAISWVRQAPGQGLEWMGGIIPILGIANYAQKFQGRVTITADKSTSTAYMELSSLRSEDTAVYYCAREDAVVDYWGQGTLVTVSSGGGSGGGSGGGSGGGSDIQMTQSPSTLSASVGDRVTITCRASQGISSWLAWYQQKPGKAPKLLIYKASSLESGVPSRFSGSGSGTEFTLTISSLQPDDFATYYCQQYNSYPLTFGQGTKVQVK"/>
        <s v="EVQLVESGGGLVQPGGSLRLSCAASGFNVSSSSIHWVRQAPGKGLEWVASISSYYGYTYYADSVKGRFTISADTSKNTAYLQMNSLRAEDTAVYYCARHWGYCSWFAYWGQGTLVTVSSGGGSGGGSGGGSGGGSDIQMTQSPSSLSASVGDRVTITCRASQSVSSAVAWYQQKPGKAPKLLIYSASSLYSGVPSRFSGSRSGTDFTLTISSLQPEDFATYYCQQYKYVPVTFGQGTKVEIK"/>
        <s v="EVQLVESGGGLVQPGGSLRLSCAASGFNISSSSIHWVRQAPGKGLEWVASIYSYSGYTSYADSVKGRFTISADTSKNTAYLQMNSLRAEDTAVYYCARGSHYFGYFDYWGQGTLVTVSSGGGSGGGSGGGSGGGSDIQMTQSPSSLSASVGDRVTITCRASQSVSSAVAWYQQKPGKAPKLLIYSASSLYSGVPSRFSGSRSGTDFTLTISSLQPEDFATYYCQQSSSSLITFGQGTKVEIK"/>
        <s v="QVQLQESGPGLVKPSQTLSLTCTVSGGSISSGDYYWIRQHPGKGLEWIGYIYYSGSTDYNPSLKSRVTISVDTSKNQFSLKVTAADTAVYYCARTWFGSDYWGQGTLVTVSSGGGSGGGSGGGSGGGSDIQMTQSPSSLSASVGDRVTITCRASQGISNYLAWYQQKPGKAPKLLIYAASTLQSGVPSRFSGSGSGTDFTLTISSLQPEDFATYYCQQAHSFPYTFGGGTKLEIK"/>
        <s v="EVQLVESGGGLVQPGGSLRLSCAASGFTFSSYWMNWVRQAPGKGLEWVAFIRYDGGNKYYADSVKGRFTISRDNSKNTLYLQMNSLRAEDTAVYYCARWSYSGGSGSYYVYFDYWGQGTLVTVSGGGSGGGSGGGSGGGSSVLTQPPSVSGAPGQRVTISCTGSSSNIGAGYDVHWYQQLPGTAPKLLIYGNSNRPSGVPDRFSGSKSGTSASLAITGLQAEDEADYYCQSYDSSLSGSVFGGGTKLTVL"/>
        <s v="QVQLVQSGAEVKKPGASVKVSCKASGYTFTNYYIHWVRQAPGQGLEWMGWIYPGGNTNYAQKFQGRVTMTRDTSISTAYMELSRLRSDDTAVYYCARVRTEFDYWGQGTLVTVSSGGGSGGGSGGGSGGGSDIVMTQSPSSLAMSAGAETITCRSSQSVHSNGYLNWYQQKPGQPPKLLIYWASTRESGVPDRFTGSGSGTDFTLTITNVQSEDLAEYFCQQYSSYPLTFGAGTKLELR"/>
        <s v="QVQLQESGPGLVKPSETLSLTCTVSGGSVSSGGYFWSWIRQPPGKGLEWIGYVSGSGSTNYNPSLKSRVTISVDTSKNQFSLKLSSVTAADTAVYYCARWDVWISDYWGQGTLVTVSSGGGSGGGSGGGSGGGSEIVLTQSPATLSLSPGERATLSCRASQSVSSYLAWYQQKPGQAPRLLIYDASNRATGIPARFSGSGSGTDFTLTISSLEPEDFAVYYCQHSWDQPPWTFGQGTKVEIK"/>
        <s v="QVQLQESGPGLVKPSQTLSLTCTVTGSSITSGYWNWIRQFPGNKLEWMGYISYSGTITYNPSLKSRISITRDTSKNQFFLQLNSVTTEDTATYYCARVYDGFYDYWGQGTLVTVSSGGGSGGGSGGGSGGGSDIVMTQSPSSLSASVGDRVTITCRASQGISSWLAWYQQKPGKAPKLLIYKASSLESGVPSRFSGSGSGTEFTLTISSLQPDDFATYYCQQYNSYPLTFGGGTKVEIK"/>
        <s v="QVQLVESGGGVVQPGRSLRLSCAASGFTFSNYAMHWVRQAPGKGLEWVAVISYNSGNPYADSVKGRFTISRDNSKNTLYLQMRVEDTAVYYCSRTTIGYGGDIWGNMFDYWGQGTLVTVSSGGGSGGGSGGGSGGGSDIVMTQSPATLSVSPGDRATLSCRASQSISTNLAWYQQKPGQAPRLLIYTASTLESGVPSRFSGSGSGTEFTLTISNLQSEDFATYFCQQYSAPLTFGGGTKVEIK"/>
        <s v="EVQLVESGGGLVQPGGSLRLSCAASGFASSSSNYVHWVRQAPGKGLEWVATIYPYSSSEYAASVQGRFTISRDDSKNTLYLQMNSLRGEDTAVYYCARYGYYSSRSGYGYYFNYWGQGTLVTVSSGGGSGGGSGGGSDIVMTQSPASLAVSLGQRATISCRASESVDSYGNSFLAWYQQKPGQPPKLLIYWASTRQSGVPARFSGSGSGTDFTLNIHPVEEEDAATYYCQQHNYPLTFGAGTKLEIK"/>
        <s v="EVQLVESGAEVKKPGSSVKVSCKASGGPFTSYVISWVRQAPGQGLEWMGRIIPIRGTTYAQKFQGRVTITADKSTSTAYMELRSEDTAVYYCARGSHVFGYYDYWGQGTLVTVSSGGGSGGGSGGGSGGGSEIVLTQSPGTLSLSPGERATLSCRASQSISGNYLAWYQQKPGQAPRLLIYGASIRAAGIPDRFSGSGSGTDFTLTISRLEPEDFAVYYCQQYGSSPRTFGQGTKVEIK"/>
        <s v="EVQLVETGGGLVQPGGSLKLSCRASGYTFTDYAMHWVRQAPLGLGLYTGGVNYARHFMKSRISITRDNSKNTLYLQMTKVDDTATYFCARRGLFDSDYWGQGTLVTVSSGGGSGGGSGGGSGGGSSVTQPPSVSGSTSVGDRVTTCRASQSISSNWLAWYQQFPGTAPKLLIYENSSRPSGVPDRFSGSGSGTDFTLKISRVEAEDVGVYYCLQALSPRFTFGSGTKLEIK"/>
        <s v="QVQLVQSGAEVKKPGSSVKVSCKASGGTFSNYGISWVRQAPGQGLEWMGGIIPILGIANYAQKFQGRVTITADKSTSTAYMELRSLRSDDTAVYYCAREGHAYFHNGLDYWGQGTLVTVSSGGGSGGGSGGGSGGGSEIVLTQSPGTLSLSPGERATLSCRASQSVSSSYFAWYQQKPGQAPRLLIYGASSRATGIPDRFSGSGSGTDFTLTISRLEPEDFAVYYCQQYGSSPPATFGQGTKVEIK"/>
        <s v="QVQLVESGGGVVQPGRSLRLSCAASGFTFSSFGMHWVRQAPGKGLEWVAIIWDGSNKYYADSVKGRFTISRDNSKNTLYLQMRAEDTAVYYCALDGGSFDDYWGQGTLVTVSSGGGSGGGSGGGSGGGSDIQMTQSPSTLSTSVGDRVTITCRASQSISSWLAWYQQKPGKAPKLLIYKASTLESGVPSRFSGSGSGTEFTLTISSLQPDDFATYYCQHFYGTPITFGPGTKVD"/>
        <s v="EVQLVESGGGLVKPGGSLKVSCAASGFTFSDYSMNWVRQAPGKGLEWVSSITSGYTSIYYADSVKGRFTISRDNAKNSLYLQMNSLRAGDTAVYYCARVSDNFDYWGQGTAVTVSSGGGSGGGSGGGSGGGSDIQMTQSPSSLSASVGDRVTITCQASQDIRFYLNWYQQKPGKAPKLLISAASTLQSGVPSRFSGSGSGTDFTLTITSLQPEDFATYYCAGYVPSYTFGPGTKVDIK"/>
        <s v="EVQLQQSGAELVKPGASVKLSCKASGYTFLDYYMYWVKQRPEQGLEWIGRIDPANGNTIYAPKFQDKATLTLTTDTTSSNTAYMQLSSLTSEDSAVYYCAREGNYGYRDLAWFAYWGQGTLVTVSSGGGSGGGSGGGSGGGSAIRMTQSPSSLSASVGDTVTITCRASQSISSYLNWYQQKPGKAPKLLIYTASNLESGVPSRFSGSGSGTDYTLTISSLQPEDIATYYCQQYDNPPLTFGGGTKVEIK"/>
        <s v="QVQLQESGPGLVKPSETLSLTCTVSGGSVSSGGYFWSWIRQRPGKGLEWIGHIYYSGTTNYNPSLRSRVTISRDTSKSQFSLKMDSLTSEDTALYYCARQLGLRFDIWGQGTMVTVSSGGGSGGGSGGGSGGGSDIQMTQSPSSLSASVGDRVTITCRASQSISSYLNWYQQKPGKAPKLLIYAASSLQSGVPSRFSGSGSGTDFTLTISSLQPEDFATYYCQQSYTTPPTFGQGTKVEIK"/>
        <s v="QVQLVESGGGLVQPGGSLRLSCAASGFNLYSSSIHWVRQAPGKGLEWVARIYPSGATYYADSVKGRFTISADTSKNTAYLQMRAEDTAVYYCARSYYGDDYWGQGTLVTVSSGGGSGGGSGGGSGGGSDIQMTQSPSSLSASVGDRVTITCRASQSVSSAVAWYQQKPGKAPKLLIYSASFLYSGVPSRFSGSRSGTDFTLTISSLQPEDFATYYCQQYSYYPFTFGQGTKVEIK"/>
        <s v="EVQLLESGGGLVQPGGSLRLSCAASGFTFSSYAMSWVRQAPGKGLEWVSYISSSSSTIYYADSVKGRFTISRDNAKNSLYLQMNSLRAEDTAVYYCAKYSSYDYDYWGRGTMVTVSSGGGSGGGSGGGSGGGSDIQLTQSPSSLSASVGDRVTITCRASQGISSYLNWYQQKPGKAPKLLIYDASSLQSGVPSRFSGSGSGTDFTLTISSLQPEDFATYYCQQFYEWLRTFGQGTRLEIK"/>
        <s v="EVQLVESGGGLVQPGGSLRLSCAASGFATVSSNYMSWVRQAPGKGLEWVSVIYSCGSTYYADSVKGRFTISRDNSKNTLYLQMNSLRAEDTAVYYCARYYYDSSRSGYYYYFDYWGQGTLVTVSSGGGSGGGSGGGSDIVLTQSPASLAVSLGQRATISCKASQSVDYDGDSYMHWYQQKPGQPPKLLIYRASNLESGIPARFSGSGSRTDFTLTINPVEADDVATYYCQQSNYPLTFGSGTKVEIK"/>
        <s v="EVQLVESGGGLVQPGGSLRLSCAASGFNISDSSIHWVRQAPGKGLEWVASISSYSGYTYYADSVKGRFTISADTSKNTAYLQMNSLRAEDTAVYYCARGGRDLFGLDALDYWGQGTLVTVSSGGGSGGGSGGGSDIQMTQSPSSLSASVGDRVTITCRASQSVSSAVAWYQQKPGKAPKLLIYSASSLYSGVPSRFSGSRSGTDFTLTISSLQPEDFATYYCQQYKYVPVTFGQGTKVEIK"/>
        <s v="EVQLVESGGGLVQPGGSLRLSCAASGFNISSSSIHWVRQAPGKGLEWVASIYSYSGLTYYADSVKGRFTISADTSKNTAYLQMNSLRAEDTAVYYCARGGYYLDGLYALDYWGQGTLVTVSSGGGSGGGSGGGSDIQMTQSPSSLSASVGDRVTITCRASQSVSSAVAWYQQKPGKAPKLLIYSASSLYSGVPSRFSGSRSGTDFTLTISSLQPEDFATYYCQQYKYVPVTFGQGTKVEIK"/>
        <s v="EVQLVESGGGLVQPGGSLRLSCAASGFNISSSSIHWVRQAPGKGLEWVASIYSYSGATYYADSVKGRFTISADTSKNTAYLQMNSLRAEDTAVYYCARGGNHLDGLYALDYWGQGTLVTVSSGGGSGGGSGGGSDIQMTQSPSSLSASVGDRVTITCRASQSVSSAVAWYQQKPGKAPKLLIYSASSLYSGVPSRFSGSRSGTDFTLTISSLQPEDFATYYCQQYKYVPVTFGQGTKVEIK"/>
        <s v="EVQLVESGGGLVQPGGSLRLSCAASGFNISSSSIHWVRQAPGKGLEWVASIYSYSGYTYYADSVKGRFTISADTSKNTAYLQMNSLRAEDTAVYYCARGGRYLDGLFALDYWGQGTLVTVSSGGGSGGGSGGGSDIQMTQSPSSLSASVGDRVTITCRASQSVSSAVAWYQQKPGKAPKLLIYSASSLYSGVPSRFSGSRSGTDFTLTISSLQPEDFATYYCQQYKYVPVTFGQGTKVEIK"/>
        <s v="EVQLVESGGGLVQPGGSLRLSCAASGFNISSSSIHWVRQAPGKGLEWVASISSYSGYTYYADSVKGRFTISADTSKNTAYLQMNSLRAEDTAVYYCARGGSLLRGLSALDYWGQGTLVTVSSGGGSGGGSGGGSDIQMTQSPSSLSASVGDRVTITCRASQSVSSAVAWYQQKPGKAPKLLIYSASSLYSGVPSRFSGSRSGTDFTLTISSLQPEDFATYYCQQYKYVPVTFGQGTKVEIK"/>
        <s v="EVQLVESGGGLVQPGGSLRLSCAASGFNISDSSIHWVRQAPGKGLEWVASISSYSGYTYYADSVKGRFTISADTSKNTAYLQMNSLRAEDTAVYYCARGGRYLDGLYALDYWGQGTLVTVSSGGGSGGGSGGGSDIQMTQSPSSLSASVGDRVTITCRASQSVSSAVAWYQQKPGKAPKLLIYSASSLYSGVPSRFSGSRSGTDFTLTISSLQPEDFATYYCQQYKYVPVTFGQGTKVEIK"/>
        <s v="EVQLVESGGGLVQPGGSLRLSCAASGFNISSSSIHWVRQAPGKGLEWVASISSYSGYTYYADSVKGRFTISADTSKNTAYLQMNSLRAEDTAVYYCARGGSYLDGLSALDYWGQGTLVTVSSGGGSGGGSGGGSDIQMTQSPSSLSASVGDRVTITCRASQSVSSAVAWYQQKPGKAPKLLIYSASSLYSGVPSRFSGSRSGTDFTLTISSLQPEDFATYYCQQYKYVPVTFGQGTKVEIK"/>
        <s v="EVQLVESGGGLVQPGGSLRLSCAASGFNISDSSIHWVRQAPGKGLEWVASIYNYSGYTYYADSVKGRFTISADTSKNTAYLQMNSLRAEDTAVYYCARGGYYLDGLDALDYWGQGTLVTVSSGGGSGGGSGGGSDIQMTQSPSSLSASVGDRVTITCRASQSVSSAVAWYQQKPGKAPKLLIYSASSLYSGVPSRFSGSRSGTDFTLTISSLQPEDFATYYCQQYKYVPVTFGQGTKVEIK"/>
        <s v="EVQLVESGGGLVQPGGSLRLSCAASGFNISDYSIHWVRQAPGKGLEWVASIYNRSGYTYYADSVKGRFTISADTSKNTAYLQMNSLRAEDTAVYYCARGGYYLDGLYALDYWGQGTLVTVSSGGGSGGGSGGGSDIQMTQSPSSLSASVGDRVTITCRASQSVSSAVAWYQQKPGKAPKLLIYSASSLYSGVPSRFSGSRSGTDFTLTISSLQPEDFATYYCQQYKYVPVTFGQGTKVEIK"/>
        <s v="EVQLVESGGGLVQPGGSLRLSCAASGFNISSSSIHWVRQAPGKGLEWVASISSYSGYTYYADSVKGRFTISADTSKNTAYLQMNSLRAEDTAVYYCARGGHDLDGLYALDYWGQGTLVTVSSGGGSGGGSGGGSDIQMTQSPSSLSASVGDRVTITCRASQSVSSAVAWYQQKPGKAPKLLIYSASSLYSGVPSRFSGSRSGTDFTLTISSLQPEDFATYYCQQYKYVPVTFGQGTKVEIK"/>
        <s v="EVQLVESGGGLVKPGGSLKVSCAASGFTFSSYAMHWVRQAPGKGLEWVSYIWSGADSIGYADSVKGRFTISRDNAKNSLYLQMNSLRAGDTAVYYCARDDDAFDYWGQGTAVTVSSGGGSGGGSGGGSDIQMTQSPSSLSASVGDRVTITCQASQDIRFYLNWYQQKPGKAPKLLISAASTLQSGVPSRFSGSGSGTDFTLTITSLQPEDFATYYCAGYVPSYTFGPGTKVDIK"/>
        <s v="EVQLVESGGGLVKPGGSLKVSCAASGFTFSSYSMHWVRQAPGKGLEWVSSIWSGADSTGYADSVKGRFTISRDNAKNSLYLQMNSLRAGDTAVYYCARDDDAFDYWGQGTAVTVSSGGGSGGGSGGGSDIQMTQSPSSLSASVGDRVTITCQASQDIRFYLNWYQQKPGKAPKLLISAASTLQSGVPSRFSGSGSGTDFTLTITSLQPEDFATYYCAGYVPSYTFGPGTKVDIK"/>
        <s v="EVQLVESGGGLVKPGGSLKVSCAASGFTFSSYAMHWVRQAPGKGLEWVSRIWSGADSTGYADSVKGRFTISRDNAKNSLYLQMNSLRAGDTAVYYCARDDDAFDYWGQGTAVTVSSGGGSGGGSGGGSDIQMTQSPSSLSASVGDRVTITCQASQDIRFYLNWYQQKPGKAPKLLISAASTLQSGVPSRFSGSGSGTDFTLTITSLQPEDFATYYCAGYVPSYTFGPGTKVDIK"/>
        <s v="EVQLVESGGGLVKPGGSLKVSCAASGFTFSSYAMHWVRQAPGKGLEWVSYIWSGADSIGYADSVKGRFTISRDNAKNSLYLQMNSLRAGDTAVYYCARYDDAFDYWGQGTAVTVSSGGGSGGGSGGGSDIQMTQSPSSLSASVGDRVTITCQASQDIRFYLNWYQQKPGKAPKLLISAASTLQSGVPSRFSGSGSGTDFTLTITSLQPEDFATYYCAGYVPSYTFGPGTKVDIK"/>
        <s v="EVQLVESGGGLVKPGGSLKVSCAASGFTFSSYSMHWVRQAPGKGLEWVSRIWSGTDSIGYADSVKGRFTISRDNAKNSLYLQMNSLRAGDTAVYYCARDDDAFDYWGQGTAVTVSSGGGSGGGSGGGSDIQMTQSPSSLSASVGDRVTITCQASQDIRFYLNWYQQKPGKAPKLLISAASTLQSGVPSRFSGSGSGTDFTLTITSLQPEDFATYYCAGYVPSYTFGPGTKVDIK"/>
        <s v="EVQLVESGGGLVKPGGSLKVSCAASGFTFSSYAMHWVRQAPGKGLEWVSYIWSGVDSIGYADSVKGRFTISRDNAKNSLYLQMNSLRAGDTAVYYCARDDDAFDYWGQGTAVTVSSGGGSGGGSGGGSDIQMTQSPSSLSASVGDRVTITCQASQDIRFYLNWYQQKPGKAPKLLISAASTLQSGVPSRFSGSGSGTDFTLTITSLQPEDFATYYCAGYVPSYTFGPGTKVDIK"/>
        <s v="EVQLVESGGGLVKPGGSLKVSCAASGFTFSSFAMHWVRQAPGKGLEWVSYIWSGADSTGYADSVKGRFTISRDNAKNSLYLQMNSLRAGDTAVYYCARDDDAFDYWGQGTAVTVSSGGGSGGGSGGGSDIQMTQSPSSLSASVGDRVTITCQASQDIRFYLNWYQQKPGKAPKLLISAASTLQSGVPSRFSGSGSGTDFTLTITSLQPEDFATYYCAGYVPSYTFGPGTKVDIK"/>
        <s v="EVQLVESGGGLVKPGGSLKVSCAASGFTFSSYSMVWVRQAPGKGLEWVSRIWSGVDSTGYADSVKGRFTISRDNAKNSLYLQMNSLRAGDTAVYYCARDDDAFDYWGQGTAVTVSSGGGSGGGSGGGSDIQMTQSPSSLSASVGDRVTITCQASQDIRFYLNWYQQKPGKAPKLLISAASTLQSGVPSRFSGSGSGTDFTLTITSLQPEDFATYYCAGYVPSYTFGPGTKVDIK"/>
        <s v="EVQLVESGGGLVQPGGSLRLSCAASGFNISYSSIHWVRQAPGKGLEWVASISSYSGSTYYADSVKGRFTISADTSKNTAYLQMNSLRAEDTAVYYCARGGYVPVGWYALDYWGQGTLVTVSSGGGSGGGSGGGSGGGSDIQMTQSPSSLSASVGDRVTITCRASQSVSTAVAWYQQKPGKAPKLLIYYASDRYSGVPSRFSGSRSGTDFTLTISSLQPEDFATYYCQQHYNYPLTFGQGTKVEIK"/>
        <s v="EVQLVESGGGLVQPGGSLRLSCAASGFNISYSSIHWVRQAPGKGLEWVASISSYSGSTYYADSVKGRFTISADTSKNTAYLQMNSLRAEDTAVYYCARGGAVPVGWYALDYWGQGTLVTVSSGGGSGGGSGGGSGGGSDIQMTQSPSSLSASVGDRVTITCRASQSVSDDVAWYQQKPGKAPKLLIYRASDRYFGVPSRFSGSRSGTDFTLTISSLQPEDFATYYCQQYYSYPITFGQGTKVEIK"/>
        <s v="EVQLVESGGGLVQPGGSLRLSCAASGFNISYSSIHWVRQAPGKGLEWVASISSYSGSTYYADSVKGRFTISADTSKNTAYLQMNSLRAEDTAVYYCARGGDVPNGWYALDYWGQGTLVTVSSGGGSGGGSGGGSGGGSDIQMTQSPSSLSASVGDRVTITCRASQSVYTAVAWYQQKPGKAPKLLIYFASDRYSGVPSRFSGSRSGTDFTLTISSLQPEDFATYYCQQHYYYPITFGQGTKVEIK"/>
        <s v="EVQLVESGGGLVQPGGSLRLSCAASGFNISYSSIHWVRQAPGKGLEWVASISSYSGSTYYADSVKGRFTISADTSKNTAYLQMNSLRAEDTAVYYCARGGDVPVGWYALDYWGQGTLVTVSSGGGSGGGSGGGSGGGSDIQMTQSPSSLSASVGDRVTITCRASQSVSDAVAWYQQKPGKAPKLLIYYASDRYAGVPSRFSGSRSGTDFTLTISSLQPEDFATYYCQQYYSYPLTFGQGTKVEIK"/>
        <s v="EVQLVESGGGLVQPGGSLRLSCAASGFNISSSSIHWVRQAPGKGLEWVASISSSSGSTYYADSVKGRFTISADTSKNTAYLQMNSLRAEDTAVYYCARGGDVPNGWYALDYWGQGTLVTVSSGGGSGGGSGGGSGGGSDIQMTQSPSSLSASVGDRVTITCRASQSVYTAVAWYQQKPGKAPKLLIYRASDRYAGVPSRFSGSRSGTDFTLTISSLQPEDFATYYCQQYYYYPLTFGQGTKVEIK"/>
        <s v="EVQLVESGGGLVQPGGSLRLSCAASGFNISYSSIHWVRQAPGKGLEWVASISSYSGSTYYADSVKGRFTISADTSKNTAYLQMNSLRAEDTAVYYCARGGDVPVGYYALDYWGQGTLVTVSSGGGSGGGSGGGSGGGSDIQMTQSPSSLSASVGDRVTITCRASQSVNTAVAWYQQKPGKAPKLLIYSASDRYFGVPSRFSGSRSGTDFTLTISSLQPEDFATYYCQQHYSYPLTFGQGTKVEIK"/>
        <s v="EVQLVESGGGLVQPGGSLRLSCAASGFNISYSSIHWVRQAPGKGLEWVASISSYSGSTYYADSVKGRFTISADTSKNTAYLQMNSLRAEDTAVYYCARGGDVPNGWYALDYWGQGTLVTVSSGGGSGGGSGGGSGGGSDIQMTQSPSSLSASVGDRVTITCRASQSVYTAVAWYQQKPGKAPKLLIYSASDRYSGVPSRFSGSRSGTDFTLTISSLQPEDFATYYCQQYASYPITFGQGTKVEIK"/>
        <s v="EVQLVESGGGLVQPGGSLRLSCAASGFNISYSSIHWVRQAPGKGLEWVASISSYSGSTYYADSVKGRFTISADTSKNTAYLQMNSLRAEDTAVYYCARGGAVPVGWYALDYWGQGTLVTVSSGGGSGGGSGGGSGGGSDIQMTQSPSSLSASVGDRVTITCRASQSVSIAVAWYQQKPGKAPKLLIYSASDRYFGVPSRFSGSRSGTDFTLTISSLQPEDFATYYCQQYYSYPLTFGQGTKVEIK"/>
        <s v="EVQLVESGGGLVQPGGSLRLSCAASGFNISYSSIHWVRQAPGKGLEWVASISSYSGSTYYADSVKGRFTISADTSKNTAYLQMNSLRAEDTAVYYCARGGDVPVGWYALDYWGQGTLVTVSSGGGSGGGSGGGSGGGSDIQMTQSPSSLSASVGDRVTITCRASQSVYYAVAWYQQKPGKAPKLLIYRASDRYSGVPSRFSGSRSGTDFTLTISSLQPEDFATYYCQQYYSYPLTFGQGTKVEIK"/>
        <s v="EVQLVESGGGLVQPGGSLRLSCAASGFNISYSSIHWVRQAPGKGLEWVASISSYSGSTYYADSVKGRFTISADTSKNTAYLQMNSLRAEDTAVYYCARGGYVPVGWYALDYWGQGTLVTVSSGGGSGGGSGGGSGGGSDIQMTQSPSSLSASVGDRVTITCRASQSVYTAVAWYQQKPGKAPKLLIYRASDRYFGVPSRFSGSRSGTDFTLTISSLQPEDFATYYCQQYYYYPLTFGQGTKVEIK"/>
        <s v="EVQLVESGGGLVQPGGSLRLSCAASGFNISYSSIHWVRQAPGKGLEWVASISSYSGYTYYADSVKGRFTISADTSKNTAYLQMNSLRAEDTAVYYCARGGWRPIGSYALDYWGQGTLVTVSSGGGSGGGSGGGSGGGSGGGSDIQMTQSPSSLSASVGDRVTITCRASQDVFSAVAWYQQKPGKAPKLLIYYASFLYSGVPSRFSGSRSGTDFTLTISSLQPEDFATYYCQQHSVVPITFGQGTKVEIK"/>
        <s v="EVQLVESGGGLVQPGGSLRLSCAASGFNISYSSIHWVRQAPGKGLEWVASISSYSGSTYYADSVKGRFTISADTSKNTAYLQMNSLRAEDTAVYYCARGGYRPIGNYALDYWGQGTLVTVSSGGGSGGGSGGGSGGGSGGGSDIQMTQSPSSLSASVGDRVTITCRASQDVDSAVAWYQQKPGKAPKLLIYYASFLYSGVPSRFSGSRSGTDFTLTISSLQPEDFATYYCQQHYVVPVTFGQGTKVEIK"/>
        <s v="EVQLVESGGGLVQPGGSLRLSCAASGFNISYYSIHWVRQAPGKGLEWVASISSYSGYTYYADSVKGRFTISADTSKNTAYLQMNSLRAEDTAVYYCARGGDRPSGCYALDYWGQGTLVTVSSGGGSGGGSGGGSGGGSGGGSDIQMTQSPSSLSASVGDRVTITCRASQDVFSAVAWYQQKPGKAPKLLIYFASFLYSGVPSRFSGSRSGTDFTLTISSLQPEDFATYYCQQHYEVPITFGQGTKVEIK"/>
        <s v="EVQLVESGGGLVQPGGSLRLSCAASGFNISYSSIHWVRQAPGKGLEWVASISSYSGYTYYADSVKGRFTISADTSKNTAYLQMNSLRAEDTAVYYCARGGSLPTGCYALDYWGQGTLVTVSSGGGSGGGSGGGSGGGSGGGSDIQMTQSPSSLSASVGDRVTITCRASQDVDSAVAWYQQKPGKAPKLLIYFASSLYSGVPSRFSGSRSGTDFTLTISSLQPEDFATYYCQQHYDAPITFGQGTKVEIK"/>
        <s v="EVQLVESGGGLVQPGGSLRLSCAASGFNISYSSIHWVRQAPGKGLEWVASISSYSGYTYYADSVKGRFTISADTSKNTAYLQMNSLRAEDTAVYYCARGGWYPWGCDALDYWGQGTLVTVSSGGGSGGGSGGGSGGGSGGGSDIQMTQSPSSLSASVGDRVTITCRASQDVDSAVAWYQQKPGKAPKLLIYFASFLYSGVPSRFSGSRSGTDFTLTISSLQPEDFATYYCQQHYDVPITFGQGTKVEIK"/>
        <s v="EVQLVESGGGLVQPGGSLRLSCAASGFNISYSSIHWVRQAPGKGLEWVASISSYSGYTYYADSVKGRFTISADTSKNTAYLQMNSLRAEDTAVYYCARGGDRPVGCYALDYWGQGTLVTVSSGGGSGGGSGGGSGGGSGGGSDIQMTQSPSSLSASVGDRVTITCRASQDVTSAVAWYQQKPGKAPKLLIYSASFRYSGVPSRFSGSRSGTDFTLTISSLQPEDFATYYCQQHYVVPVTFGQGTKVEIK"/>
        <s v="EVQLVESGGGLVQPGGSLRLSCAASGFNISYSSIHWVRQAPGKGLEWVASISSYSGYTYYADSVKGRFTISADTSKNTAYLQMNSLRAEDTAVYYCARGGWYPLGCYAMDYWGQGTLVTVSSGGGSGGGSGGGSGGGSGGGSDIQMTQSPSSLSASVGDRVTITCRASQDVLSDVAWYQQKPGKAPKLLIYYASFRYSGVPSRFSGSRSGTDFTLTISSLQPEDFATYYCQQHYVVPVTFGQGTKVEIK"/>
        <s v="EVQLVESGGGLVQPGGSLRLSCAASGFNISYSSIHWVRQAPGKGLEWVASISSYSGYTYYADSVKGRFTISADTSKNTAYLQMNSLRAEDTAVYYCARGGWRPFGCYALDYWGQGTLVTVSSGGGSGGGSGGGSGGGSGGGSDIQMTQSPSSLSASVGDRVTITCRASQDVFSAVAWYQQKPGKAPKLLIYSASFLYSGVPSRFSGSRSGTDFTLTISSLQPEDFATYYCQQHYIYPVTFGQGTKVEIK"/>
        <s v="EVQLVESGGGLVQPGGSLRLSCAASGFNISYSSIHWVRQAPGKGLEWVASISSYSGSTYYADSVKGRFTISADTSKNTAYLQMNSLRAEDTAVYYCARGGWYPWGNYALDYWGQGTLVTVSSGGGSGGGSGGGSGGGSGGGSDIQMTQSPSSLSASVGDRVTITCRASQDVNTAVAWYQQKPGKAPKLLIYEASFRYSGVPSRFSGSRSGTDFTLTISSLQPEDFATYYCQQHYEVPITFGQGTKVEIK"/>
        <s v="EVQLVESGGGLVQPGGSLRLSCAASGFNISYSSIHWVRQAPGKGLEWVASISSYSGSTYYADSVKGRFTISADTSKNTAYLQMNSLRAEDTAVYYCARGGSRPWGCYALDYWGQGTLVTVSSGGGSGGGSGGGSGGGSGGGSDIQMTQSPSSLSASVGDRVTITCRASQDVFTAVAWYQQKPGKAPKLLIYFASFLYSGVPSRFSGSRSGTDFTLTISSLQPEDFATYYCQQYSIVPVTFGQGTKVEIK"/>
        <s v="EVQLVESGGGLVQPGGSLRLSCAASGFNISYSSIHWVRQAPGKGLEWVASISSYSGSTYYADSVKGRFTISADTSKNTAYLQMNSLRAEDTAVYYCARGGDVPVGWYALDYWGQGTLVTVSSGGGSGGGSGGGSGGGSGGGSDIQMTQSPSSLSASVGDRVTITCRASQSVYYAVAWYQQKPGKAPKLLIYRASDLYSGVPSRFSGSRSGTDFTLTISSLQPEDFATYYCQQYYSYPLTFGQGTKVEIK"/>
        <m/>
        <s v="EVQLVESGGGLVQPGGSLRLSCAASGFNISYSSIHWVRQAPGKGLEWVASISSYSGSTYYADSVKGRFTISADTSKNTAYLQMNSLRAEDTAVYYCARGGDVPVGWYALDYWGQGTLVTVSSGGGSGGGSGGGSGGGSGGGSDIQMTQSPSSLSASVGDRVTITCRASQSVYYAVAWYQQKPGKAPKLLIYRASDRYSGVPSRFSGSRSGTDFTLTISSLQPEDFATYYCQQYYSYPLTFGQGTKVEIK" u="1"/>
      </sharedItems>
    </cacheField>
    <cacheField name="len_franken_chain" numFmtId="0">
      <sharedItems containsString="0" containsBlank="1" containsNumber="1" containsInteger="1" minValue="231" maxValue="250"/>
    </cacheField>
    <cacheField name="len_lte_250" numFmtId="0">
      <sharedItems containsBlank="1"/>
    </cacheField>
    <cacheField name="status_folded_boltz2" numFmtId="0">
      <sharedItems containsBlank="1"/>
    </cacheField>
    <cacheField name="status_folded_franken_boltz2" numFmtId="0">
      <sharedItems containsBlank="1"/>
    </cacheField>
    <cacheField name="min_ipsae" numFmtId="0">
      <sharedItems containsBlank="1" containsMixedTypes="1" containsNumber="1" minValue="0" maxValue="0.572295"/>
    </cacheField>
    <cacheField name="max_ipsae" numFmtId="0">
      <sharedItems containsBlank="1" containsMixedTypes="1" containsNumber="1" minValue="0" maxValue="0.73576600000000003"/>
    </cacheField>
    <cacheField name="submitted_to_comp" numFmtId="0">
      <sharedItems containsNonDate="0" containsDate="1" containsString="0" containsBlank="1" minDate="2023-11-12T00:00:00" maxDate="2025-12-01T00:00:00" count="21">
        <d v="2025-11-07T00:00:00"/>
        <d v="2025-11-08T00:00:00"/>
        <d v="2025-11-09T00:00:00"/>
        <d v="2025-11-10T00:00:00"/>
        <d v="2025-11-11T00:00:00"/>
        <d v="2025-11-12T00:00:00"/>
        <d v="2025-11-13T00:00:00"/>
        <d v="2025-11-15T00:00:00"/>
        <m/>
        <d v="2025-11-16T00:00:00"/>
        <d v="2025-11-17T00:00:00"/>
        <d v="2025-11-18T00:00:00"/>
        <d v="2025-11-22T00:00:00"/>
        <d v="2025-11-26T00:00:00"/>
        <d v="2025-11-28T00:00:00"/>
        <d v="2025-11-29T00:00:00"/>
        <d v="2025-11-30T00:00:00"/>
        <d v="2025-11-23T00:00:00" u="1"/>
        <d v="2025-11-21T00:00:00" u="1"/>
        <d v="2025-11-14T00:00:00" u="1"/>
        <d v="2023-11-12T00:00:00" u="1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59">
  <r>
    <x v="0"/>
    <s v="peleke-1"/>
    <x v="0"/>
    <n v="0.7"/>
    <s v="base"/>
    <m/>
    <s v="nipah_gpG"/>
    <m/>
    <s v="QVQLVESGGGVVQPGRSLRLSCAASGFTFSSYGMHWVRQAPGKGLEWVAVISYDGSKKYYADSVKGRFTISRDNSKNTLYLQMNSLRAEDTAVYYCARSPFYDSSGYYAMDYWGQGTLVTVSS"/>
    <s v="DIQLTQSPSSLSASVGDRVTITCRASQGISSYLAWYQQKPGKAPKLLIYAASTLQSGVPSRFSGSGSGTDFTLTISSLQPEDFATYYCQQANSFPPTFGQGTKVEIK"/>
    <b v="1"/>
    <s v="GGGSGGGSGGGSGGGS"/>
    <x v="0"/>
    <n v="246"/>
    <b v="1"/>
    <b v="1"/>
    <b v="1"/>
    <n v="5.3039999999999997E-3"/>
    <n v="2.5982999999999999E-2"/>
    <x v="0"/>
  </r>
  <r>
    <x v="1"/>
    <s v="peleke-1"/>
    <x v="0"/>
    <n v="0.7"/>
    <s v="base"/>
    <m/>
    <s v="nipah_gpG"/>
    <m/>
    <s v="QVQLVESGGGVVQPGKSLRLSCAASGFTFSSYAMSWVRQAPGKGPEWVAFISYDGSNNYYADSVKGRFTISRDNPKNTLYLQMKSLRAEDTAVYYCARWRQRFDMYWGRGTLVTVSS"/>
    <s v="DIQMTQSPSSLSASVGDRVTITCRASQSISSYLNWYQQKPGKAPKLLIYAASSLQSGVPSRFSGSGSGTDFTLTISSLQPEDFATYYCQQSYSTPYTFGQGTKVEIK"/>
    <b v="1"/>
    <s v="GGGSGGGSGGGSGGGS"/>
    <x v="1"/>
    <n v="240"/>
    <b v="1"/>
    <b v="1"/>
    <b v="1"/>
    <n v="0"/>
    <n v="5.2459999999999998E-3"/>
    <x v="1"/>
  </r>
  <r>
    <x v="2"/>
    <s v="peleke-1"/>
    <x v="0"/>
    <n v="0.9"/>
    <s v="base"/>
    <m/>
    <s v="nipah_gpG"/>
    <m/>
    <s v="QVQLQESGPGLVKPSETLSLTCTVSGASIRGYYWSWIRQFPGKELEWIGYVYSGSTENYNPSLKSRVTVTLTDTKNSFSLKLNSVTSEDTAVYYCARGGALIYYDVWGTGTTVTVSS"/>
    <s v="DIQVTQSPVSLSASVGDRVTITCRASQGIDSLNWFQQRPGKAPKLLIYAASQLTGIAPRFRSGSGSGTDFTLTISSLQPEDFATYYCQQYNIYPATFGQGTKVEIK"/>
    <b v="1"/>
    <s v="GGGSGGGSGGGSGGGS"/>
    <x v="2"/>
    <n v="239"/>
    <b v="1"/>
    <b v="1"/>
    <b v="1"/>
    <n v="4.7468000000000003E-2"/>
    <n v="9.3658000000000005E-2"/>
    <x v="1"/>
  </r>
  <r>
    <x v="3"/>
    <s v="peleke-1"/>
    <x v="0"/>
    <n v="0.9"/>
    <s v="base"/>
    <m/>
    <s v="nipah_gpG"/>
    <m/>
    <s v="EVQLVQSGAEVKKPGESLKISCKGSGYTFSYYWIGWVRQMPGKGLEWMGIIYPGDSDTRYSPSFQGQVTISADKSISTAYLQWSSLKASDTAMYYCARGEGVFDYWGQGTLVTVSS"/>
    <s v="YTLTQAPSVSASGQSVTISCTGTSRDVGTYWYQQIPGRAPKLLIHDKSENQGKTPGIPDRFSGSKSGNTASLVIIRGLQADDEADYYCNSYHGSGSNIFGGGTKLTVD"/>
    <b v="1"/>
    <s v="GGGSGGGSGGGSGGGS"/>
    <x v="3"/>
    <n v="240"/>
    <b v="1"/>
    <b v="1"/>
    <b v="1"/>
    <n v="1.2938E-2"/>
    <n v="5.7574E-2"/>
    <x v="1"/>
  </r>
  <r>
    <x v="4"/>
    <s v="peleke-1"/>
    <x v="0"/>
    <n v="0.5"/>
    <s v="base"/>
    <m/>
    <s v="nipah_gpG"/>
    <m/>
    <s v="EVQLVESGGGLVQPGGSLRLSCAASGFTFSSYWMNWVRQAPGKGLEWVANINQDGGEKYYVDSVKGRFTISRDNAKNSLYLQMNSLRAEDTAIYYCARDVGGGMDVWGQGTTVTVSS"/>
    <s v="QMTQSPSSLSASVGDRVTITCRASQSVSSAVAWYQQKPGKAPKLLIYSASSLYSGVPSRFSGSRSGTDFTLTISSLQPEDFATYYCQQSSSSLITFGQGTKVEIK"/>
    <b v="1"/>
    <s v="GGGSGGGSGGGSGGGS"/>
    <x v="4"/>
    <n v="238"/>
    <b v="1"/>
    <b v="1"/>
    <b v="1"/>
    <n v="0"/>
    <n v="5.0559999999999997E-3"/>
    <x v="1"/>
  </r>
  <r>
    <x v="5"/>
    <s v="General LLM"/>
    <x v="1"/>
    <m/>
    <s v="base"/>
    <m/>
    <s v="nipah_gpG"/>
    <m/>
    <s v="QVQLVESGGGVVQPGRSLRLSCAASGFTFSSYAMSWVRQAPGKGLEWVSAIWSNGGSTYYADSVKGRFTISRDNAKNSLYLQMNSLRAEDTAVYYCARDYGSYGYFDYWGQGTLVTVSS"/>
    <s v="DIVMTQSPLSLPVTPGEPASISCRSSQSLLYSNGNTYLEWYLQKPGQSPQLLIYLVSKLDSGVPDRFSGSGSGTDFTLKISRVEAEDLGIYYCQQSKEVPYTFGAGTKLEIK"/>
    <b v="1"/>
    <s v="GGGSGGGSGGGSGGGS"/>
    <x v="5"/>
    <n v="247"/>
    <b v="1"/>
    <b v="1"/>
    <b v="1"/>
    <n v="0"/>
    <n v="0"/>
    <x v="1"/>
  </r>
  <r>
    <x v="6"/>
    <s v="peleke-1 + ProteinMPNN"/>
    <x v="2"/>
    <n v="0.1"/>
    <s v="derivative"/>
    <s v="sbio-nipahgpg-001"/>
    <s v="nipah_gpG"/>
    <n v="1"/>
    <s v="AVSLVESGGGTVKPGESVTLSCQASGFNFSKYQWVWVRQAPGKGLEWVGQISPDGSKTRYHPSVAGRFTISRDNSNSTLYLHMSNLRPEDTAVYYCGIIPQDNVHGDYSISHWGQGTLLTVSA"/>
    <s v="AIKLTQSPKSLSASVGDTVTINCTASRPIGDLLSWYKQKPGKPPQLLIYRSSTLASGVSSRYSGSGSDTNFTLTISSLQSSDFATYYCRQTSRFPITFGEGTTINKK"/>
    <b v="1"/>
    <s v="GGGSGGGSGGGSGGGS"/>
    <x v="6"/>
    <n v="246"/>
    <b v="1"/>
    <b v="1"/>
    <b v="1"/>
    <n v="0"/>
    <n v="0"/>
    <x v="0"/>
  </r>
  <r>
    <x v="7"/>
    <s v="peleke-1 + ProteinMPNN"/>
    <x v="2"/>
    <n v="0.1"/>
    <s v="derivative"/>
    <s v="sbio-nipahgpg-001"/>
    <s v="nipah_gpG"/>
    <n v="1"/>
    <s v="AVSITESGGGTKAPGSSVTLSCKVSGFVFSKYSIAWVRQAPGQGLEWVSQISPDGSTTRYNPAVAGRFTISRDNSNSTAYLQMSNLTPSDTATYYCAIIPQDNEHGDYSLSHWGQGTQLTVSA"/>
    <s v="AIKLTQSPKSLSAKVGDTVTINCTASAPIGDFLSWYKQKPGQPPQLLIYKSSTLAPGVSSRYSGSGSDTNFTLTISSLQEEDFATYYCQQTATLPITFGEGTTINKK"/>
    <b v="1"/>
    <s v="GGGSGGGSGGGSGGGS"/>
    <x v="7"/>
    <n v="246"/>
    <b v="1"/>
    <b v="1"/>
    <b v="1"/>
    <n v="0"/>
    <n v="0"/>
    <x v="1"/>
  </r>
  <r>
    <x v="8"/>
    <s v="peleke-1 + ProteinMPNN"/>
    <x v="2"/>
    <n v="0.1"/>
    <s v="derivative"/>
    <s v="sbio-nipahgpg-001"/>
    <s v="nipah_gpG"/>
    <n v="1"/>
    <s v="SISLVESGGGTVAPGSSVTLSCQASGFNFSKYSKAWVRQPPGQPLEWVSRISPDGSTKYYHPDVAGRFTISKDNSKSTVYLAMSNLTAADTATYYCGIIPGDNTHGDYAMSHWGQGTLLTVSA"/>
    <s v="AITLTQSPSSLSASVGDTVTISCTASRPIGDKLSWYKQKPGQPPQLLIYNASTLAPGVSSRYSGSGSDTSFTLTISSLQEDDFATYYCQQTYTLPITFGQGTTISKK"/>
    <b v="1"/>
    <s v="GGGSGGGSGGGSGGGS"/>
    <x v="8"/>
    <n v="246"/>
    <b v="1"/>
    <b v="1"/>
    <b v="1"/>
    <n v="0"/>
    <n v="0"/>
    <x v="0"/>
  </r>
  <r>
    <x v="9"/>
    <s v="peleke-1 + ProteinMPNN"/>
    <x v="2"/>
    <n v="0.1"/>
    <s v="derivative"/>
    <s v="sbio-nipahgpg-001"/>
    <s v="nipah_gpG"/>
    <n v="1"/>
    <s v="GVSLTESGGGTVAPGSSVTLSCKASGFNFSKYSHAWVRQAPGQGLTWVGEISPDGSKTRYASSVAGRFTISRDNSNSTVYLQMSSLTPSDTATYYCGIIPGDSVHGERSMSHWGQGTLLTVSA"/>
    <s v="AITLTQSPSSLSASVGDTVTLNCTASRPIGDRLSWYKQKPGQAPQLLIYRASTLAPGVSSRYSGSGSDTQFTLTISSLQSDDFATYYCQQTSSYPVTFGQGTTITKK"/>
    <b v="1"/>
    <s v="GGGSGGGSGGGSGGGS"/>
    <x v="9"/>
    <n v="246"/>
    <b v="1"/>
    <b v="1"/>
    <b v="1"/>
    <n v="0.222529"/>
    <n v="0.346188"/>
    <x v="0"/>
  </r>
  <r>
    <x v="10"/>
    <s v="peleke-1 + ProteinMPNN"/>
    <x v="2"/>
    <n v="0.1"/>
    <s v="derivative"/>
    <s v="sbio-nipahgpg-001"/>
    <s v="nipah_gpG"/>
    <n v="1"/>
    <s v="EVSLVESGGGTVKPGESVTLSCQASGFNFSKYRLAWVRQPPGQGLVWVSEISPDGTEVKYHPDVKGRFTASRDNSNSTAYLKMNNLQPSDTATYYCGIIPQDSSHGDYSISHWGQGTQLTVSA"/>
    <s v="TITLTQSPSSLSASVGDTVTINCTASRPIGDFLSWYKQKPGQPPQLLIYRSSTLASGVSSRYSGSGSDTNFTLTISSLQSDDFATYYCQQTYTLPITFGQGTTLTKK "/>
    <b v="1"/>
    <s v="GGGSGGGSGGGSGGGS"/>
    <x v="10"/>
    <n v="247"/>
    <b v="1"/>
    <b v="1"/>
    <b v="1"/>
    <m/>
    <m/>
    <x v="1"/>
  </r>
  <r>
    <x v="11"/>
    <s v="peleke-1 + ProteinMPNN"/>
    <x v="2"/>
    <n v="0.1"/>
    <s v="derivative"/>
    <s v="sbio-nipahgpg-001"/>
    <s v="nipah_gpG"/>
    <n v="1"/>
    <s v="AVSLVESGGGTYAPGSSVTLSCQGSGFNFSKVRKVWVRQPPGGPLEYVAEISPDGSTTTYASSVAGRFTISKDNSNSTLYLSMSNLTPADTATYYCGLIPGDSEHGDRSISHWGQGTLVTVSA"/>
    <s v="AITLTQSPSSLSASVGDTVTINCTASQPIGNFLSWYKQKPGQPPQLLIYNASTLAPGVSSRYSGSGSDTNFTLTISSLQSEDFATYYCQQTSRLPVTFGQGTTINKK"/>
    <b v="1"/>
    <s v="GGGSGGGSGGGSGGGS"/>
    <x v="11"/>
    <n v="246"/>
    <b v="1"/>
    <b v="1"/>
    <b v="1"/>
    <n v="0"/>
    <n v="0"/>
    <x v="1"/>
  </r>
  <r>
    <x v="12"/>
    <s v="peleke-1 + ProteinMPNN"/>
    <x v="2"/>
    <n v="0.1"/>
    <s v="derivative"/>
    <s v="sbio-nipahgpg-001"/>
    <s v="nipah_gpG"/>
    <n v="1"/>
    <s v="GISLVESGGGTVKPGESVTLSCKASGFVFSKYSHAWVRQPPGGPLEWVSQISSDGSVTRYASSVSGRFTISRDNSNSTVYLQMNNLRPSDTATYYCGIIPQDNVHGDYAISHWGQGTLLTVTA"/>
    <s v="AITLTQSPASLSAKVGDTVTLSCTASRPIGDLLSWYKQKPGQPPQLLIYRASTLAPGVDSRYSGSGSDTSFTLTISSLQPEDFATYYCQQTSRFPITFGQGTTIKQA"/>
    <b v="1"/>
    <s v="GGGSGGGSGGGSGGGS"/>
    <x v="12"/>
    <n v="246"/>
    <b v="1"/>
    <b v="1"/>
    <b v="1"/>
    <n v="0"/>
    <n v="0"/>
    <x v="0"/>
  </r>
  <r>
    <x v="13"/>
    <s v="peleke-1 + ProteinMPNN"/>
    <x v="3"/>
    <n v="0.15"/>
    <s v="derivative"/>
    <s v="sbio-nipahgpg-001"/>
    <s v="nipah_gpG"/>
    <n v="1"/>
    <s v="PVSLVESGGGTVAPGSSVTLTCQASGFNFSKYIVAWVRQPPGQPLRFVAMITPDGSKVWLHPEVEGRFTPSKDNSKNTSYLQLKDLQPEDTATYYCGIIPQGSTHGDYSITHWGQGVVLTVTA"/>
    <s v="MVTLTQSPSSLSASVGDTVTITCTASSPVDNLMSWYQQPPGQPLRLLIYNASTRAPGVSSRFSGSGSDTNFTLTISSLQASDFATYYCQQTYRLPVTFGQGTTLSAA "/>
    <b v="1"/>
    <s v="GGGSGGGSGGGSGGGS"/>
    <x v="13"/>
    <n v="247"/>
    <b v="1"/>
    <b v="1"/>
    <b v="1"/>
    <e v="#N/A"/>
    <e v="#N/A"/>
    <x v="1"/>
  </r>
  <r>
    <x v="14"/>
    <s v="peleke-1 + ProteinMPNN"/>
    <x v="3"/>
    <n v="0.15"/>
    <s v="derivative"/>
    <s v="sbio-nipahgpg-001"/>
    <s v="nipah_gpG"/>
    <n v="1"/>
    <s v="SIKLTESGGGTVKPGSSVTLSCQASGFNFSKYEVVWVMQKPGQPLQWVGSISPDGSKVRLHPKVKGRFTLSKDNSKNTAYLTMKNLQPEDTATYYCGIIPGGSVHGDRSITHWGQGVELKVVA"/>
    <s v="MIKLTQSPKSVKAKVGDTVTITCTASEPVDDLVSWYQQKPGQPLRLLIYRSSTLAPGVSSRFSGSGSDTNFTLTISSLQEEDFATYYCMQTSKYPYTFGQGTTLSRA"/>
    <b v="1"/>
    <s v="GGGSGGGSGGGSGGGS"/>
    <x v="14"/>
    <n v="246"/>
    <b v="1"/>
    <b v="1"/>
    <b v="1"/>
    <n v="9.9030000000000003E-3"/>
    <n v="2.6096000000000001E-2"/>
    <x v="0"/>
  </r>
  <r>
    <x v="15"/>
    <s v="peleke-1 + ProteinMPNN"/>
    <x v="3"/>
    <n v="0.15"/>
    <s v="derivative"/>
    <s v="sbio-nipahgpg-001"/>
    <s v="nipah_gpG"/>
    <n v="1"/>
    <s v="AITLTESGGGVVAPGSSVTLTCTASGFNFSKYSMVWVRQPPGGPLQWVAQISPDNSTVRYHPAVEGRFTASKDNSKNTAYLAMSDLEPSDTATYYCGIIPQGSTHNDYSIVHWGQGTELRVVA"/>
    <s v="MIKLTQSPSSLSAKVGDKVTITCTASSPVDNLVSWYKQPPGGPLQLLIYNSSTRAPGVSSRFKGSGSDTNFTLTIESLQEEDFATYYCQQTYKFPITFGQGTKLTRA"/>
    <b v="1"/>
    <s v="GGGSGGGSGGGSGGGS"/>
    <x v="15"/>
    <n v="246"/>
    <b v="1"/>
    <b v="1"/>
    <b v="1"/>
    <n v="0"/>
    <n v="0"/>
    <x v="1"/>
  </r>
  <r>
    <x v="16"/>
    <s v="peleke-1 + ProteinMPNN"/>
    <x v="3"/>
    <n v="0.15"/>
    <s v="derivative"/>
    <s v="sbio-nipahgpg-001"/>
    <s v="nipah_gpG"/>
    <n v="1"/>
    <s v="SISLTESGGGTVAPGSSVTLTCTASGFNFSKYSVAWVRQPPGQPLQWVALISPDGSKKWYHPDVKGRATISKDNSKNTSYLTLSNLQPSDTATYYCGIIPGGNIHGDYSMTHWGQGTQLTVVA"/>
    <s v="MITLTQSPLSLSAKVGDTVTITCTASSPVDDLVSWYQQKPGQPLRLLIRNASERAPGVSSRFSGSGSDTTFTLTISSVQEEDFATYYCQQTSKLPYTFGQGTTLSRA"/>
    <b v="1"/>
    <s v="GGGSGGGSGGGSGGGS"/>
    <x v="16"/>
    <n v="246"/>
    <b v="1"/>
    <b v="1"/>
    <b v="1"/>
    <n v="0"/>
    <n v="0"/>
    <x v="2"/>
  </r>
  <r>
    <x v="17"/>
    <s v="peleke-1 + ProteinMPNN"/>
    <x v="3"/>
    <n v="0.15"/>
    <s v="derivative"/>
    <s v="sbio-nipahgpg-001"/>
    <s v="nipah_gpG"/>
    <n v="1"/>
    <s v="AVTLTESGGGTVAPGSSVTLTCTASGFNFSKYILAWVRQAPGQPLEWVASISPDGSKTRYHPAVKGRATASKDNSKNTAYLELKDLRPEDTATYYCGIIPQGSVHGDYSMTHWGQGTELRVEA"/>
    <s v="PVVLTQSPLSLSAKVGDTVTITCTASSPVDNLVSWYKQAPGQPLQLLIYNATTRAPGVPSRFTGSGSDTTFTLTISSLQPEDFAVYYCQQTYKFPITFGQGTRLTPA"/>
    <b v="1"/>
    <s v="GGGSGGGSGGGSGGGS"/>
    <x v="17"/>
    <n v="246"/>
    <b v="1"/>
    <b v="1"/>
    <b v="1"/>
    <n v="5.0000000000000001E-3"/>
    <n v="5.3550000000000004E-3"/>
    <x v="2"/>
  </r>
  <r>
    <x v="18"/>
    <s v="peleke-1 + ProteinMPNN"/>
    <x v="3"/>
    <n v="0.15"/>
    <s v="derivative"/>
    <s v="sbio-nipahgpg-001"/>
    <s v="nipah_gpG"/>
    <n v="1"/>
    <s v="PVKLVESGGGTVAPGSSVTLTCKASGFNFSKYMVQWVRQAPGGAFQWVGLISPDGSTKWYHPDVEGRFTISKDNSKNTAYLEMRNLTPADTAVYYCGIVPQGSVHGDYSITHWGQGVTLTVTA"/>
    <s v="VVQLTQSPPELSAKVGEKVTITCTASSPVDNLVSWYQQKPGGAPKLLIYNATTLAPGVPSRFSGSGSDTVFTLTIDSLQAEDFATYYCQQTSRLPFTFGQGTVLRPA"/>
    <b v="1"/>
    <s v="GGGSGGGSGGGSGGGS"/>
    <x v="18"/>
    <n v="246"/>
    <b v="1"/>
    <b v="1"/>
    <b v="1"/>
    <n v="5.1789999999999996E-3"/>
    <n v="9.8119999999999995E-3"/>
    <x v="2"/>
  </r>
  <r>
    <x v="19"/>
    <s v="peleke-1 + ProteinMPNN"/>
    <x v="3"/>
    <n v="0.15"/>
    <s v="derivative"/>
    <s v="sbio-nipahgpg-001"/>
    <s v="nipah_gpG"/>
    <n v="1"/>
    <s v="AIKLTESGGGTVKPGSSVTLTCQASGFNFSKYIMAWVRQAPGQPLQWVAQISPDNSVKRYHPEVEGRFTASKDNSKNTAYLEMKNLTPADTATYYCAIIPQGSTQGDYSMVHWGQGVELKVVA"/>
    <s v="PVVLTQSPASLKAAVGDTVTITCTASAPVDNLVSWYKQAPGQPPQLLIYNASTLAPGVPSRFTGSGSDTSFTLTISSLQEEDFATYYCQETSKFPITFGQGTKLEKK"/>
    <b v="1"/>
    <s v="GGGSGGGSGGGSGGGS"/>
    <x v="19"/>
    <n v="246"/>
    <b v="1"/>
    <b v="1"/>
    <b v="1"/>
    <n v="0.28534100000000001"/>
    <n v="0.38202399999999997"/>
    <x v="2"/>
  </r>
  <r>
    <x v="20"/>
    <s v="peleke-1 + ProteinMPNN"/>
    <x v="3"/>
    <n v="0.15"/>
    <s v="derivative"/>
    <s v="sbio-nipahgpg-001"/>
    <s v="nipah_gpG"/>
    <n v="1"/>
    <s v="SIKLTESGGGVVAPGESVTLTCTASGFNFSKYEMAWVRQAPGGPLEFVAVISPDGSTTRYHPRVEGRATISRDNSKNTAYLTLRDLTPADTAVYYCGIIPGGSVHGDRALSHWGQGVRLEVRA"/>
    <s v="MVTLTQSPSSLSAKVGDKVTISCTASEPVDDLVSWYKQAPGGPPQLLISRASTRAPGVPSRFSGSGSDTNFTLTIESLQSSDFATYYCQQTYKFPDTFGQGTTLSEA"/>
    <b v="1"/>
    <s v="GGGSGGGSGGGSGGGS"/>
    <x v="20"/>
    <n v="246"/>
    <b v="1"/>
    <b v="1"/>
    <b v="1"/>
    <n v="0"/>
    <n v="0"/>
    <x v="2"/>
  </r>
  <r>
    <x v="21"/>
    <s v="ProteinMPNN"/>
    <x v="4"/>
    <n v="0.1"/>
    <s v="derivative"/>
    <s v="m102.3 (PDB: 6CMI)"/>
    <s v="nipah_gpG"/>
    <n v="2"/>
    <s v="SVTLVESGDQTVAPGGSVTLSCTSSGGSFGNSGVSWVKQQPGGPLQWIGGIIPSLGISKVSPEYAGRVTISSDSSNNTAYLTISNLTAADTATYYCALGEGEDVFASSPFASNVNLGALSVWGQGTKVTVS"/>
    <s v="ITVTQSPSSPSLKVGETATLTCTLSAPVPRSNVAWYKQQPGQPPTLLIYGGSTRAPGVPSRYSGSGSGTTFTLTITALKPEDFATYYCQVYGENPSFGQGTTLKLK "/>
    <b v="1"/>
    <s v="GGGSGGGSGGGS"/>
    <x v="21"/>
    <n v="250"/>
    <b v="1"/>
    <b v="1"/>
    <b v="1"/>
    <m/>
    <m/>
    <x v="2"/>
  </r>
  <r>
    <x v="22"/>
    <s v="ProteinMPNN"/>
    <x v="4"/>
    <n v="0.1"/>
    <s v="derivative"/>
    <s v="m102.3 (PDB: 6CMI)"/>
    <s v="nipah_gpG"/>
    <n v="2"/>
    <s v="GVKLVQSGDLTVKPGGSVTLSCKSEGGSFGNSSVAWVRQRPGGPYEYIGSIIPAYGVSRVSPEYEGRVTISADVANNTAYLTISNLTPEDTATYYCALGPGEVVYAASPFDEKLLTGALSVWGEGTLVTVT"/>
    <s v="ITVTQSPSSPSLSVGDTATLTCTLSSSVATSNVAWYKQLPGQPPELLISGGSTRAPGVPSRYSGSGSGTTFTLTISSLQASDFATYYCQVYGENPSFGQGTTLTLK"/>
    <b v="1"/>
    <s v="GGGSGGGSGGGS"/>
    <x v="22"/>
    <n v="249"/>
    <b v="1"/>
    <b v="1"/>
    <b v="1"/>
    <n v="0"/>
    <n v="0"/>
    <x v="0"/>
  </r>
  <r>
    <x v="23"/>
    <s v="ProteinMPNN"/>
    <x v="4"/>
    <n v="0.1"/>
    <s v="derivative"/>
    <s v="m102.3 (PDB: 6CMI)"/>
    <s v="nipah_gpG"/>
    <n v="2"/>
    <s v="AVKLVQSGDQTVAPGGSVTLSCTSSGGSFGNSSVAWVRQRPGGPFEFIGSIIPSLGISRYNSKYKGRVTISSDAANNTAYLTISNLTAADTATYYCALGPGESVFASHPFKEKLLTGALSVWGEGTLVTVS"/>
    <s v="ITVTQSPSSPSKSVGDTVTLTCTLSSSVPVSQVAWYKQHPGQPPELLIYGGSTRASGVPSRYSGSGSGTTFTLTISSLQPEDFATYYCQVYGEEPSFGQGTTVTLA"/>
    <b v="1"/>
    <s v="GGGSGGGSGGGS"/>
    <x v="23"/>
    <n v="249"/>
    <b v="1"/>
    <b v="1"/>
    <b v="1"/>
    <n v="5.104E-3"/>
    <n v="5.104E-3"/>
    <x v="0"/>
  </r>
  <r>
    <x v="24"/>
    <s v="ProteinMPNN"/>
    <x v="4"/>
    <n v="0.1"/>
    <s v="derivative"/>
    <s v="m102.3 (PDB: 6CMI)"/>
    <s v="nipah_gpG"/>
    <n v="2"/>
    <s v="SITLVQSGDVTVAPGGSVTLTCTSSGGSFGNKAVAWVRQRPGGPYEWLGFIIPAYGVSRYNPAYEGRVTISVDSASNTASLTISNLTAADTATYYCALGEGEIVYAASPFDENYKLGALYIWGQGTKVTVS"/>
    <s v="ITLTQSPSSPSLSVGETATLTCTASAPVPKSNVAWYKQLPGQPPELLIYGGSTRASGVPSRYSGSGSGTTFTLTISSLTADDFATYYCQVYGENPSFGEGTTLTLK"/>
    <b v="1"/>
    <s v="GGGSGGGSGGGS"/>
    <x v="24"/>
    <n v="249"/>
    <b v="1"/>
    <b v="1"/>
    <b v="1"/>
    <n v="5.1330000000000004E-3"/>
    <n v="1.3644E-2"/>
    <x v="2"/>
  </r>
  <r>
    <x v="25"/>
    <s v="ProteinMPNN"/>
    <x v="4"/>
    <n v="0.1"/>
    <s v="derivative"/>
    <s v="m102.3 (PDB: 6CMI)"/>
    <s v="nipah_gpG"/>
    <n v="2"/>
    <s v="SVTLVQSGDQTVPIGGSVTLSCTANGGSFGNKGVAWVRQRPGGPYEFLGFIKPAIGESRYHPKYKGRVTISSDVSSNTAYLTISNLTPEDTAVYYCALGEAEDVFAAHPFKTDLLLGALSIWGQGTRVTVT"/>
    <s v="ITVTQSPSSPSLSVGETAVLTCTLSQPVPQSQVAWYKQLPGQPPTLLISGGSTRASGVPSRYSGSGSGTTFTLTISSLLPEDFATYYCQVVGKEPSFGQGTTLTLK"/>
    <b v="1"/>
    <s v="GGGSGGGSGGGS"/>
    <x v="25"/>
    <n v="249"/>
    <b v="1"/>
    <b v="1"/>
    <b v="1"/>
    <n v="0.55087299999999995"/>
    <n v="0.73576600000000003"/>
    <x v="2"/>
  </r>
  <r>
    <x v="26"/>
    <s v="ProteinMPNN"/>
    <x v="4"/>
    <n v="0.1"/>
    <s v="derivative"/>
    <s v="m102.3 (PDB: 6CMI)"/>
    <s v="nipah_gpG"/>
    <n v="2"/>
    <s v="SVKLVQSGDQTVPVGGSVTLSCTASGGSFGNYGVAWVRQRPGGPLEYIGSIIPAYGISTVNPKYEGRVTISADPTNNTAYLTISNLTPEDTATYYCALGPGEVVFASSPFDIDVLTGALWVWGEGTKVTVT"/>
    <s v="ITVTQSPSSPSLKVGETATLTCTLSAPVAKSNVAWYKQLPGQPPELLIYGGSTRASGVPSRYSGSGSGTTFTLTISSLQPEDFATYYCQVVGKNPSFGQGTLLKLK"/>
    <b v="1"/>
    <s v="GGGSGGGSGGGS"/>
    <x v="26"/>
    <n v="249"/>
    <b v="1"/>
    <b v="1"/>
    <b v="1"/>
    <n v="0"/>
    <n v="0"/>
    <x v="2"/>
  </r>
  <r>
    <x v="27"/>
    <s v="ProteinMPNN"/>
    <x v="4"/>
    <n v="0.1"/>
    <s v="derivative"/>
    <s v="m102.3 (PDB: 6CMI)"/>
    <s v="nipah_gpG"/>
    <n v="2"/>
    <s v="SISLVQSSDQTVAPGGSVTLSCTSSGGSFGNSGVAWVRQAPGGPPVYIGGIIPATGVSTYNAAFKGRVTISSDSSNNTAYLTISGLTAADTATYYCALGPAENVFASHPFAEDVNLGALSVWGQGTLVTVT"/>
    <s v="ITVTESPSSPELSVGETAVLSCTLSSSVPQSNVAWYKQKPGQPPELLIYGGSTRASGVPSRYSGSGSGTTFYLTISSLEPEDFATYYCQVYGTSPSFGQGTTLKLK"/>
    <b v="1"/>
    <s v="GGGSGGGSGGGS"/>
    <x v="27"/>
    <n v="249"/>
    <b v="1"/>
    <b v="1"/>
    <b v="1"/>
    <n v="0"/>
    <n v="5.1970000000000002E-3"/>
    <x v="0"/>
  </r>
  <r>
    <x v="28"/>
    <s v="ProteinMPNN"/>
    <x v="4"/>
    <n v="0.1"/>
    <s v="derivative"/>
    <s v="m102.3 (PDB: 6CMI)"/>
    <s v="nipah_gpG"/>
    <n v="2"/>
    <s v="AVSLVESGDQTVAPGGSVTLSCTSSGGSFGNSGVAWVRQAPGGPLEFLGFIIPALGVSKVNSKYEGRVTISSDPANNTAYLTISNLTAADTATYYCGLGTGESVFASSPFDEKLLLGALSVWGQGTKVTVT"/>
    <s v="ITVTQSPASPEKKVGETATLTCTLSSAVPKSNVAWYKQKPGQPPELLIYGGSTRASGVPSRYSGSGSGTTFYLTISSLQPEDFATYYCRVYGEEPSFGQGTTLKLK"/>
    <b v="1"/>
    <s v="GGGSGGGSGGGS"/>
    <x v="28"/>
    <n v="249"/>
    <b v="1"/>
    <b v="1"/>
    <b v="1"/>
    <n v="0.214564"/>
    <n v="0.35564200000000001"/>
    <x v="0"/>
  </r>
  <r>
    <x v="29"/>
    <s v="peleke-1"/>
    <x v="5"/>
    <n v="0.7"/>
    <s v="base"/>
    <m/>
    <s v="nipah_gpG"/>
    <m/>
    <s v="VQLQESGPGLVKPSQSLSLTCTVTGYSITTGYAWNWIRQFPGNKLEWMGYISYSGSTYYPSLKSRISITRDTSKNQFFLQLSIVTTEDTATYYCARGTTLPDYVDFWGQGTSVTVSS"/>
    <s v="DIQLTQSPSSLSASVGDRVTITCRASQTISTYLNWYQQKPGKAPKLLIYAASTLQSGVPSRFSGSGSGTDFTLTISSLQPEDFATYFCLQHFWTPPITFGQGTRLEIK"/>
    <b v="1"/>
    <s v="GGGSGGGSGGGSGGGS"/>
    <x v="29"/>
    <n v="241"/>
    <b v="1"/>
    <b v="0"/>
    <b v="1"/>
    <n v="4.9880000000000002E-3"/>
    <n v="2.6955E-2"/>
    <x v="3"/>
  </r>
  <r>
    <x v="30"/>
    <s v="peleke-1"/>
    <x v="5"/>
    <n v="0.7"/>
    <s v="base"/>
    <m/>
    <s v="nipah_gpG"/>
    <m/>
    <s v="QVQLQESGPGLVKPSETLSVTCTVSGGSIGSNNYWSWIRQPAGKGLEWIGYIYYSGSTNYNPSLKSRVTMSVDTSKNQFSLKLSSVTAADTAVYYCVRNYYDSSDSSGYYFMDVWGQGTTVTVSS"/>
    <s v="DIVMTQSPLSLSVTPGEPASISCRSSQSLLHSNGYNYLDWYLQKPGQSPQLLIYLGSNRASGVPDRFSGSGSGTDFTLKISRVEAEDVGVYYCMQALQTPTFGQGTRLEIK"/>
    <b v="1"/>
    <s v="GGGSGGGSGGGS"/>
    <x v="30"/>
    <n v="248"/>
    <b v="1"/>
    <b v="0"/>
    <b v="1"/>
    <n v="8.5369999999999994E-3"/>
    <n v="3.8865999999999998E-2"/>
    <x v="3"/>
  </r>
  <r>
    <x v="31"/>
    <s v="peleke-1"/>
    <x v="5"/>
    <n v="0.7"/>
    <s v="base"/>
    <m/>
    <s v="nipah_gpG"/>
    <m/>
    <s v="QVQLVQSGAEVKKPGESLKISCKGSGYRFSSYWIGWVRQMPGKGLEWMGIIYPGDSDTRYSPSFQGQVTISADKSISTAYLQWSSLKASDTAMYYCARQGPDYYYGMDVWGQGTTVTVSS"/>
    <s v="DIQMTQSPSTLSASVGDRVTITCRASQSISSWLAWYQQKPGKAPKLLIYKASELQSGVPSRFSGSGSGTEFTLTISSLQPDDFATYYCQQYINSYTFGQGTKVEIK"/>
    <b v="1"/>
    <s v="GGGSGGGSGGGSGGGS"/>
    <x v="31"/>
    <n v="242"/>
    <b v="1"/>
    <b v="0"/>
    <b v="1"/>
    <n v="0.29099799999999998"/>
    <n v="0.37256800000000001"/>
    <x v="3"/>
  </r>
  <r>
    <x v="32"/>
    <s v="peleke-1"/>
    <x v="5"/>
    <n v="0.7"/>
    <s v="base"/>
    <m/>
    <s v="nipah_gpG"/>
    <m/>
    <s v="QVQLQQSGPELVKPGASVKLSCKASGYTFTDYYMHWVKQRPGQGLEWIGEINPNSGGTNTYDQKFKGRATLTVDKSSSTAYLQLSSLTSEDSAVYYCARSPPWYFDYWGQGTTLTVS"/>
    <s v="DIVMTQSPSSMFASVGETVTITCRASENIYSNLAWYQQKPGQSPKLLIYWASTRHTGVPDRFTGSGSGTDFTLTISSVQAEDLALYYCQHYGSYSFTFGSGTKLEIK"/>
    <b v="1"/>
    <s v="GGGSGGGSGGGSGGGS"/>
    <x v="32"/>
    <n v="240"/>
    <b v="1"/>
    <b v="0"/>
    <b v="1"/>
    <n v="0"/>
    <n v="5.372E-3"/>
    <x v="3"/>
  </r>
  <r>
    <x v="33"/>
    <s v="peleke-1"/>
    <x v="5"/>
    <n v="0.7"/>
    <s v="base"/>
    <m/>
    <s v="nipah_gpG"/>
    <m/>
    <s v="EVQLVESGGGLVQPGGSLRLSCAASGFNVSYSSIHWVRQAPGKGLEWVASISSYYGYTYYADSVKGRFTISADTSKNTAYLQMNSLRAEDTAVYYCARSRNYVYSSGYLDFWGQGTLVTVSS"/>
    <s v="DIQMTQSPSSLSASVGDRVTITCRASQSVSSAVAWYQQKPGKAPKLLIYSASSLYSGVPSRFSGSRSGTDFTLTISSLQPEDFATYYCQQSSYSSPPTFGQGTKVEIK"/>
    <b v="1"/>
    <s v="GGGSGGGSGGGSGGGS"/>
    <x v="33"/>
    <n v="246"/>
    <b v="1"/>
    <b v="0"/>
    <b v="1"/>
    <n v="0"/>
    <n v="5.6839999999999998E-3"/>
    <x v="3"/>
  </r>
  <r>
    <x v="34"/>
    <s v="peleke-1"/>
    <x v="5"/>
    <n v="0.7"/>
    <s v="base"/>
    <m/>
    <s v="nipah_gpG"/>
    <m/>
    <s v="EVQLVESGGGLVQPGGSLRLSCAASGFNIYYSSIHWVRQAPGKGLEWVASISPYYGSTSYADSVKGRFTISADTSKNTAYLQMNSLRAEDTAVYYCARDYGHYYYAMDYWGQGTLVTVSS"/>
    <s v="EIVMTQSPATLSVSPGERATLSCRASQSVSSYLAWYQQKPGQAPRLLIYGASTRATGIPARFSGSGSGTEFTLTISSLQSEDSAVYYCQQYNNWPPITFGQGTRLEIK"/>
    <b v="1"/>
    <s v="GGGSGGGSGGGSGGGS"/>
    <x v="34"/>
    <n v="244"/>
    <b v="1"/>
    <b v="0"/>
    <b v="1"/>
    <n v="5.4289999999999998E-3"/>
    <n v="6.0312999999999999E-2"/>
    <x v="3"/>
  </r>
  <r>
    <x v="35"/>
    <s v="peleke-1"/>
    <x v="5"/>
    <n v="0.7"/>
    <s v="base"/>
    <m/>
    <s v="nipah_gpG"/>
    <m/>
    <s v="QVQLQESGPGLVKPSETLSLSCVVSGDSSSTNYYWGWIRQPPGKGLEWIGYIYGSGDTAYNPSLKSRVTISVDTSKNQFSLKLSSVTAADTAVYYCARRSWGYGYNGYSTYYYYYYFDQGYFDVWGPGTLVT"/>
    <s v="DIQMTQSPSSLSASVGDRVTITCRASQSIGSYLNWYQQKPGKAPKLLIYAASTLQSGVPSRFSGSGSGTEFTLTISSLQPEDFATYYCQQSYSWGQGTKVEIK"/>
    <b v="1"/>
    <s v="GGGSGGGSGGGS"/>
    <x v="35"/>
    <n v="247"/>
    <b v="1"/>
    <b v="0"/>
    <b v="1"/>
    <n v="7.3824000000000001E-2"/>
    <n v="0.14274700000000001"/>
    <x v="3"/>
  </r>
  <r>
    <x v="36"/>
    <s v="peleke-1"/>
    <x v="5"/>
    <n v="0.7"/>
    <s v="base"/>
    <m/>
    <s v="nipah_gpG"/>
    <m/>
    <s v="QVQLVQSGAEVKKPGASVKVSCKASGYTFTSYGISWVRQAPGQGLEWMGWISAHNGDTNYAQKFQGRVTMTRDTSITTAYMELRSDDTAVYYCARDGSVGGFYWGQGTLVTVSS"/>
    <s v="EIVLTQSPGTLSLSPGERATLSCRASQSVSSYLAWYQQKPGQAPRLLIYGASSRATGIPDRFSGSGSGTDFTLTISRLEPEDFAVYYCQQYGSSPITFGQGTRLEIK"/>
    <b v="1"/>
    <s v="GGGSGGGSGGGSGGGS"/>
    <x v="36"/>
    <n v="237"/>
    <b v="1"/>
    <b v="0"/>
    <b v="1"/>
    <n v="0"/>
    <n v="5.7530000000000003E-3"/>
    <x v="3"/>
  </r>
  <r>
    <x v="37"/>
    <s v="peleke-1"/>
    <x v="5"/>
    <n v="0.7"/>
    <s v="base"/>
    <m/>
    <s v="nipah_gpG"/>
    <m/>
    <s v="EVQLLESGGGLVQPGGSLRLSCAASGFNVSYSSIHWVRQAPGKGLEWVASISPYYGSTSYADSVKGRFTISADTSKNTAYLQMNSLRAEDTAVYYCARSYYWYWSGWGTLVTVSS"/>
    <s v="DIQMTQSPSSLSASVGDRVTITCRASQSVSSAVAWYQQKPGKAPKLLIYSASSLYSGVPSRFSGSRSGTDFTLTISSLQPEDFATYYCQQSYGSPPTFGQGTKVEIK"/>
    <b v="1"/>
    <s v="GGGSGGGSGGGSGGGS"/>
    <x v="37"/>
    <n v="238"/>
    <b v="1"/>
    <b v="0"/>
    <b v="1"/>
    <n v="0"/>
    <n v="5.0790000000000002E-3"/>
    <x v="3"/>
  </r>
  <r>
    <x v="38"/>
    <s v="peleke-1"/>
    <x v="5"/>
    <n v="0.7"/>
    <s v="base"/>
    <m/>
    <s v="nipah_gpG"/>
    <m/>
    <s v="QVQLQESGPGLVKPSQTLSLTCTVSGGSISSGHYAWWIRQPPGKGLEWIACIYSSSGSTYYNPSLKSRITISVDTSKNQFSLKLSSVTAADTAVYYCARRQRGYDYDYYYGMDVWGQGTTVTVSS"/>
    <s v="DIQLTQSPSSLSASVGDRVTITCRASQGISRNLAWYQQKPGKAPKLLIYAASSLQSGVPSRFSGSGSGTDFTLTISSLQPEDFATYYCQQSNNWPITFGQGTKVEIK"/>
    <b v="1"/>
    <s v="GGGSGGGSGGGSGGGS"/>
    <x v="38"/>
    <n v="248"/>
    <b v="1"/>
    <b v="0"/>
    <b v="1"/>
    <n v="5.6490000000000004E-3"/>
    <n v="1.4251E-2"/>
    <x v="3"/>
  </r>
  <r>
    <x v="39"/>
    <s v="peleke-1"/>
    <x v="5"/>
    <n v="0.7"/>
    <s v="base"/>
    <m/>
    <s v="nipah_gpG"/>
    <m/>
    <s v="EVQLVESGGGLVQPGGSLRLSCAASGFNIYYSSIHWVRQAPGKGLEWVASIYSYYSSTSYADSVKGRFTISADTSKNTAYLQMNSLRAEDTAVYYCARVYGYLSYSYFYWGLDVWGQGTLVTVS"/>
    <s v="DIQMTQSPSSLSASVGDRVTITCRASQSVSSAVAWYQQKPGKAPKLLIYSASSLYSGVPSRFSGSRSGTDFTLTISSLQPEDFATYYCQQYKYVPVTFGQGTKVEI"/>
    <b v="1"/>
    <s v="GGGSGGGSGGGSGGGS"/>
    <x v="39"/>
    <n v="246"/>
    <b v="1"/>
    <b v="0"/>
    <b v="1"/>
    <n v="0"/>
    <n v="5.3359999999999996E-3"/>
    <x v="4"/>
  </r>
  <r>
    <x v="40"/>
    <s v="peleke-1"/>
    <x v="5"/>
    <n v="0.7"/>
    <s v="base"/>
    <m/>
    <s v="nipah_gpG"/>
    <m/>
    <s v="EVQLQQSGAELVKPGASVKLSCTASGFNIKDTYVHWVKQRPEQGLEWIGRIDPANGYTKYDPKFQGKATITADTSSNTAYLQLSSLTSEDTAVYYCVRPLYDYYAMDYWGQGTTLTVSS"/>
    <s v="DIVMTQSPSSLAMSAGRVSITCRTSQSISSYLNWVQQKPGKSPKLLIYWASTRESGVPDRFTGSGSGTDFTLTISRVEAEDLGVYYCMQGTHVPYTFGGGTKLEIK"/>
    <b v="1"/>
    <s v="GGGSGGGSGGGSGGGS"/>
    <x v="40"/>
    <n v="241"/>
    <b v="1"/>
    <b v="0"/>
    <b v="1"/>
    <n v="0"/>
    <n v="0"/>
    <x v="4"/>
  </r>
  <r>
    <x v="41"/>
    <s v="peleke-1"/>
    <x v="5"/>
    <n v="0.7"/>
    <s v="base"/>
    <m/>
    <s v="nipah_gpG"/>
    <m/>
    <s v="EVQLVESGGGLVKPGGSLRLSCAASGFTFSSYAMHWVRQAPGKGLEWVSAISGGGGSTYYADSVKGRFTISRDNSKNTLYLQMRAEDTAVYYCAKDDADWGQGTLVTVSS"/>
    <s v="DIQMTQSPSSLSASVGDRVTITCRASQSVSSAVAWYQQKPGKAPKLLIYSASSLYSGVPSRFSGSRSGTDFTLTISSLQPEDFATYYCQQYKYVPFTFGQGTKVEIK"/>
    <b v="1"/>
    <s v="GGGSGGGSGGGSGGGS"/>
    <x v="41"/>
    <n v="233"/>
    <b v="1"/>
    <b v="0"/>
    <b v="1"/>
    <n v="0"/>
    <n v="0"/>
    <x v="4"/>
  </r>
  <r>
    <x v="42"/>
    <s v="peleke-1"/>
    <x v="5"/>
    <n v="0.7"/>
    <s v="base"/>
    <m/>
    <s v="nipah_gpG"/>
    <m/>
    <s v="QVQLQESGPGLVKPSQTLSLTCTVSGGSISSGSYYWIRQSPGKGLEWIGYIYYSGSTNYNPSLKSRVTISVDTSKNQFSLKLSSVTAADTAVYYCARHRYYDRGQGTLVTVSS"/>
    <s v="DIQMTQSPASLSASVGETVTITCRASENIYSNLAWYQQKQGKSPQLLVYAATDLADGVPSRFSGSGSGTQFSLKINSLQPEDFGSYYCQHFWDTPWTFGQGTRVE"/>
    <b v="1"/>
    <s v="GGGSGGGSGGGSGGGS"/>
    <x v="42"/>
    <n v="234"/>
    <b v="1"/>
    <b v="0"/>
    <b v="1"/>
    <n v="0"/>
    <n v="5.7590000000000002E-3"/>
    <x v="4"/>
  </r>
  <r>
    <x v="43"/>
    <s v="peleke-1"/>
    <x v="5"/>
    <n v="0.7"/>
    <s v="base"/>
    <m/>
    <s v="nipah_gpG"/>
    <m/>
    <s v="EVQLVESGGGLVQPGGSLRLSCAASGFNLYSSSIHWVRQAPGKGLEWVAYISSSGTHYADSVKGRFTISADTSKNTAYLQMRAEDTAVYYCARVGHYYSSGGYYYAMDYWGQGTLVTVSS"/>
    <s v="DIQMTQSPSSLSASVGDRVTITCRASQSVSSAVAWYQQKPGKAPKLLIYSASSLYSGVPSRFSGSRSGTDFTLTISSLQPEDFATYYCQQYSSYWTFGQGTKVEIK"/>
    <b v="1"/>
    <s v="GGGSGGGSGGGSGGGS"/>
    <x v="43"/>
    <n v="242"/>
    <b v="1"/>
    <b v="0"/>
    <b v="1"/>
    <n v="0"/>
    <n v="5.1970000000000002E-3"/>
    <x v="4"/>
  </r>
  <r>
    <x v="44"/>
    <s v="peleke-1"/>
    <x v="5"/>
    <n v="0.7"/>
    <s v="base"/>
    <m/>
    <s v="nipah_gpG"/>
    <m/>
    <s v="EVQLVESGGGLVQPGGSLRLSCAASGFNVVDSGISWVRQAPGKGLEWVSYISSSSGSTYYADSVKGRFTISADTSKNTAYLQMNSLRAEDTAVYYCARAHYYGSYFGSVVYYYGLDVWGQGTLVTVSS"/>
    <s v="DIQMTQSPSSLSASVGDRVTITCRASQSVSSAVAWYQQKPGKAPKLLIYSASSLYSGVPSRFSGSRSGTDFTLTISSLQPEDFATYYCQQYDTYPITFGQGTKVEIK"/>
    <b v="1"/>
    <s v="GGGSGGGSGGGS"/>
    <x v="44"/>
    <n v="247"/>
    <b v="1"/>
    <b v="0"/>
    <b v="1"/>
    <n v="5.5849999999999997E-3"/>
    <n v="5.5849999999999997E-3"/>
    <x v="4"/>
  </r>
  <r>
    <x v="45"/>
    <s v="peleke-1"/>
    <x v="5"/>
    <n v="0.7"/>
    <s v="base"/>
    <m/>
    <s v="nipah_gpG"/>
    <m/>
    <s v="EVQLVESGGGLVQPGGSLRLSCAASGFNVYSSSIHWVRQAPGKGLEWVASISSYYGYTYYADSVKGRFTISADTSKNTAYLQMNSLRAEDTAVYYCARSYSTYYYGYWYFDVWGQGTLVTVSS"/>
    <s v="DIQMTQSPSSLSAAVGDRVTITCRASQSVSSAVAWYQQKPGKAPKLLIYSASSLYSGVPSRFSGSRSGTDFTLTISSLQPEDFATYYCQQYNYYWLITFGQGTKVEIK"/>
    <b v="1"/>
    <s v="GGGSGGGSGGGSGGGS"/>
    <x v="45"/>
    <n v="247"/>
    <b v="1"/>
    <b v="0"/>
    <b v="1"/>
    <n v="0"/>
    <n v="1.9698E-2"/>
    <x v="4"/>
  </r>
  <r>
    <x v="46"/>
    <s v="peleke-1"/>
    <x v="5"/>
    <n v="0.7"/>
    <s v="base"/>
    <m/>
    <s v="nipah_gpG"/>
    <m/>
    <s v="QVQLQQPGAELVKPGASVKLSCKASGYTFTSDWIHWVKQRPGHGLEWIGEIIPSYGRANYNEKIQKKATLTADKSSSTAFMHLSSLTSEDSAVYYCARERGDGYFAVWGAGTTVTVSS"/>
    <s v="DILLTQSPAILSVSPGERVSFSCRASQSIGTDIHWYQQRTNGSPRLLIKYASESISGIPSRFSGSGSGTDFTLSINSVESEDIANYYCQQSNRWPFTFGSGTKLEIK"/>
    <b v="1"/>
    <s v="GGGSGGGSGGGSGGGS"/>
    <x v="46"/>
    <n v="241"/>
    <b v="1"/>
    <b v="0"/>
    <b v="1"/>
    <n v="0"/>
    <n v="0"/>
    <x v="4"/>
  </r>
  <r>
    <x v="47"/>
    <s v="peleke-1"/>
    <x v="5"/>
    <n v="0.7"/>
    <s v="base"/>
    <m/>
    <s v="nipah_gpG"/>
    <m/>
    <s v="VRLLESGGGLVQPGGSLKLSCAASGFDYSRYWMSWVRQAPGKGLKWIGEINPVSSTINYTPSLKDKFIISRDNAKDTLYLQISKVRSEDTALYYCARLYYGYGYWYFDVWGAGTTVTVSS"/>
    <s v="DIVLTQSPAIMSAAPGDKVTMTCSASSSVSYIHWYQQKSGTSPKRWIYDTSKLTSGVPVRFSGSGSGTSYSLTINTMEAEDAATYYCQQWSSHPQTFGGGTKLEIl"/>
    <b v="1"/>
    <s v="GGGSGGGSGGGSGGGS"/>
    <x v="47"/>
    <n v="242"/>
    <b v="1"/>
    <b v="0"/>
    <b v="1"/>
    <m/>
    <m/>
    <x v="4"/>
  </r>
  <r>
    <x v="48"/>
    <s v="peleke-1"/>
    <x v="5"/>
    <n v="0.7"/>
    <s v="base"/>
    <m/>
    <s v="nipah_gpG"/>
    <m/>
    <s v="QVQLQESGPGLVQPSQSLSLTCTVSGFSLTSYGVHWVRQSPGKGLEWLGVIWAGGSTDYNSALKSRLSISRDTSKNQVFLKMNSLQTDDTAMYYCAKHGSSNGDYWGQGTSVTVSS"/>
    <s v="DIVMTQSPDSLAVSLGERATINCKSSQSVLYSSNNKNYLAWYQQKPEGQPPNLLIYWASTRESGVPDRFSGSGSGTDFTLTISSLQAEDVAVYYCQQYYSAPTFGQGTKLEIK"/>
    <b v="1"/>
    <s v="GGGSGGGSGGGSGGGS"/>
    <x v="48"/>
    <n v="245"/>
    <b v="1"/>
    <b v="0"/>
    <b v="1"/>
    <n v="0"/>
    <n v="0"/>
    <x v="4"/>
  </r>
  <r>
    <x v="49"/>
    <s v="peleke-1"/>
    <x v="0"/>
    <n v="0.2"/>
    <s v="base"/>
    <m/>
    <s v="nipah_gpG_compout"/>
    <m/>
    <s v="QVQLQESGPGLVKPSETLSLTCTVSGGSVSSGGYFWSWIRQPPGKGLEWIGCIYYSGSTNYNPSLKSRVTISVDTSKNQFSLKLSSVTAADTAVYYCARVDSFYYGMDVWGQGTTVTVSS"/>
    <s v="DIQMTQSPSSLSASVGDRVTITCRASQGIRNDLGWYQQKPGKAPKLLIYAASSLQSGVPSRFSGSGSGTDFTLTISSLQPEDFATYYCQQSYSTPRTFGQGTKVEIK"/>
    <b v="1"/>
    <s v="GGGSGGGSGGGSGGGS"/>
    <x v="49"/>
    <n v="243"/>
    <b v="1"/>
    <b v="0"/>
    <b v="1"/>
    <n v="0.54889900000000003"/>
    <n v="0.65651000000000004"/>
    <x v="5"/>
  </r>
  <r>
    <x v="50"/>
    <s v="peleke-1"/>
    <x v="0"/>
    <n v="0.2"/>
    <s v="base"/>
    <m/>
    <s v="nipah_gpG_compout"/>
    <m/>
    <s v="EVQLVESGGGLVQPGGSLRLSCAASGFTFSSYAMSWVRQAPGKGLEWVSAISGSGGSTYYADSVKGRFTISRDNSKNTLYLQMNSLRAEDTAVYYCARQVWFGGFDYWGQGTLVTVSS"/>
    <s v="DIQMTQSPSSLSASVGDRVTITCRASQSVSSAVAWYQQKPGKAPKLLIYSASSLYSGVPSRFSGSRSGTDFTLTISSLQPEDFATYYCQQYKYVPVTFGQGTKVEIK"/>
    <b v="1"/>
    <s v="GGGSGGGSGGGSGGGS"/>
    <x v="50"/>
    <n v="241"/>
    <b v="1"/>
    <b v="0"/>
    <b v="1"/>
    <n v="5.4320000000000002E-3"/>
    <n v="2.4593E-2"/>
    <x v="5"/>
  </r>
  <r>
    <x v="51"/>
    <s v="peleke-1"/>
    <x v="0"/>
    <n v="0.2"/>
    <s v="base"/>
    <m/>
    <s v="nipah_gpG_compout"/>
    <m/>
    <s v="EVQLVESGGGLVQPGGSLRLSCAASGFNVSSSYIHWVRQAPGKGLEWVASISSYYGYTYYADSVKGRFTISADTSKNTAYLQMNSLRAEDTAVYYCARSRQFWYSGLDYWGQGTLVTVSS"/>
    <s v="DIQMTQSPSSLSASVGDRVTITCRASQSVSSAVAWYQQKPGKAPKLLIYSASSLYSGVPSRFSGSRSGTDFTLTISSLQPEDFATYYCQQYKYVPVTFGQGTKVEIK"/>
    <b v="1"/>
    <s v="GGGSGGGSGGGSGGGS"/>
    <x v="51"/>
    <n v="243"/>
    <b v="1"/>
    <b v="0"/>
    <b v="1"/>
    <n v="0.13125000000000001"/>
    <n v="0.22309999999999999"/>
    <x v="5"/>
  </r>
  <r>
    <x v="52"/>
    <s v="peleke-1"/>
    <x v="0"/>
    <n v="0.2"/>
    <s v="base"/>
    <m/>
    <s v="nipah_gpG_compout"/>
    <m/>
    <s v="EVQLVESGGGLVQPGGSLRLSCAASGFNISSSSIHWVRQAPGKGLEWVASIYSYSGYTSYADSVKGRFTISADTSKNTAYLQMNSLRAEDTAVYYCARGGSSYFGYYAMDYWGQGTLVTVSS"/>
    <s v="DIQMTQSPSSLSASVGDRVTITCRASQSVSSAVAWYQQKPGKAPKLLIYSASSLYSGVPSRFSGSRSGTDFTLTISSLQPEDFATYYCQQYKYVPVTFGQGTKVEIK"/>
    <b v="1"/>
    <s v="GGGSGGGSGGGSGGGS"/>
    <x v="52"/>
    <n v="245"/>
    <b v="1"/>
    <b v="0"/>
    <b v="1"/>
    <n v="0"/>
    <n v="4.986E-3"/>
    <x v="6"/>
  </r>
  <r>
    <x v="53"/>
    <s v="peleke-1"/>
    <x v="0"/>
    <n v="0.2"/>
    <s v="base"/>
    <m/>
    <s v="nipah_gpG_compout"/>
    <m/>
    <s v="QVQLVQSGAEVKKPGSSVKVSCKASGGTFSSYSISWVRQAPGQGLEWMGGIIIFGTANYAQKFQGRVTITADESTSTAYMELSSLRSEDTAVYYCARGQGTLVDFYWGQGTLVTVSS"/>
    <s v="DIQMTQSPSSLSASVGDRVTITCRASQSISSYLNWYQQKPGKAPKLLIYAASSLQSGVPSRFSGSGSGTDFTLTISSLQPEDFATYYCQQSYSTPRTFGQGTKVEIK"/>
    <b v="1"/>
    <s v="GGGSGGGSGGGSGGGS"/>
    <x v="53"/>
    <n v="240"/>
    <b v="1"/>
    <b v="0"/>
    <b v="1"/>
    <n v="5.679E-3"/>
    <n v="5.7196999999999998E-2"/>
    <x v="6"/>
  </r>
  <r>
    <x v="54"/>
    <s v="peleke-1"/>
    <x v="0"/>
    <n v="0.2"/>
    <s v="base"/>
    <m/>
    <s v="nipah_gpG_compout"/>
    <m/>
    <s v="EVQLVESGGGLVQPGGSLRLSCAASGFNVSYYSIHWVRQAPGKGLEWVASIYPYSGYTNYADSVKGRFTISADTSKNTAYLQMNSLRAEDTAVYYCARYYGYGYWGYAMDYWGQGTLVTVSS"/>
    <s v="DIQMTQSPSSLSASVGDRVTITCRASQSVSSAVAWYQQKPGKAPKLLIYSASSLYSGVPSRFSGSRSGTDFTLTISSLQPEDFATYYCQQYKYVPVTFGQGTKVEIK"/>
    <b v="1"/>
    <s v="GGGSGGGSGGGSGGGS"/>
    <x v="54"/>
    <n v="245"/>
    <b v="1"/>
    <b v="0"/>
    <b v="1"/>
    <n v="0"/>
    <n v="5.3839999999999999E-3"/>
    <x v="6"/>
  </r>
  <r>
    <x v="55"/>
    <s v="peleke-1"/>
    <x v="0"/>
    <n v="0.2"/>
    <s v="base"/>
    <m/>
    <s v="nipah_gpG_compout"/>
    <m/>
    <s v="EVQLVESGGGLVQPGGSLRLSCAASGFTFSSYAMSWVRQAPGKGLEWVSAISGSGGSTYYADSVKGRFTISRDNSKNTLYLQMNSLRAEDTAVYYCARGYQVYFDYWGQGTLVTVSS"/>
    <s v="DIQMTQSPSSLSASVGDRVTITCRASQSVSSAVAWYQQKPGKAPKLLIYSASSLYSGVPSRFSGSRSGTDFTLTISSLQPEDFATYYCQQYKYVPVTFGQGTKVEIK"/>
    <b v="1"/>
    <s v="GGGSGGGSGGGSGGGS"/>
    <x v="55"/>
    <n v="240"/>
    <b v="1"/>
    <b v="0"/>
    <b v="1"/>
    <n v="0"/>
    <n v="0"/>
    <x v="7"/>
  </r>
  <r>
    <x v="56"/>
    <s v="peleke-1"/>
    <x v="0"/>
    <n v="0.2"/>
    <s v="base"/>
    <m/>
    <s v="nipah_gpG_compout"/>
    <m/>
    <s v="EVQLVESGGGLVQPGGSLRLSCAASGFNVSSSYIHWVRQAPGKGLEWVASISSYYGSTYYADSVKGRFTISADTSKNTAYLQMNSLRAEDTAVYYCARGWSYSWSYSWSYSGLDVWGQGTTVTVSS"/>
    <s v="DIQMTQSPSSLSASVGDRVTITCRASQSVSSAVAWYQQKPGKAPKLLIYSASSLYSGVPSRFSGSRSGTDFTLTISSLQPEDFATYYCQQSSSSLITFGQGTKVEIK"/>
    <b v="1"/>
    <s v="GGGSGGGSGGGSGGGS"/>
    <x v="56"/>
    <n v="249"/>
    <b v="1"/>
    <b v="0"/>
    <b v="1"/>
    <n v="6.9049999999999997E-3"/>
    <n v="7.6717999999999995E-2"/>
    <x v="7"/>
  </r>
  <r>
    <x v="57"/>
    <s v="peleke-1"/>
    <x v="0"/>
    <n v="0.2"/>
    <s v="base"/>
    <m/>
    <s v="nipah_gpG_compout"/>
    <m/>
    <s v="EVQLVESGGGLVQPGGSLRLSCAASGFNISSSSIHWVRQAPGKGLEWVASIYSYSGYTSYADSVKGRFTISADTSKNTAYLQMNSLRAEDTAVYYCARGWYYGSSYWGQGTLVTVSS"/>
    <s v="DIQMTQSPSSLSASVGDRVTITCRASQSVSSAVAWYQQKPGKAPKLLIYSASSLYSGVPSRFSGSRSGTDFTLTISSLQPEDFATYYCQQYKYVPVTFGQGTKVEIK"/>
    <b v="1"/>
    <s v="GGGSGGGSGGGSGGGS"/>
    <x v="57"/>
    <n v="240"/>
    <b v="1"/>
    <b v="0"/>
    <b v="1"/>
    <n v="0.16498099999999999"/>
    <n v="0.26647999999999999"/>
    <x v="8"/>
  </r>
  <r>
    <x v="58"/>
    <s v="peleke-1"/>
    <x v="0"/>
    <n v="0.2"/>
    <s v="base"/>
    <m/>
    <s v="nipah_gpG_compout"/>
    <m/>
    <s v="EVQLVESGGGLVQPGGSLRLSCAASGFNVSSSYIHWVRQAPGKGLEWVASISSYYGYTYYADSVKGRFTISADTSKNTAYLQMNSLRAEDTAVYYCARYYGTYYGSSYWGQGTLVTVSS"/>
    <s v="DIQMTQSPSSLSASVGDRVTITCRASQSVSSAVAWYQQKPGKAPKLLIYSASSLYSGVPSRFSGSRSGTDFTLTISSLQPEDFATYYCQQYKYVPVTFGQGTKVEIK"/>
    <b v="1"/>
    <s v="GGGSGGGSGGGSGGGS"/>
    <x v="58"/>
    <n v="242"/>
    <b v="1"/>
    <b v="0"/>
    <b v="1"/>
    <n v="0"/>
    <n v="1.0189999999999999E-2"/>
    <x v="8"/>
  </r>
  <r>
    <x v="59"/>
    <s v="peleke-1"/>
    <x v="0"/>
    <n v="0.5"/>
    <s v="base"/>
    <m/>
    <s v="nipah_gpG_compout"/>
    <m/>
    <s v="QMQLVQSGAEVKKPGESLKISCKGSGYSFTSYWIGWVRQMPGKGLEWMGIIYPGDSDTRYSPSFQGQVTISADKSISTAYLQWSSLKASDTAIYYCARHYYGGQYFDYWGQGTLVTVSS"/>
    <s v="DIQMTQSPSSLSASVGDRVTITCRASQGIRNDLGWYQQKPGKAPKLLIYAASSLQSGVPSRFSGSGSGTDFTLTISSLQPEDFATYYCQQSYSTPYTFGQGTKLEIK"/>
    <b v="1"/>
    <s v="GGGSGGGSGGGSGGGS"/>
    <x v="59"/>
    <n v="242"/>
    <b v="1"/>
    <b v="0"/>
    <b v="1"/>
    <n v="0"/>
    <n v="5.0220000000000004E-3"/>
    <x v="5"/>
  </r>
  <r>
    <x v="60"/>
    <s v="peleke-1"/>
    <x v="0"/>
    <n v="0.5"/>
    <s v="base"/>
    <m/>
    <s v="nipah_gpG_compout"/>
    <m/>
    <s v="QVQLVQSGAEVKKPGSSVKVSCKASGGTFSSYAISWVRQAPGQGLEWMGGIIPIFGTANYAQKFQGRVTITADESTSTAYMELSSLRSEDTAVYYCARWYDGYFVYWGQGTLVTVSS"/>
    <s v="DIQMTQSPSSLSASVGDRVTITCRASQSISSYLNWYQQKPGKAPKLLIYAASSLQSGVPSRFSGSGSGTDFTLTISSLQPEDFATYYCQQSYSTPYTFGQGTKVEIK"/>
    <b v="1"/>
    <s v="GGGSGGGSGGGSGGGS"/>
    <x v="60"/>
    <n v="240"/>
    <b v="1"/>
    <b v="0"/>
    <b v="1"/>
    <n v="0"/>
    <n v="1.2418E-2"/>
    <x v="5"/>
  </r>
  <r>
    <x v="61"/>
    <s v="peleke-1"/>
    <x v="0"/>
    <n v="0.5"/>
    <s v="base"/>
    <m/>
    <s v="nipah_gpG_compout"/>
    <m/>
    <s v="EVQLVESGGGLVQPGGSLRLSCAASGFNVSSSSIHWVRQAPGKGLEWVASISSYYGYTYYADSVKGRFTISADTSKNTAYLQMNSLRAEDTAVYYCARSRQFWYSGLDYWGQGTLVTVFN"/>
    <s v="DIQMTQSPSSLSASVGDRVTITCRASQSVSSAVAWYQQKPGKAPKLLIYSASSLYSGVPSRFSGSRSGTDFTLTISSLQPEDFATYYCQQYKYVPVTFGQGTKVEIK"/>
    <b v="1"/>
    <s v="GGGSGGGSGGGSGGGS"/>
    <x v="61"/>
    <n v="243"/>
    <b v="1"/>
    <b v="0"/>
    <b v="1"/>
    <n v="0.13139000000000001"/>
    <n v="0.20833399999999999"/>
    <x v="5"/>
  </r>
  <r>
    <x v="62"/>
    <s v="peleke-1"/>
    <x v="0"/>
    <n v="0.5"/>
    <s v="base"/>
    <m/>
    <s v="nipah_gpG_compout"/>
    <m/>
    <s v="EVQLVESGGGLVQPGGSLRLSCAASGFNISSSSIHWVRQAPGKGLEWVASIYSYYGSTYYADSVKGRFTISADTSKNTAYLQMRAEDTAVYYCARGWRSYAMDYWGQGTLVTVSS"/>
    <s v="DIQMTQSPSSLSASVGDRVTITCRASQSVSSAVAWYQQKPGKAPKLLIYSASSLYSGVPSRFSGSRSGTDFTLTISSLQPEDFATYYCQQSSSSLITFGQGTKVEIK"/>
    <b v="1"/>
    <s v="GGGSGGGSGGGSGGGS"/>
    <x v="62"/>
    <n v="238"/>
    <b v="1"/>
    <b v="0"/>
    <b v="1"/>
    <n v="0"/>
    <n v="5.0930000000000003E-3"/>
    <x v="6"/>
  </r>
  <r>
    <x v="63"/>
    <s v="peleke-1"/>
    <x v="0"/>
    <n v="0.5"/>
    <s v="base"/>
    <m/>
    <s v="nipah_gpG_compout"/>
    <m/>
    <s v="QVQLVQSGAEVKKPGSSVKVSCKASGGTFSSYSFIWVRQAPGQGLEWMGGIIPIFGTANYAQKFQGRVTITADESTSTAYMELSSLRSEDTAVYYCARSSYSGVYYSWYFDVWGAGTTVTVSS"/>
    <s v="DIQMTQSPSSLSASVGDRVTITCRASQGISNYLAWYQQKPGKAPKLLIYAASTLQSGVPSRFSGSGSGTDFTLTISSLQPEDFATYYCQQSYSTPRTFGQGTKVEIK"/>
    <b v="1"/>
    <s v="GGGSGGGSGGGSGGGS"/>
    <x v="63"/>
    <n v="246"/>
    <b v="1"/>
    <b v="0"/>
    <b v="1"/>
    <n v="0"/>
    <n v="0"/>
    <x v="6"/>
  </r>
  <r>
    <x v="64"/>
    <s v="peleke-1"/>
    <x v="0"/>
    <n v="0.5"/>
    <s v="base"/>
    <m/>
    <s v="nipah_gpG_compout"/>
    <m/>
    <s v="EVQLQESGPGLVKPSQTLSLTCTVSGGSISSYAAWSWIRQPPGKGLEWIGYIYSSSGSTNYNPSLKSRVTISVDTSKNQFSLKLSSVTAADTAVYYCARGDYSYSYYGLDYWGQGTLVTVSS"/>
    <s v="DIQMTQSPSSLSASVGDRVTITCRASQGIRNDLGWYQQKPGKAPKLLIYAASNLQSGVPSRFSGSGSGTDFTLTISSLQPEDFATYYCQQSYSTPRYTFGQGTKVEIK"/>
    <b v="1"/>
    <s v="GGGSGGGSGGGSGGGS"/>
    <x v="64"/>
    <n v="246"/>
    <b v="1"/>
    <b v="0"/>
    <b v="1"/>
    <n v="5.4320000000000002E-3"/>
    <n v="3.7756999999999999E-2"/>
    <x v="6"/>
  </r>
  <r>
    <x v="65"/>
    <s v="peleke-1"/>
    <x v="0"/>
    <n v="0.5"/>
    <s v="base"/>
    <m/>
    <s v="nipah_gpG_compout"/>
    <m/>
    <s v="EVQLQQSGPELVKPGASVKMSCKASGYTFTSYNIHWVKQTPVHGLEWIGAIVSGGDTNYNENFKDKATLTVDKSSSTAYMQLTSEDSAVYYCARGGFYGDYWGQGTSVTVSS"/>
    <s v="DIVLTQSPATLSVTPGDSVSLSCRASQSVTNNIHWYQQKSHESPRLLIKYASQSISGIPSRFSGSGSGTDFTLSINSVETEDFGMYFCQQSNSWPYTFGGGTKLEIK"/>
    <b v="1"/>
    <s v="GGGSGGGSGGGSGGGS"/>
    <x v="65"/>
    <n v="235"/>
    <b v="1"/>
    <b v="0"/>
    <b v="1"/>
    <n v="0"/>
    <n v="5.1409999999999997E-3"/>
    <x v="7"/>
  </r>
  <r>
    <x v="66"/>
    <s v="peleke-1"/>
    <x v="0"/>
    <n v="0.5"/>
    <s v="base"/>
    <m/>
    <s v="nipah_gpG_compout"/>
    <m/>
    <s v="QVQLQESGPGLVKPSQTLSLTCTVSGGSISSGDYYWIRQHPGKGLEWIGYIYYSGSTYYNPSLKSRVTISVDTSKNQFSLKLSSVTAADTAVYYCARQLWLRGRFDYWGQGTLVTVSS"/>
    <s v="DIQMTQSPSSLSASVGDRVTITCRASQGISSWLAWYQQKPGKAPKLLIYAASTLQSGVPSRFSGSGSGTDFTLTISSLQPEDFATYYCQQSYSTPYTFGQGTKVEIK"/>
    <b v="1"/>
    <s v="GGGSGGGSGGGSGGGS"/>
    <x v="66"/>
    <n v="241"/>
    <b v="1"/>
    <b v="0"/>
    <b v="1"/>
    <n v="5.9430000000000004E-3"/>
    <n v="8.7933999999999998E-2"/>
    <x v="7"/>
  </r>
  <r>
    <x v="67"/>
    <s v="peleke-1"/>
    <x v="0"/>
    <n v="0.5"/>
    <s v="base"/>
    <m/>
    <s v="nipah_gpG_compout"/>
    <m/>
    <s v="EVQLVESGGGLVQPGGSLRLSCAASGFTVSSNYMSWVRQAPGKGLEWVSVIYSGGSTYYADSVKGRFTISRDNSKNTLYLQMNSLRAEDTAVYYCAREAGVWVFDYWGQGTLVTVSS"/>
    <s v="DIQMTQSPSSLSASVGDRVTITCRASQSVSSAVAWYQQKPGKAPKLLIYSASSLYSGVPSRFSGSRSGTDFTLTISSLQPEDFATYYCQQYKYVPVTFGQGTKVEIK"/>
    <b v="1"/>
    <s v="GGGSGGGSGGGSGGGS"/>
    <x v="67"/>
    <n v="240"/>
    <b v="1"/>
    <b v="0"/>
    <b v="1"/>
    <n v="0"/>
    <n v="5.2589999999999998E-3"/>
    <x v="9"/>
  </r>
  <r>
    <x v="68"/>
    <s v="peleke-1"/>
    <x v="0"/>
    <n v="0.5"/>
    <s v="base"/>
    <m/>
    <s v="nipah_gpG_compout"/>
    <m/>
    <s v="EVQLVESGGGLVQPGGSLRLSCAASGFNLYSSSIHWVRQAPGKGLEWVASISSYYGSTYYADSVKGRFTISADTSKNTAYLQMNSLRAEDTAVYYCARSRQFWLWFGQGTLVTVSS"/>
    <s v="DIQMTQSPSSLSASVGDRVTITCRASQSVSSAVAWYQQKPGKAPKLLIYSASSLYSGVPSRFSGSRSGTDFTLTISSLQPEDFATYYCQQYKYVPVTFGQGTKVEIK"/>
    <b v="1"/>
    <s v="GGGSGGGSGGGSGGGS"/>
    <x v="68"/>
    <n v="239"/>
    <b v="1"/>
    <b v="0"/>
    <b v="1"/>
    <n v="0"/>
    <n v="0"/>
    <x v="8"/>
  </r>
  <r>
    <x v="69"/>
    <s v="peleke-1"/>
    <x v="0"/>
    <n v="0.7"/>
    <s v="base"/>
    <m/>
    <s v="nipah_gpG_compout"/>
    <m/>
    <s v="VQLVQSGAEVKKPGASVKVSCKASGYTFTTYTISWVRQAPGQGLEWMGWINNSGGTNYAQKFQGRVTMTRDTSTSTVSAYMELRSEDTAVYYCATFVYGYSAYQPLTDDYGQMDVWGQGTTVTVSS"/>
    <s v="DIQMTQSPSSLSASVGDRVTITCRASQSISSYLNWFQQKPGKAPKLLIYAASSLQSGVPSRFSGSGSGTDFTLTISSLQPEDFATYYCQQSLLYPLTFGGGTKVEIK"/>
    <b v="1"/>
    <s v="GGGSGGGSGGGSGGGS"/>
    <x v="69"/>
    <n v="249"/>
    <b v="1"/>
    <b v="0"/>
    <b v="1"/>
    <n v="0"/>
    <n v="5.0299999999999997E-3"/>
    <x v="5"/>
  </r>
  <r>
    <x v="70"/>
    <s v="peleke-1"/>
    <x v="0"/>
    <n v="0.7"/>
    <s v="base"/>
    <m/>
    <s v="nipah_gpG_compout"/>
    <m/>
    <s v="EVQLVESGGGLVQPGGSLRLSCAASGFNISSSSIHWVRQAPGKGLEWVASIYSSSGSTYYADSVKGRFTISADTSKNTAYLQMNSLRAEDTAVYYCARHRWWAHPYWGQGTLVTVSS"/>
    <s v="DIQMTQSPSSLSASVGDRVTITCRASQSVSSAVAWYQQKPGKAPKLLIYSASSLYSGVPSRFSGSRSGTDFTLTISSLQPEDFATYYCQQSYYITPYTFGQGTKVEIK"/>
    <b v="1"/>
    <s v="GGGSGGGSGGGSGGGS"/>
    <x v="70"/>
    <n v="241"/>
    <b v="1"/>
    <b v="0"/>
    <b v="1"/>
    <n v="5.0870000000000004E-3"/>
    <n v="4.0273000000000003E-2"/>
    <x v="5"/>
  </r>
  <r>
    <x v="71"/>
    <s v="peleke-1"/>
    <x v="0"/>
    <n v="0.7"/>
    <s v="base"/>
    <m/>
    <s v="nipah_gpG_compout"/>
    <m/>
    <s v="EVQLVESGGGVVQPGRSLRLSCAASGFTFSSYAMHWVRQAPGKGLEWVAVIWYDGSNKYYADSVKGRFTISRDNSKNTLFLQMNSLRPEDTAVYYCARDTPMYYDVWGQGTTVTVSS"/>
    <s v="DIQLTQSPSSLSASVGDRVTITCRTSQDIDNYLNWYQQKPGKAPKLLIYYTSSLHSGVPSRFSGSGSGTDFTFTISSLQPEDIATYYCQQYDNLPITFGQGTKLEIK"/>
    <b v="1"/>
    <s v="GGGSGGGSGGGSGGGS"/>
    <x v="71"/>
    <n v="240"/>
    <b v="1"/>
    <b v="0"/>
    <b v="1"/>
    <n v="0"/>
    <n v="5.0660000000000002E-3"/>
    <x v="5"/>
  </r>
  <r>
    <x v="72"/>
    <s v="peleke-1"/>
    <x v="0"/>
    <n v="0.7"/>
    <s v="base"/>
    <m/>
    <s v="nipah_gpG_compout"/>
    <m/>
    <s v="EVQLVESGGGLVQPGGSLRLSCAASGFTFSNYAMSWVRQAPGKGLEWVSAISGSGGSTYYADSVKGRFTISRDNSKNTLYLQMNSLRAEDTAVYYCARLSPYNGSMDYWGQGTLVTVSS"/>
    <s v="VTQPASVSGSPGQSITISCTGTSSDIGAYNYVSWYQQHPGKAPKLMIYEVSKRPSGVSNRFSGSKSGNTASLTISGLQTEDEADYYCSSYTRSGSVVFGGGTKLTVL"/>
    <b v="1"/>
    <s v="GGGSGGGSGGGSGGGS"/>
    <x v="72"/>
    <n v="242"/>
    <b v="1"/>
    <b v="0"/>
    <b v="1"/>
    <n v="0"/>
    <n v="0"/>
    <x v="6"/>
  </r>
  <r>
    <x v="73"/>
    <s v="peleke-1"/>
    <x v="0"/>
    <n v="0.7"/>
    <s v="base"/>
    <m/>
    <s v="nipah_gpG_compout"/>
    <m/>
    <s v="QVQLVQSGAEVKKPGSSVKVSCKASGGTFSSYTISWVRQAPGQGLEWMGGIIPILGIANYAQKFQGRVTITADKSTSTAYMELSSLRSEDTAVYYCARGDSSYVDSWDYWGQGTLVTVS"/>
    <s v="EIVLTQSPGTLSLSPGERATLSCRASQSVSSSYLAWYQQKPGQAPRLLIYGASSRATGIPDRFSGSGSGTDFTLTISRLEPEDFAVYYCQQYGSSPWTFGQGTKVEIK"/>
    <b v="1"/>
    <s v="GGGSGGGSGGGSGGGS"/>
    <x v="73"/>
    <n v="243"/>
    <b v="1"/>
    <b v="0"/>
    <b v="1"/>
    <n v="4.8799999999999998E-3"/>
    <n v="4.8799999999999998E-3"/>
    <x v="6"/>
  </r>
  <r>
    <x v="74"/>
    <s v="peleke-1"/>
    <x v="0"/>
    <n v="0.7"/>
    <s v="base"/>
    <m/>
    <s v="nipah_gpG_compout"/>
    <m/>
    <s v="QVQLVESGGGVVQPGRSLRLSCAASGFTFSNYGMHWVRQAPGKGLEWVAVISDGSNKYYADSVKGRFTISRDNSKNTLYLQMRAEDTAVYYCARGSHSSRDYWGQGTLVTVSS"/>
    <s v="DIQMTQSPSSLSASVGDRVTITCRASQSISSYLNWYQQKPGKAPKLLIYAASSLQSGVPSRFSGSGSGTDFTLTISSLQPEDFATYYCQQSYSTPPYTFGQGTKVEIK"/>
    <b v="1"/>
    <s v="GGGSGGGSGGGSGGGS"/>
    <x v="74"/>
    <n v="237"/>
    <b v="1"/>
    <b v="0"/>
    <b v="1"/>
    <n v="0"/>
    <n v="5.3730000000000002E-3"/>
    <x v="6"/>
  </r>
  <r>
    <x v="75"/>
    <s v="peleke-1"/>
    <x v="0"/>
    <n v="0.7"/>
    <s v="base"/>
    <m/>
    <s v="nipah_gpG_compout"/>
    <m/>
    <s v="VQLVQSGAEVKRPGSSVKVSCKTSGGTIFSTYVFWVRQAPGQGLEWMGGFPPKAGYIYAQKFQGRVTFTADESSSTTVYMEDLRSEDTAVYFCARFPYFVYDVWGQGTTVTVSS"/>
    <s v="DIQMTQSPSSLSASVGDRVTITCRASQSIGGYLAWYQQKPGKVPKLLIYAASSLQSGVPSRFSGSGSGTDFTLTISSLQPEDFATYYCQQSYSTPRTFGQGTKVEIK"/>
    <b v="1"/>
    <s v="GGGSGGGSGGGSGGGS"/>
    <x v="75"/>
    <n v="237"/>
    <b v="1"/>
    <b v="0"/>
    <b v="1"/>
    <n v="0"/>
    <n v="0"/>
    <x v="7"/>
  </r>
  <r>
    <x v="76"/>
    <s v="peleke-1"/>
    <x v="0"/>
    <n v="0.7"/>
    <s v="base"/>
    <m/>
    <s v="nipah_gpG_compout"/>
    <m/>
    <s v="VQLQESGPGLVKPSQSLSLTCTVTGFSIDYNIYWGWIRQPPGKGLEWIGYIYSGSDTYNPSLKSRVTISVDTSKNQFSLKVNSVTAADTAVYYCARVVDLWYDDGKYASCVKGAIDYWGQGTLVTVSS"/>
    <s v="SVLTQPPSVSGAPGQRVTISCTGSSGAGYDVHWYQQLPGTAPKLLIYGNSNRPSGVPDRFSGSKSGTSASLAITGLQAEDEADYYCQSYDSSLSGWVFGGGTKLTVL"/>
    <b v="1"/>
    <s v="GGGSGGGSGGGS"/>
    <x v="76"/>
    <n v="247"/>
    <b v="1"/>
    <b v="0"/>
    <b v="1"/>
    <n v="0"/>
    <n v="4.8869999999999999E-3"/>
    <x v="7"/>
  </r>
  <r>
    <x v="77"/>
    <s v="peleke-1"/>
    <x v="0"/>
    <n v="0.7"/>
    <s v="base"/>
    <m/>
    <s v="nipah_gpG_compout"/>
    <m/>
    <s v="EVQLVESGGGLVQPGGSLRLSCAASGFNVVDFSLHWVRQAPGKGLEWVASIYPYDGSAYYADSVKGRFTISADTSKNTAYLQMNSLRAEDTAVYYCARWGYWPGEGWLGKYWGQGTLVTVS"/>
    <s v="DIQMTQSPSSLSASVGDRVTITCRASQSVSSAVAWYQQKPGKAPKLLIYSASSLYSGVPSRFSGSRSGTDFTLTISSLQPEDFATYYCQQYKYVPVTFGQGTKVEI"/>
    <b v="1"/>
    <s v="GGGSGGGSGGGSGGGS"/>
    <x v="77"/>
    <n v="243"/>
    <b v="1"/>
    <b v="0"/>
    <b v="1"/>
    <n v="8.0009999999999994E-3"/>
    <n v="0.10431"/>
    <x v="9"/>
  </r>
  <r>
    <x v="78"/>
    <s v="peleke-1"/>
    <x v="0"/>
    <n v="0.7"/>
    <s v="base"/>
    <m/>
    <s v="nipah_gpG_compout"/>
    <m/>
    <s v="EVQLVESGGGLVQPGGSLRLSCAASGFNISSSSIHWVRQAPGKGLEWVASISSSYGSTYYADSVKGRFTISADTSKNTAYLQMNSLRAEDTAVYYCARWEGYRGDLWGQGTLVTVSS"/>
    <s v="DIQMTQSPSSLSASVGDRVTITCRASQSVSSAVAWYQQKPGKAPKLLIYSASSLYSGVPSRFSGSRSGTDFTLTISSLQPEDFATYYCQQYYEWLRTFGQGTKVEIK"/>
    <b v="1"/>
    <s v="GGGSGGGSGGGSGGGS"/>
    <x v="78"/>
    <n v="240"/>
    <b v="1"/>
    <b v="0"/>
    <b v="1"/>
    <n v="0.26539499999999999"/>
    <n v="0.41420200000000001"/>
    <x v="9"/>
  </r>
  <r>
    <x v="79"/>
    <s v="peleke-1"/>
    <x v="0"/>
    <n v="0.2"/>
    <s v="derivative"/>
    <s v="sbio-nipahgpg-052"/>
    <s v="nipah_gpG_compout"/>
    <n v="3"/>
    <s v="QVQLQESGPGLVKPSQTLSLTCTVSGGSVSSGSYYWSWIRQPPGKGLEWIGYIYYSGSTNYNPSLKSRVTISVDTSKNQFSLKLSSVTAADTAVYYCARVDSFYYGMDVWGQGTTVTVSS"/>
    <s v="DIQMTQSPSSLSASVGDRVTITCRASSGSSYDNGWYQQKPGKAPKLLIYAASSLQSGVPSRFSGSGSGTDFTLTISSLQPEDFATYYLQDSNYTPRTFGQGTKVEIK"/>
    <b v="1"/>
    <s v="GGGSGGGSGGGSGGGS"/>
    <x v="79"/>
    <n v="243"/>
    <b v="1"/>
    <b v="0"/>
    <b v="1"/>
    <n v="0.22428600000000001"/>
    <n v="0.32534800000000003"/>
    <x v="5"/>
  </r>
  <r>
    <x v="80"/>
    <s v="peleke-1"/>
    <x v="0"/>
    <n v="0.5"/>
    <s v="derivative"/>
    <s v="sbio-nipahgpg-063"/>
    <s v="nipah_gpG_compout"/>
    <n v="3"/>
    <s v="QVQLVQSGAEVKKPGSSVKVSCKASGGTFSSYTISWVRQAPGQGLEWMGRIIPIFGTANYAQKFQGRVTITADKSTSTAYMELSSLRSEDTAVYYCARYYDSYFDYWGQGTLVTVSS"/>
    <s v="DIQMTQSPSSLSASVGDRVTITCRASQGISSWLAWYQQKPGKAPKLLIYAASSLQSGVPSRFSGSGSGTDFTLTISSLQPEDFATYYCQCGNSFPWTFGGGTKLEIK"/>
    <b v="1"/>
    <s v="GGGSGGGSGGGSGGGS"/>
    <x v="80"/>
    <n v="240"/>
    <b v="1"/>
    <b v="0"/>
    <b v="1"/>
    <n v="0"/>
    <n v="5.3290000000000004E-3"/>
    <x v="6"/>
  </r>
  <r>
    <x v="81"/>
    <s v="General LLM"/>
    <x v="6"/>
    <n v="0.7"/>
    <s v="base"/>
    <m/>
    <s v="nipah_gpG_compout"/>
    <m/>
    <s v="DVQLQESGPGLVKPSQTLSLTCTVSGYSITSDYYWNWIRQFPGNKLEWMGYISYDGSSNYNPSLKNRISITRDNSKNQFFLQLNSVTTEDTATYYCARSCSRRGYAMDYWGQGTSVTVSS"/>
    <s v="QIVLTQSPAIMSASLGEKVTLTCSASSSVSYMHWYQQKPGTSPKLLIYSCNLLSGVPDRFSGSGSGTDFTLSISNVETEDAATYYCYQYRIRFGGGTKLTVLQ"/>
    <b v="1"/>
    <s v="GGGSGGGSGGGSGGGS"/>
    <x v="81"/>
    <n v="239"/>
    <b v="1"/>
    <b v="0"/>
    <b v="1"/>
    <n v="0"/>
    <n v="5.1529999999999996E-3"/>
    <x v="7"/>
  </r>
  <r>
    <x v="82"/>
    <s v="General LLM"/>
    <x v="6"/>
    <n v="0.1"/>
    <s v="base"/>
    <m/>
    <s v="nipah_gpG_compout"/>
    <m/>
    <s v="EVQLVESGGGLVQPGGSLRLSCAASGFTFSSYAMSWVRQAPGKGLEWVSSISRSGGSTYYADSVKGRFTISRDNAKNSLYLQMNSLRAEDTAVYYCARSCSSRGYFDYWGQGTLVTVSS"/>
    <s v="DIVMTQSPDSLAVSLGERATINCRASQSVSSYLAWYQQKPGQSPKLLIYSCNLQSGVPDRFSGSGSGTDFTLTISSLQPEDFATYYCQPYIRFGGGGTKLEIK"/>
    <b v="1"/>
    <s v="GGGSGGGSGGGSGGGS"/>
    <x v="82"/>
    <n v="238"/>
    <b v="1"/>
    <b v="0"/>
    <b v="1"/>
    <n v="0"/>
    <n v="5.2469999999999999E-3"/>
    <x v="7"/>
  </r>
  <r>
    <x v="83"/>
    <s v="General LLM"/>
    <x v="6"/>
    <n v="0.9"/>
    <s v="base"/>
    <m/>
    <s v="nipah_gpG_compout"/>
    <m/>
    <s v="QVQLQESGPGLVKPSQTLSLTCTVSGFSFSSYAMSWVRQAPGKGLEWVSSISRSGGSTYYADSVKGRFTISRDNAKNSLYLQMNSLRAEDTAVYYCARSCSSRGYLFDYWGQGTLVTVSS"/>
    <s v="DIVMTQSPDSLAVSLGERATINCRASQSVSSYLAWYQQKPGQSPKLLIYSCNLQSGVPDRFSGSGSGTDFTLTISSLQPEDFATYYCQPYIRFGGGGTKLEIK"/>
    <b v="1"/>
    <s v="GGGSGGGSGGGSGGGS"/>
    <x v="83"/>
    <n v="239"/>
    <b v="1"/>
    <b v="0"/>
    <b v="1"/>
    <n v="0"/>
    <n v="5.4089999999999997E-3"/>
    <x v="7"/>
  </r>
  <r>
    <x v="84"/>
    <s v="General LLM + ProteinMPNN"/>
    <x v="7"/>
    <n v="0.2"/>
    <s v="derivative"/>
    <s v="sbio-nipahgpg-084"/>
    <s v="nipah_gpG_compout"/>
    <m/>
    <s v="SIKLTESGPTSVAPGSTLNLTCTVTGDNITSSGWYWWVKQAPDNKLTWIGGIDKNGNTWLNVAYIDRATLTRDPAANTVYLSIRNVTSSDTATYYCAKSSDDNGSYLDVWGQGLKVTVSG"/>
    <s v="QVKLTQSPKEVTAKIGDTVTLTCTASQPVSTVSWYMQKPGQPPQLLISNNKLVEGVPERFSASGSGTEFTLTIKDVQKEDEAIYYCEVNGQVFGQGTKLTVLE"/>
    <b v="1"/>
    <s v="GGGSGGGSGGGSGGGS"/>
    <x v="84"/>
    <n v="239"/>
    <b v="1"/>
    <b v="0"/>
    <b v="1"/>
    <n v="0.169797"/>
    <n v="0.25293399999999999"/>
    <x v="7"/>
  </r>
  <r>
    <x v="85"/>
    <s v="peleke-1"/>
    <x v="0"/>
    <n v="0.1"/>
    <s v="base"/>
    <m/>
    <s v="nipah_gpG_compout"/>
    <m/>
    <s v="EVQLVESGGGLVQPGGSLRLSCAASGFNVSYSSIHWVRQAPGKGLEWVASIYSYSGYTYYADSVKGRFTISADTSKNTAYLQMNSLRAEDTAVYYCARGWYSYFDYWGQGTLVTVSS"/>
    <s v="DIQMTQSPSSLSASVGDRVTITCRASQSVSSAVAWYQQKPGKAPKLLIYSASSLYSGVPSRFSGSRSGTDFTLTISSLQPEDFATYYCQQYKYVPVTFGQGTKVEIK"/>
    <b v="1"/>
    <s v="GGGSGGGSGGGSGGGS"/>
    <x v="85"/>
    <n v="240"/>
    <b v="1"/>
    <b v="0"/>
    <b v="1"/>
    <n v="0"/>
    <n v="5.3860000000000002E-3"/>
    <x v="8"/>
  </r>
  <r>
    <x v="86"/>
    <s v="peleke-1"/>
    <x v="0"/>
    <n v="0.1"/>
    <s v="base"/>
    <m/>
    <s v="nipah_gpG_compout"/>
    <m/>
    <s v="QVQLVQSGAEVKKPGSSVKVSCKASGGTFSSYAISWVRQAPGQGLEWMGGIIIFGTANYAQKFQGRVTITADKSTSTAYMELRSEDTAVYYCAREGTTGWDYWGQGTLVTVSS"/>
    <s v="EIVLTQSPGTLSLSPGERATLSCRASQSVSSSYLAWYQQKPGQAPRLLIYGASSRATGIPDRFSGSGSGTDFTLTISRLEPEDFAVYYCQQYGSSPRTFGQGTKVEIK"/>
    <b v="1"/>
    <s v="GGGSGGGSGGGSGGGS"/>
    <x v="86"/>
    <n v="237"/>
    <b v="1"/>
    <b v="0"/>
    <b v="1"/>
    <n v="0"/>
    <n v="5.1520000000000003E-3"/>
    <x v="9"/>
  </r>
  <r>
    <x v="87"/>
    <s v="peleke-1"/>
    <x v="0"/>
    <n v="0.1"/>
    <s v="base"/>
    <m/>
    <s v="nipah_gpG_compout"/>
    <m/>
    <s v="EVQLVESGGGLVQPGGSLRLSCAASGFNVSYYSIHWVRQAPGKGLEWVASIYSYSGYTSYADSVKGRFTISADTSKNTAYLQMNSLRAEDTAVYYCARYYVYYGAMDYWGQGTLVTVSS"/>
    <s v="DIQMTQSPSSLSASVGDRVTITCRASQSVSSAVAWYQQKPGKAPKLLIYSASSLYSGVPSRFSGSRSGTDFTLTISSLQPEDFATYYCQQYKYVPVTFGQGTKVEIK"/>
    <b v="1"/>
    <s v="GGGSGGGSGGGSGGGS"/>
    <x v="87"/>
    <n v="242"/>
    <b v="1"/>
    <b v="0"/>
    <b v="1"/>
    <n v="0"/>
    <n v="5.2599999999999999E-3"/>
    <x v="9"/>
  </r>
  <r>
    <x v="88"/>
    <s v="peleke-1"/>
    <x v="0"/>
    <n v="0.1"/>
    <s v="base"/>
    <m/>
    <s v="nipah_gpG_compout"/>
    <m/>
    <s v="EVQLVESGGGLVQPGGSLRLSCAASGFNVSYSSIHWVRQAPGKGLEWVASIYSYSGYTYYADSVKGRFTISADTSKNTAYLQMNSLRAEDTAVYYCARGWVRGSSYWGQGTLVTVSS"/>
    <s v="DIQMTQSPSSLSASVGDRVTITCRASQSVSSAVAWYQQKPGKAPKLLIYSASSLYSGVPSRFSGSRSGTDFTLTISSLQPEDFATYYCQQYKYVPVTFGQGTKVEIK"/>
    <b v="1"/>
    <s v="GGGSGGGSGGGSGGGS"/>
    <x v="88"/>
    <n v="240"/>
    <b v="1"/>
    <b v="0"/>
    <b v="1"/>
    <n v="0.25166500000000003"/>
    <n v="0.40871299999999999"/>
    <x v="9"/>
  </r>
  <r>
    <x v="89"/>
    <s v="peleke-1"/>
    <x v="0"/>
    <n v="0.1"/>
    <s v="base"/>
    <m/>
    <s v="nipah_gpG_compout"/>
    <m/>
    <s v="EVQLVESGGGLVQPGGSLRLSCAASGFNVSYSSIHWVRQAPGKGLEWVASIYSYSGYTNYADSVKGRFTISADTSKNTAYLQMNSLRAEDTAVYYCARYYGGYGGYFDYWGQGTLVTVSS"/>
    <s v="DIQMTQSPSSLSASVGDRVTITCRASQSVSSAVAWYQQKPGKAPKLLIYSASSLYSGVPSRFSGSRSGTDFTLTISSLQPEDFATYYCQQYKYVPVTFGQGTKVEIK"/>
    <b v="1"/>
    <s v="GGGSGGGSGGGSGGGS"/>
    <x v="89"/>
    <n v="243"/>
    <b v="1"/>
    <b v="0"/>
    <b v="1"/>
    <n v="0"/>
    <n v="4.888E-3"/>
    <x v="8"/>
  </r>
  <r>
    <x v="90"/>
    <s v="peleke-1"/>
    <x v="0"/>
    <n v="0.1"/>
    <s v="base"/>
    <m/>
    <s v="nipah_gpG_compout"/>
    <m/>
    <s v="EVQLVESGGGLVQPGGSLRLSCAASGFNVSYYSIHWVRQAPGKGLEWVASIYPYSGYTNYADSVKGRFTISADTSKNTAYLQMNSLRAEDTAVYYCARYYGYWYFDYWGQGTLVTVSS"/>
    <s v="DIQMTQSPSSLSASVGDRVTITCRASQSVSSAVAWYQQKPGKAPKLLIYSASSLYSGVPSRFSGSRSGTDFTLTISSLQPEDFATYYCQQYKYVPVTFGQGTKVEIK"/>
    <b v="1"/>
    <s v="GGGSGGGSGGGSGGGS"/>
    <x v="90"/>
    <n v="241"/>
    <b v="1"/>
    <b v="0"/>
    <b v="1"/>
    <n v="0"/>
    <n v="5.4039999999999999E-3"/>
    <x v="8"/>
  </r>
  <r>
    <x v="91"/>
    <s v="peleke-1"/>
    <x v="0"/>
    <n v="0.1"/>
    <s v="base"/>
    <m/>
    <s v="nipah_gpG_compout"/>
    <m/>
    <s v="EVQLVESGGGLVQPGGSLRLSCAASGFNVSYSSIHWVRQAPGKGLEWVASIYSYSGYTSYADSVKGRFTISADTSKNTAYLQMNSLRAEDTAVYYCARYYGGYGGWYFDYWGQGTLVTVSS"/>
    <s v="DIQMTQSPSSLSASVGDRVTITCRASQSVSSAVAWYQQKPGKAPKLLIYSASSLYSGVPSRFSGSRSGTDFTLTISSLQPEDFATYYCQQYKYVPVTFGQGTKVEIK"/>
    <b v="1"/>
    <s v="GGGSGGGSGGGSGGGS"/>
    <x v="91"/>
    <n v="244"/>
    <b v="1"/>
    <b v="0"/>
    <b v="1"/>
    <n v="4.7809999999999997E-3"/>
    <n v="1.0769000000000001E-2"/>
    <x v="8"/>
  </r>
  <r>
    <x v="92"/>
    <s v="peleke-1"/>
    <x v="0"/>
    <n v="0.1"/>
    <s v="base"/>
    <m/>
    <s v="nipah_gpG_compout"/>
    <m/>
    <s v="EVQLVESGGGLVQPGGSLRLSCAASGFNVSYYSIHWVRQAPGKGLEWVASISSYYGYTYYADSVKGRFTISADTSKNTAYLQMNSLRAEDTAVYYCARYYGYWYFDYWGQGTLVTVSS"/>
    <s v="DIQMTQSPSSLSASVGDRVTITCRASQSVSSAVAWYQQKPGKAPKLLIYSASSLYSGVPSRFSGSRSGTDFTLTISSLQPEDFATYYCQQYKYVPVTFGQGTKVEIK"/>
    <b v="1"/>
    <s v="GGGSGGGSGGGSGGGS"/>
    <x v="92"/>
    <n v="241"/>
    <b v="1"/>
    <b v="0"/>
    <b v="1"/>
    <n v="0"/>
    <n v="5.1809999999999998E-3"/>
    <x v="8"/>
  </r>
  <r>
    <x v="93"/>
    <s v="peleke-1"/>
    <x v="0"/>
    <n v="0.1"/>
    <s v="base"/>
    <m/>
    <s v="nipah_gpG_compout"/>
    <m/>
    <s v="EVQLVESGGGLVQPGGSLRLSCAASGFNVSYYSIHWVRQAPGKGLEWVASISSYYGYTYYADSVKGRFTISADTSKNTAYLQMNSLRAEDTAVYYCARYYGTYYGHSYWGQGTLVTVSS"/>
    <s v="DIQMTQSPSSLSASVGDRVTITCRASQSVSSAVAWYQQKPGKAPKLLIYSASSLYSGVPSRFSGSRSGTDFTLTISSLQPEDFATYYCQQYKYVPVTFGQGTKVEIK"/>
    <b v="1"/>
    <s v="GGGSGGGSGGGSGGGS"/>
    <x v="93"/>
    <n v="242"/>
    <b v="1"/>
    <b v="0"/>
    <b v="1"/>
    <n v="0"/>
    <n v="5.0010000000000002E-3"/>
    <x v="8"/>
  </r>
  <r>
    <x v="94"/>
    <s v="peleke-1"/>
    <x v="0"/>
    <n v="0.1"/>
    <s v="base"/>
    <m/>
    <s v="nipah_gpG_compout"/>
    <m/>
    <s v="EVQLVESGGGLVQPGGSLRLSCAASGFNVSYSSIHWVRQAPGKGLEWVASIYSYSGYTNYADSVKGRFTISADTSKNTAYLQMNSLRAEDTAVYYCARYWYFGYFDYWGQGTLVTVSS"/>
    <s v="DIQMTQSPSSLSASVGDRVTITCRASQSVSSAVAWYQQKPGKAPKLLIYSASSLYSGVPSRFSGSRSGTDFTLTISSLQPEDFATYYCQQYKYVPVTFGQGTKVEIK"/>
    <b v="1"/>
    <s v="GGGSGGGSGGGSGGGS"/>
    <x v="94"/>
    <n v="241"/>
    <b v="1"/>
    <b v="0"/>
    <b v="1"/>
    <n v="5.2069999999999998E-3"/>
    <n v="3.3148999999999998E-2"/>
    <x v="8"/>
  </r>
  <r>
    <x v="95"/>
    <s v="peleke-1"/>
    <x v="0"/>
    <n v="0.6"/>
    <s v="base"/>
    <m/>
    <s v="nipah_gpG_compout"/>
    <m/>
    <s v="EVQLVESGGGLVKPGGSLRLSCAASGFTFRNYAMSWVRQAPGKGLEWVSSISSKSKSTSYADSVKGRFTISRDNAKNSLYLQMNSLRAEDTAVYYCARESGSFSYEGVWGQGTLVTVSS"/>
    <s v="SVLTQPPSVSGAPGQRVTISCTGSSSNIGAGYDVHWYQQLPGTAPKLLIYDNNKRPSGVPDRFSGSKSGTSASLAITGLQAEDEADYYCQSYDSSLSGLVFGGGTKLTVL"/>
    <b v="1"/>
    <s v="GGGSGGGSGGGSGGGS"/>
    <x v="95"/>
    <n v="245"/>
    <b v="1"/>
    <b v="0"/>
    <b v="1"/>
    <n v="0"/>
    <n v="4.9690000000000003E-3"/>
    <x v="9"/>
  </r>
  <r>
    <x v="96"/>
    <s v="peleke-1"/>
    <x v="0"/>
    <n v="0.6"/>
    <s v="base"/>
    <m/>
    <s v="nipah_gpG_compout"/>
    <m/>
    <s v="EVQLVESGGGLVQPGGSLRLSCAASGFNISSSSIHWVRQAPGKGLEWVASIYYSSGYTHYADSVKGRFTISADTSKNTAYLQMNSLRAEDTAVYYCARWGYWPGQVWLWFAYWGQGTLVTVS"/>
    <s v="DIQMTQSPSSLSASVGDRVTITCRASQSVSSAVAWYQQKPGKAPKLLIYSASSLYSGVPSRFSGSRSGTDFTLTISSLQPEDFATYYCQQSSSSLITFGQGTKVEIK"/>
    <b v="1"/>
    <s v="GGGSGGGSGGGSGGGS"/>
    <x v="96"/>
    <n v="245"/>
    <b v="1"/>
    <b v="0"/>
    <b v="1"/>
    <n v="0.307058"/>
    <n v="0.42117900000000003"/>
    <x v="9"/>
  </r>
  <r>
    <x v="97"/>
    <s v="peleke-1"/>
    <x v="0"/>
    <n v="0.6"/>
    <s v="base"/>
    <m/>
    <s v="nipah_gpG_compout"/>
    <m/>
    <s v="QVQLVQSGAEVKKPGSSVKVSCKSSGGTSNNYAISWVRQAPGQGLEWMGGIIPILGIANYAQKFQGRVTITADKSTSTAYMELSSLRSEDTAVYYCAREDAVVDYWGQGTLVTVSS"/>
    <s v="DIQMTQSPSTLSASVGDRVTITCRASQGISSWLAWYQQKPGKAPKLLIYKASSLESGVPSRFSGSGSGTEFTLTISSLQPDDFATYYCQQYNSYPLTFGQGTKVQVK"/>
    <b v="1"/>
    <s v="GGGSGGGSGGGSGGGS"/>
    <x v="97"/>
    <n v="239"/>
    <b v="1"/>
    <b v="0"/>
    <b v="1"/>
    <n v="5.2290000000000001E-3"/>
    <n v="6.1022E-2"/>
    <x v="10"/>
  </r>
  <r>
    <x v="98"/>
    <s v="peleke-1"/>
    <x v="0"/>
    <n v="0.6"/>
    <s v="base"/>
    <m/>
    <s v="nipah_gpG_compout"/>
    <m/>
    <s v="EVQLVESGGGLVQPGGSLRLSCAASGFNVSSSSIHWVRQAPGKGLEWVASISSYYGYTYYADSVKGRFTISADTSKNTAYLQMNSLRAEDTAVYYCARHWGYCSWFAYWGQGTLVTVSS"/>
    <s v="DIQMTQSPSSLSASVGDRVTITCRASQSVSSAVAWYQQKPGKAPKLLIYSASSLYSGVPSRFSGSRSGTDFTLTISSLQPEDFATYYCQQYKYVPVTFGQGTKVEIK"/>
    <b v="1"/>
    <s v="GGGSGGGSGGGSGGGS"/>
    <x v="98"/>
    <n v="242"/>
    <b v="1"/>
    <b v="0"/>
    <b v="1"/>
    <n v="0"/>
    <n v="5.176E-3"/>
    <x v="8"/>
  </r>
  <r>
    <x v="99"/>
    <s v="peleke-1"/>
    <x v="0"/>
    <n v="0.6"/>
    <s v="base"/>
    <m/>
    <s v="nipah_gpG_compout"/>
    <m/>
    <s v="EVQLVESGGGLVQPGGSLRLSCAASGFNISSSSIHWVRQAPGKGLEWVASIYSYSGYTSYADSVKGRFTISADTSKNTAYLQMNSLRAEDTAVYYCARGSHYFGYFDYWGQGTLVTVSS"/>
    <s v="DIQMTQSPSSLSASVGDRVTITCRASQSVSSAVAWYQQKPGKAPKLLIYSASSLYSGVPSRFSGSRSGTDFTLTISSLQPEDFATYYCQQSSSSLITFGQGTKVEIK"/>
    <b v="1"/>
    <s v="GGGSGGGSGGGSGGGS"/>
    <x v="99"/>
    <n v="242"/>
    <b v="1"/>
    <b v="0"/>
    <b v="1"/>
    <n v="0"/>
    <n v="5.4390000000000003E-3"/>
    <x v="8"/>
  </r>
  <r>
    <x v="100"/>
    <s v="peleke-1"/>
    <x v="0"/>
    <n v="0.6"/>
    <s v="base"/>
    <m/>
    <s v="nipah_gpG_compout"/>
    <m/>
    <s v="QVQLQESGPGLVKPSQTLSLTCTVSGGSISSGDYYWIRQHPGKGLEWIGYIYYSGSTDYNPSLKSRVTISVDTSKNQFSLKVTAADTAVYYCARTWFGSDYWGQGTLVTVSS"/>
    <s v="DIQMTQSPSSLSASVGDRVTITCRASQGISNYLAWYQQKPGKAPKLLIYAASTLQSGVPSRFSGSGSGTDFTLTISSLQPEDFATYYCQQAHSFPYTFGGGTKLEIK"/>
    <b v="1"/>
    <s v="GGGSGGGSGGGSGGGS"/>
    <x v="100"/>
    <n v="235"/>
    <b v="1"/>
    <b v="0"/>
    <b v="1"/>
    <n v="0"/>
    <n v="5.2649999999999997E-3"/>
    <x v="10"/>
  </r>
  <r>
    <x v="101"/>
    <s v="peleke-1"/>
    <x v="0"/>
    <n v="0.6"/>
    <s v="base"/>
    <m/>
    <s v="nipah_gpG_compout"/>
    <m/>
    <s v="EVQLVESGGGLVQPGGSLRLSCAASGFTFSSYWMNWVRQAPGKGLEWVAFIRYDGGNKYYADSVKGRFTISRDNSKNTLYLQMNSLRAEDTAVYYCARWSYSGGSGSYYVYFDYWGQGTLVTVS"/>
    <s v="SVLTQPPSVSGAPGQRVTISCTGSSSNIGAGYDVHWYQQLPGTAPKLLIYGNSNRPSGVPDRFSGSKSGTSASLAITGLQAEDEADYYCQSYDSSLSGSVFGGGTKLTVL"/>
    <b v="1"/>
    <s v="GGGSGGGSGGGSGGGS"/>
    <x v="101"/>
    <n v="250"/>
    <b v="1"/>
    <b v="0"/>
    <b v="1"/>
    <n v="0"/>
    <n v="5.385E-3"/>
    <x v="10"/>
  </r>
  <r>
    <x v="102"/>
    <s v="peleke-1"/>
    <x v="0"/>
    <n v="0.6"/>
    <s v="base"/>
    <m/>
    <s v="nipah_gpG_compout"/>
    <m/>
    <s v="QVQLVQSGAEVKKPGASVKVSCKASGYTFTNYYIHWVRQAPGQGLEWMGWIYPGGNTNYAQKFQGRVTMTRDTSISTAYMELSRLRSDDTAVYYCARVRTEFDYWGQGTLVTVSS"/>
    <s v="DIVMTQSPSSLAMSAGAETITCRSSQSVHSNGYLNWYQQKPGQPPKLLIYWASTRESGVPDRFTGSGSGTDFTLTITNVQSEDLAEYFCQQYSSYPLTFGAGTKLELR"/>
    <b v="1"/>
    <s v="GGGSGGGSGGGSGGGS"/>
    <x v="102"/>
    <n v="239"/>
    <b v="1"/>
    <b v="0"/>
    <b v="1"/>
    <n v="0"/>
    <n v="5.3680000000000004E-3"/>
    <x v="10"/>
  </r>
  <r>
    <x v="103"/>
    <s v="peleke-1"/>
    <x v="0"/>
    <n v="0.6"/>
    <s v="base"/>
    <m/>
    <s v="nipah_gpG_compout"/>
    <m/>
    <s v="QVQLQESGPGLVKPSETLSLTCTVSGGSVSSGGYFWSWIRQPPGKGLEWIGYVSGSGSTNYNPSLKSRVTISVDTSKNQFSLKLSSVTAADTAVYYCARWDVWISDYWGQGTLVTVSS"/>
    <s v="EIVLTQSPATLSLSPGERATLSCRASQSVSSYLAWYQQKPGQAPRLLIYDASNRATGIPARFSGSGSGTDFTLTISSLEPEDFAVYYCQHSWDQPPWTFGQGTKVEIK"/>
    <b v="1"/>
    <s v="GGGSGGGSGGGSGGGS"/>
    <x v="103"/>
    <n v="242"/>
    <b v="1"/>
    <b v="0"/>
    <b v="1"/>
    <n v="0"/>
    <n v="1.5878E-2"/>
    <x v="10"/>
  </r>
  <r>
    <x v="104"/>
    <s v="peleke-1"/>
    <x v="0"/>
    <n v="0.6"/>
    <s v="base"/>
    <m/>
    <s v="nipah_gpG_compout"/>
    <m/>
    <s v="QVQLQESGPGLVKPSQTLSLTCTVTGSSITSGYWNWIRQFPGNKLEWMGYISYSGTITYNPSLKSRISITRDTSKNQFFLQLNSVTTEDTATYYCARVYDGFYDYWGQGTLVTVSS"/>
    <s v="DIVMTQSPSSLSASVGDRVTITCRASQGISSWLAWYQQKPGKAPKLLIYKASSLESGVPSRFSGSGSGTEFTLTISSLQPDDFATYYCQQYNSYPLTFGGGTKVEIK"/>
    <b v="1"/>
    <s v="GGGSGGGSGGGSGGGS"/>
    <x v="104"/>
    <n v="239"/>
    <b v="1"/>
    <b v="0"/>
    <b v="1"/>
    <n v="0"/>
    <n v="0"/>
    <x v="10"/>
  </r>
  <r>
    <x v="105"/>
    <s v="peleke-1"/>
    <x v="0"/>
    <n v="0.9"/>
    <s v="base"/>
    <m/>
    <s v="nipah_gpG_compout"/>
    <m/>
    <s v="QVQLVESGGGVVQPGRSLRLSCAASGFTFSNYAMHWVRQAPGKGLEWVAVISYNSGNPYADSVKGRFTISRDNSKNTLYLQMRVEDTAVYYCSRTTIGYGGDIWGNMFDYWGQGTLVTVSS"/>
    <s v="DIVMTQSPATLSVSPGDRATLSCRASQSISTNLAWYQQKPGQAPRLLIYTASTLESGVPSRFSGSGSGTEFTLTISNLQSEDFATYFCQQYSAPLTFGGGTKVEIK"/>
    <b v="1"/>
    <s v="GGGSGGGSGGGSGGGS"/>
    <x v="105"/>
    <n v="243"/>
    <b v="1"/>
    <b v="0"/>
    <b v="1"/>
    <n v="0"/>
    <n v="5.5960000000000003E-3"/>
    <x v="9"/>
  </r>
  <r>
    <x v="106"/>
    <s v="peleke-1"/>
    <x v="0"/>
    <n v="0.9"/>
    <s v="base"/>
    <m/>
    <s v="nipah_gpG_compout"/>
    <m/>
    <s v="EVQLVESGGGLVQPGGSLRLSCAASGFASSSSNYVHWVRQAPGKGLEWVATIYPYSSSEYAASVQGRFTISRDDSKNTLYLQMNSLRGEDTAVYYCARYGYYSSRSGYGYYFNYWGQGTLVTVSS"/>
    <s v="DIVMTQSPASLAVSLGQRATISCRASESVDSYGNSFLAWYQQKPGQPPKLLIYWASTRQSGVPARFSGSGSGTDFTLNIHPVEEEDAATYYCQQHNYPLTFGAGTKLEIK"/>
    <b v="1"/>
    <s v="GGGSGGGSGGGS"/>
    <x v="106"/>
    <n v="247"/>
    <b v="1"/>
    <b v="0"/>
    <b v="1"/>
    <n v="0.51522000000000001"/>
    <n v="0.575318"/>
    <x v="9"/>
  </r>
  <r>
    <x v="107"/>
    <s v="peleke-1"/>
    <x v="0"/>
    <n v="0.9"/>
    <s v="base"/>
    <m/>
    <s v="nipah_gpG_compout"/>
    <m/>
    <s v="EVQLVESGAEVKKPGSSVKVSCKASGGPFTSYVISWVRQAPGQGLEWMGRIIPIRGTTYAQKFQGRVTITADKSTSTAYMELRSEDTAVYYCARGSHVFGYYDYWGQGTLVTVSS"/>
    <s v="EIVLTQSPGTLSLSPGERATLSCRASQSISGNYLAWYQQKPGQAPRLLIYGASIRAAGIPDRFSGSGSGTDFTLTISRLEPEDFAVYYCQQYGSSPRTFGQGTKVEIK"/>
    <b v="1"/>
    <s v="GGGSGGGSGGGSGGGS"/>
    <x v="107"/>
    <n v="239"/>
    <b v="1"/>
    <b v="0"/>
    <b v="1"/>
    <n v="0"/>
    <n v="0"/>
    <x v="10"/>
  </r>
  <r>
    <x v="108"/>
    <s v="peleke-1"/>
    <x v="0"/>
    <n v="0.9"/>
    <s v="base"/>
    <m/>
    <s v="nipah_gpG_compout"/>
    <m/>
    <s v="EVQLVETGGGLVQPGGSLKLSCRASGYTFTDYAMHWVRQAPLGLGLYTGGVNYARHFMKSRISITRDNSKNTLYLQMTKVDDTATYFCARRGLFDSDYWGQGTLVTVSS"/>
    <s v="SVTQPPSVSGSTSVGDRVTTCRASQSISSNWLAWYQQFPGTAPKLLIYENSSRPSGVPDRFSGSGSGTDFTLKISRVEAEDVGVYYCLQALSPRFTFGSGTKLEIK"/>
    <b v="1"/>
    <s v="GGGSGGGSGGGSGGGS"/>
    <x v="108"/>
    <n v="231"/>
    <b v="1"/>
    <b v="0"/>
    <b v="1"/>
    <n v="0"/>
    <n v="0"/>
    <x v="10"/>
  </r>
  <r>
    <x v="109"/>
    <s v="peleke-1"/>
    <x v="0"/>
    <n v="0.9"/>
    <s v="base"/>
    <m/>
    <s v="nipah_gpG_compout"/>
    <m/>
    <s v="QVQLVQSGAEVKKPGSSVKVSCKASGGTFSNYGISWVRQAPGQGLEWMGGIIPILGIANYAQKFQGRVTITADKSTSTAYMELRSLRSDDTAVYYCAREGHAYFHNGLDYWGQGTLVTVSS"/>
    <s v="EIVLTQSPGTLSLSPGERATLSCRASQSVSSSYFAWYQQKPGQAPRLLIYGASSRATGIPDRFSGSGSGTDFTLTISRLEPEDFAVYYCQQYGSSPPATFGQGTKVEIK"/>
    <b v="1"/>
    <s v="GGGSGGGSGGGSGGGS"/>
    <x v="109"/>
    <n v="246"/>
    <b v="1"/>
    <b v="0"/>
    <b v="1"/>
    <n v="5.1460000000000004E-3"/>
    <n v="2.6327E-2"/>
    <x v="10"/>
  </r>
  <r>
    <x v="110"/>
    <s v="peleke-1"/>
    <x v="0"/>
    <n v="0.9"/>
    <s v="base"/>
    <m/>
    <s v="nipah_gpG_compout"/>
    <m/>
    <s v="QVQLVESGGGVVQPGRSLRLSCAASGFTFSSFGMHWVRQAPGKGLEWVAIIWDGSNKYYADSVKGRFTISRDNSKNTLYLQMRAEDTAVYYCALDGGSFDDYWGQGTLVTVSS"/>
    <s v="DIQMTQSPSTLSTSVGDRVTITCRASQSISSWLAWYQQKPGKAPKLLIYKASTLESGVPSRFSGSGSGTEFTLTISSLQPDDFATYYCQHFYGTPITFGPGTKVD"/>
    <b v="1"/>
    <s v="GGGSGGGSGGGSGGGS"/>
    <x v="110"/>
    <n v="234"/>
    <b v="1"/>
    <b v="0"/>
    <b v="1"/>
    <n v="0.15404200000000001"/>
    <n v="0.23156599999999999"/>
    <x v="10"/>
  </r>
  <r>
    <x v="111"/>
    <s v="peleke-1"/>
    <x v="0"/>
    <n v="0.9"/>
    <s v="base"/>
    <m/>
    <s v="nipah_gpG_compout"/>
    <m/>
    <s v="EVQLVESGGGLVKPGGSLKVSCAASGFTFSDYSMNWVRQAPGKGLEWVSSITSGYTSIYYADSVKGRFTISRDNAKNSLYLQMNSLRAGDTAVYYCARVSDNFDYWGQGTAVTVSS"/>
    <s v="DIQMTQSPSSLSASVGDRVTITCQASQDIRFYLNWYQQKPGKAPKLLISAASTLQSGVPSRFSGSGSGTDFTLTITSLQPEDFATYYCAGYVPSYTFGPGTKVDIK"/>
    <b v="1"/>
    <s v="GGGSGGGSGGGSGGGS"/>
    <x v="111"/>
    <n v="238"/>
    <b v="1"/>
    <b v="0"/>
    <b v="1"/>
    <n v="0"/>
    <n v="0"/>
    <x v="11"/>
  </r>
  <r>
    <x v="112"/>
    <s v="peleke-1"/>
    <x v="0"/>
    <n v="0.9"/>
    <s v="base"/>
    <m/>
    <s v="nipah_gpG_compout"/>
    <m/>
    <s v="EVQLQQSGAELVKPGASVKLSCKASGYTFLDYYMYWVKQRPEQGLEWIGRIDPANGNTIYAPKFQDKATLTLTTDTTSSNTAYMQLSSLTSEDSAVYYCAREGNYGYRDLAWFAYWGQGTLVTVSS"/>
    <s v="AIRMTQSPSSLSASVGDTVTITCRASQSISSYLNWYQQKPGKAPKLLIYTASNLESGVPSRFSGSGSGTDYTLTISSLQPEDIATYYCQQYDNPPLTFGGGTKVEIK"/>
    <b v="1"/>
    <s v="GGGSGGGSGGGSGGGS"/>
    <x v="112"/>
    <n v="249"/>
    <b v="1"/>
    <b v="0"/>
    <b v="1"/>
    <n v="5.705E-3"/>
    <n v="4.4477999999999997E-2"/>
    <x v="11"/>
  </r>
  <r>
    <x v="113"/>
    <s v="peleke-1"/>
    <x v="0"/>
    <n v="0.9"/>
    <s v="base"/>
    <m/>
    <s v="nipah_gpG_compout"/>
    <m/>
    <s v="QVQLQESGPGLVKPSETLSLTCTVSGGSVSSGGYFWSWIRQRPGKGLEWIGHIYYSGTTNYNPSLRSRVTISRDTSKSQFSLKMDSLTSEDTALYYCARQLGLRFDIWGQGTMVTVSS"/>
    <s v="DIQMTQSPSSLSASVGDRVTITCRASQSISSYLNWYQQKPGKAPKLLIYAASSLQSGVPSRFSGSGSGTDFTLTISSLQPEDFATYYCQQSYTTPPTFGQGTKVEIK"/>
    <b v="1"/>
    <s v="GGGSGGGSGGGSGGGS"/>
    <x v="113"/>
    <n v="241"/>
    <b v="1"/>
    <b v="0"/>
    <b v="1"/>
    <n v="0"/>
    <n v="0"/>
    <x v="11"/>
  </r>
  <r>
    <x v="114"/>
    <s v="peleke-1"/>
    <x v="0"/>
    <n v="0.9"/>
    <s v="base"/>
    <m/>
    <s v="nipah_gpG_compout"/>
    <m/>
    <s v="QVQLVESGGGLVQPGGSLRLSCAASGFNLYSSSIHWVRQAPGKGLEWVARIYPSGATYYADSVKGRFTISADTSKNTAYLQMRAEDTAVYYCARSYYGDDYWGQGTLVTVSS"/>
    <s v="DIQMTQSPSSLSASVGDRVTITCRASQSVSSAVAWYQQKPGKAPKLLIYSASFLYSGVPSRFSGSRSGTDFTLTISSLQPEDFATYYCQQYSYYPFTFGQGTKVEIK"/>
    <b v="1"/>
    <s v="GGGSGGGSGGGSGGGS"/>
    <x v="114"/>
    <n v="235"/>
    <b v="1"/>
    <b v="0"/>
    <b v="1"/>
    <n v="0"/>
    <n v="2.3538E-2"/>
    <x v="11"/>
  </r>
  <r>
    <x v="115"/>
    <s v="peleke-1"/>
    <x v="8"/>
    <n v="0.7"/>
    <s v="derivative"/>
    <s v="sbio-nipahgpg-081"/>
    <s v="nipah_gpG_compout"/>
    <m/>
    <s v="EVQLLESGGGLVQPGGSLRLSCAASGFTFSSYAMSWVRQAPGKGLEWVSYISSSSSTIYYADSVKGRFTISRDNAKNSLYLQMNSLRAEDTAVYYCAKYSSYDYDYWGRGTMVTVSS"/>
    <s v="DIQLTQSPSSLSASVGDRVTITCRASQGISSYLNWYQQKPGKAPKLLIYDASSLQSGVPSRFSGSGSGTDFTLTISSLQPEDFATYYCQQFYEWLRTFGQGTRLEIK"/>
    <b v="1"/>
    <s v="GGGSGGGSGGGSGGGS"/>
    <x v="115"/>
    <n v="240"/>
    <b v="1"/>
    <b v="0"/>
    <b v="1"/>
    <n v="0"/>
    <n v="0"/>
    <x v="11"/>
  </r>
  <r>
    <x v="116"/>
    <s v="peleke-1"/>
    <x v="8"/>
    <n v="0.9"/>
    <s v="derivative"/>
    <s v="sbio-nipahgpg-109"/>
    <s v="nipah_gpG_compout"/>
    <m/>
    <s v="EVQLVESGGGLVQPGGSLRLSCAASGFATVSSNYMSWVRQAPGKGLEWVSVIYSCGSTYYADSVKGRFTISRDNSKNTLYLQMNSLRAEDTAVYYCARYYYDSSRSGYYYYFDYWGQGTLVTVSS"/>
    <s v="DIVLTQSPASLAVSLGQRATISCKASQSVDYDGDSYMHWYQQKPGQPPKLLIYRASNLESGIPARFSGSGSRTDFTLTINPVEADDVATYYCQQSNYPLTFGSGTKVEIK"/>
    <b v="1"/>
    <s v="GGGSGGGSGGGS"/>
    <x v="116"/>
    <n v="247"/>
    <b v="1"/>
    <b v="0"/>
    <b v="1"/>
    <n v="0"/>
    <n v="5.1120000000000002E-3"/>
    <x v="11"/>
  </r>
  <r>
    <x v="117"/>
    <s v="peleke-1 + AntiBMPNN"/>
    <x v="9"/>
    <n v="0.2"/>
    <s v="derivative"/>
    <s v="sbio-nipahgpg-055"/>
    <s v="nipah_gpG_compout"/>
    <m/>
    <s v="EVQLVESGGGLVQPGGSLRLSCAASGFNISDSSIHWVRQAPGKGLEWVASISSYSGYTYYADSVKGRFTISADTSKNTAYLQMNSLRAEDTAVYYCARGGRDLFGLDALDYWGQGTLVTVSS"/>
    <s v="DIQMTQSPSSLSASVGDRVTITCRASQSVSSAVAWYQQKPGKAPKLLIYSASSLYSGVPSRFSGSRSGTDFTLTISSLQPEDFATYYCQQYKYVPVTFGQGTKVEIK"/>
    <b v="1"/>
    <s v="GGGSGGGSGGGS"/>
    <x v="117"/>
    <n v="241"/>
    <b v="1"/>
    <b v="0"/>
    <b v="1"/>
    <n v="0"/>
    <n v="0"/>
    <x v="12"/>
  </r>
  <r>
    <x v="118"/>
    <s v="peleke-1 + AntiBMPNN"/>
    <x v="9"/>
    <n v="0.2"/>
    <s v="derivative"/>
    <s v="sbio-nipahgpg-055"/>
    <s v="nipah_gpG_compout"/>
    <m/>
    <s v="EVQLVESGGGLVQPGGSLRLSCAASGFNISSSSIHWVRQAPGKGLEWVASIYSYSGLTYYADSVKGRFTISADTSKNTAYLQMNSLRAEDTAVYYCARGGYYLDGLYALDYWGQGTLVTVSS"/>
    <s v="DIQMTQSPSSLSASVGDRVTITCRASQSVSSAVAWYQQKPGKAPKLLIYSASSLYSGVPSRFSGSRSGTDFTLTISSLQPEDFATYYCQQYKYVPVTFGQGTKVEIK"/>
    <b v="1"/>
    <s v="GGGSGGGSGGGS"/>
    <x v="118"/>
    <n v="241"/>
    <b v="1"/>
    <b v="0"/>
    <b v="1"/>
    <n v="0"/>
    <n v="5.5250000000000004E-3"/>
    <x v="12"/>
  </r>
  <r>
    <x v="119"/>
    <s v="peleke-1 + AntiBMPNN"/>
    <x v="9"/>
    <n v="0.2"/>
    <s v="derivative"/>
    <s v="sbio-nipahgpg-055"/>
    <s v="nipah_gpG_compout"/>
    <m/>
    <s v="EVQLVESGGGLVQPGGSLRLSCAASGFNISSSSIHWVRQAPGKGLEWVASIYSYSGATYYADSVKGRFTISADTSKNTAYLQMNSLRAEDTAVYYCARGGNHLDGLYALDYWGQGTLVTVSS"/>
    <s v="DIQMTQSPSSLSASVGDRVTITCRASQSVSSAVAWYQQKPGKAPKLLIYSASSLYSGVPSRFSGSRSGTDFTLTISSLQPEDFATYYCQQYKYVPVTFGQGTKVEIK"/>
    <b v="1"/>
    <s v="GGGSGGGSGGGS"/>
    <x v="119"/>
    <n v="241"/>
    <b v="1"/>
    <b v="0"/>
    <b v="1"/>
    <n v="5.3680000000000004E-3"/>
    <n v="8.0700000000000008E-3"/>
    <x v="12"/>
  </r>
  <r>
    <x v="120"/>
    <s v="peleke-1 + AntiBMPNN"/>
    <x v="9"/>
    <n v="0.2"/>
    <s v="derivative"/>
    <s v="sbio-nipahgpg-055"/>
    <s v="nipah_gpG_compout"/>
    <m/>
    <s v="EVQLVESGGGLVQPGGSLRLSCAASGFNISSSSIHWVRQAPGKGLEWVASIYSYSGYTYYADSVKGRFTISADTSKNTAYLQMNSLRAEDTAVYYCARGGRYLDGLFALDYWGQGTLVTVSS"/>
    <s v="DIQMTQSPSSLSASVGDRVTITCRASQSVSSAVAWYQQKPGKAPKLLIYSASSLYSGVPSRFSGSRSGTDFTLTISSLQPEDFATYYCQQYKYVPVTFGQGTKVEIK"/>
    <b v="1"/>
    <s v="GGGSGGGSGGGS"/>
    <x v="120"/>
    <n v="241"/>
    <b v="1"/>
    <b v="0"/>
    <b v="1"/>
    <n v="0"/>
    <n v="5.1799999999999997E-3"/>
    <x v="12"/>
  </r>
  <r>
    <x v="121"/>
    <s v="peleke-1 + AntiBMPNN"/>
    <x v="9"/>
    <n v="0.2"/>
    <s v="derivative"/>
    <s v="sbio-nipahgpg-055"/>
    <s v="nipah_gpG_compout"/>
    <m/>
    <s v="EVQLVESGGGLVQPGGSLRLSCAASGFNISSSSIHWVRQAPGKGLEWVASISSYSGYTYYADSVKGRFTISADTSKNTAYLQMNSLRAEDTAVYYCARGGSLLRGLSALDYWGQGTLVTVSS"/>
    <s v="DIQMTQSPSSLSASVGDRVTITCRASQSVSSAVAWYQQKPGKAPKLLIYSASSLYSGVPSRFSGSRSGTDFTLTISSLQPEDFATYYCQQYKYVPVTFGQGTKVEIK"/>
    <b v="1"/>
    <s v="GGGSGGGSGGGS"/>
    <x v="121"/>
    <n v="241"/>
    <b v="1"/>
    <b v="0"/>
    <b v="1"/>
    <n v="0.18029500000000001"/>
    <n v="0.30336600000000002"/>
    <x v="12"/>
  </r>
  <r>
    <x v="122"/>
    <s v="peleke-1 + AntiBMPNN"/>
    <x v="9"/>
    <n v="0.2"/>
    <s v="derivative"/>
    <s v="sbio-nipahgpg-055"/>
    <s v="nipah_gpG_compout"/>
    <m/>
    <s v="EVQLVESGGGLVQPGGSLRLSCAASGFNISDSSIHWVRQAPGKGLEWVASISSYSGYTYYADSVKGRFTISADTSKNTAYLQMNSLRAEDTAVYYCARGGRYLDGLYALDYWGQGTLVTVSS"/>
    <s v="DIQMTQSPSSLSASVGDRVTITCRASQSVSSAVAWYQQKPGKAPKLLIYSASSLYSGVPSRFSGSRSGTDFTLTISSLQPEDFATYYCQQYKYVPVTFGQGTKVEIK"/>
    <b v="1"/>
    <s v="GGGSGGGSGGGS"/>
    <x v="122"/>
    <n v="241"/>
    <b v="1"/>
    <b v="0"/>
    <b v="1"/>
    <n v="7.4260000000000003E-3"/>
    <n v="8.3528000000000005E-2"/>
    <x v="12"/>
  </r>
  <r>
    <x v="123"/>
    <s v="peleke-1 + AntiBMPNN"/>
    <x v="9"/>
    <n v="0.2"/>
    <s v="derivative"/>
    <s v="sbio-nipahgpg-055"/>
    <s v="nipah_gpG_compout"/>
    <m/>
    <s v="EVQLVESGGGLVQPGGSLRLSCAASGFNISSSSIHWVRQAPGKGLEWVASISSYSGYTYYADSVKGRFTISADTSKNTAYLQMNSLRAEDTAVYYCARGGSYLDGLSALDYWGQGTLVTVSS"/>
    <s v="DIQMTQSPSSLSASVGDRVTITCRASQSVSSAVAWYQQKPGKAPKLLIYSASSLYSGVPSRFSGSRSGTDFTLTISSLQPEDFATYYCQQYKYVPVTFGQGTKVEIK"/>
    <b v="1"/>
    <s v="GGGSGGGSGGGS"/>
    <x v="123"/>
    <n v="241"/>
    <b v="1"/>
    <b v="0"/>
    <b v="1"/>
    <n v="0.17149800000000001"/>
    <n v="0.26701000000000003"/>
    <x v="12"/>
  </r>
  <r>
    <x v="124"/>
    <s v="peleke-1 + AntiBMPNN"/>
    <x v="9"/>
    <n v="0.2"/>
    <s v="derivative"/>
    <s v="sbio-nipahgpg-055"/>
    <s v="nipah_gpG_compout"/>
    <m/>
    <s v="EVQLVESGGGLVQPGGSLRLSCAASGFNISDSSIHWVRQAPGKGLEWVASIYNYSGYTYYADSVKGRFTISADTSKNTAYLQMNSLRAEDTAVYYCARGGYYLDGLDALDYWGQGTLVTVSS"/>
    <s v="DIQMTQSPSSLSASVGDRVTITCRASQSVSSAVAWYQQKPGKAPKLLIYSASSLYSGVPSRFSGSRSGTDFTLTISSLQPEDFATYYCQQYKYVPVTFGQGTKVEIK"/>
    <b v="1"/>
    <s v="GGGSGGGSGGGS"/>
    <x v="124"/>
    <n v="241"/>
    <b v="1"/>
    <b v="0"/>
    <b v="1"/>
    <n v="0"/>
    <n v="0"/>
    <x v="12"/>
  </r>
  <r>
    <x v="125"/>
    <s v="peleke-1 + AntiBMPNN"/>
    <x v="9"/>
    <n v="0.2"/>
    <s v="derivative"/>
    <s v="sbio-nipahgpg-055"/>
    <s v="nipah_gpG_compout"/>
    <m/>
    <s v="EVQLVESGGGLVQPGGSLRLSCAASGFNISDYSIHWVRQAPGKGLEWVASIYNRSGYTYYADSVKGRFTISADTSKNTAYLQMNSLRAEDTAVYYCARGGYYLDGLYALDYWGQGTLVTVSS"/>
    <s v="DIQMTQSPSSLSASVGDRVTITCRASQSVSSAVAWYQQKPGKAPKLLIYSASSLYSGVPSRFSGSRSGTDFTLTISSLQPEDFATYYCQQYKYVPVTFGQGTKVEIK"/>
    <b v="1"/>
    <s v="GGGSGGGSGGGS"/>
    <x v="125"/>
    <n v="241"/>
    <b v="1"/>
    <b v="0"/>
    <b v="1"/>
    <n v="2.2391000000000001E-2"/>
    <n v="0.1115"/>
    <x v="12"/>
  </r>
  <r>
    <x v="126"/>
    <s v="peleke-1 + AntiBMPNN"/>
    <x v="9"/>
    <n v="0.2"/>
    <s v="derivative"/>
    <s v="sbio-nipahgpg-055"/>
    <s v="nipah_gpG_compout"/>
    <m/>
    <s v="EVQLVESGGGLVQPGGSLRLSCAASGFNISSSSIHWVRQAPGKGLEWVASISSYSGYTYYADSVKGRFTISADTSKNTAYLQMNSLRAEDTAVYYCARGGHDLDGLYALDYWGQGTLVTVSS"/>
    <s v="DIQMTQSPSSLSASVGDRVTITCRASQSVSSAVAWYQQKPGKAPKLLIYSASSLYSGVPSRFSGSRSGTDFTLTISSLQPEDFATYYCQQYKYVPVTFGQGTKVEIK"/>
    <b v="1"/>
    <s v="GGGSGGGSGGGS"/>
    <x v="126"/>
    <n v="241"/>
    <b v="1"/>
    <b v="0"/>
    <b v="1"/>
    <n v="0"/>
    <n v="5.4780000000000002E-3"/>
    <x v="12"/>
  </r>
  <r>
    <x v="127"/>
    <s v="peleke-1 + AntiBMPNN"/>
    <x v="9"/>
    <n v="0.2"/>
    <s v="derivative"/>
    <s v="sbio-nipahgpg-114"/>
    <s v="nipah_gpG_compout"/>
    <m/>
    <s v="EVQLVESGGGLVKPGGSLKVSCAASGFTFSSYAMHWVRQAPGKGLEWVSYIWSGADSIGYADSVKGRFTISRDNAKNSLYLQMNSLRAGDTAVYYCARDDDAFDYWGQGTAVTVSS"/>
    <s v="DIQMTQSPSSLSASVGDRVTITCQASQDIRFYLNWYQQKPGKAPKLLISAASTLQSGVPSRFSGSGSGTDFTLTITSLQPEDFATYYCAGYVPSYTFGPGTKVDIK"/>
    <b v="1"/>
    <s v="GGGSGGGSGGGS"/>
    <x v="127"/>
    <n v="234"/>
    <b v="1"/>
    <b v="0"/>
    <b v="1"/>
    <n v="0"/>
    <n v="5.176E-3"/>
    <x v="13"/>
  </r>
  <r>
    <x v="128"/>
    <s v="peleke-1 + AntiBMPNN"/>
    <x v="9"/>
    <n v="0.2"/>
    <s v="derivative"/>
    <s v="sbio-nipahgpg-114"/>
    <s v="nipah_gpG_compout"/>
    <m/>
    <s v="EVQLVESGGGLVKPGGSLKVSCAASGFTFSSYSMHWVRQAPGKGLEWVSSIWSGADSTGYADSVKGRFTISRDNAKNSLYLQMNSLRAGDTAVYYCARDDDAFDYWGQGTAVTVSS"/>
    <s v="DIQMTQSPSSLSASVGDRVTITCQASQDIRFYLNWYQQKPGKAPKLLISAASTLQSGVPSRFSGSGSGTDFTLTITSLQPEDFATYYCAGYVPSYTFGPGTKVDIK"/>
    <b v="1"/>
    <s v="GGGSGGGSGGGS"/>
    <x v="128"/>
    <n v="234"/>
    <b v="1"/>
    <b v="0"/>
    <b v="1"/>
    <n v="0"/>
    <n v="5.2830000000000004E-3"/>
    <x v="13"/>
  </r>
  <r>
    <x v="129"/>
    <s v="peleke-1 + AntiBMPNN"/>
    <x v="9"/>
    <n v="0.2"/>
    <s v="derivative"/>
    <s v="sbio-nipahgpg-114"/>
    <s v="nipah_gpG_compout"/>
    <m/>
    <s v="EVQLVESGGGLVKPGGSLKVSCAASGFTFSSYAMHWVRQAPGKGLEWVSRIWSGADSTGYADSVKGRFTISRDNAKNSLYLQMNSLRAGDTAVYYCARDDDAFDYWGQGTAVTVSS"/>
    <s v="DIQMTQSPSSLSASVGDRVTITCQASQDIRFYLNWYQQKPGKAPKLLISAASTLQSGVPSRFSGSGSGTDFTLTITSLQPEDFATYYCAGYVPSYTFGPGTKVDIK"/>
    <b v="1"/>
    <s v="GGGSGGGSGGGS"/>
    <x v="129"/>
    <n v="234"/>
    <b v="1"/>
    <b v="0"/>
    <b v="1"/>
    <n v="0"/>
    <n v="0"/>
    <x v="13"/>
  </r>
  <r>
    <x v="130"/>
    <s v="peleke-1 + AntiBMPNN"/>
    <x v="9"/>
    <n v="0.2"/>
    <s v="derivative"/>
    <s v="sbio-nipahgpg-114"/>
    <s v="nipah_gpG_compout"/>
    <m/>
    <s v="EVQLVESGGGLVKPGGSLKVSCAASGFTFSSYAMHWVRQAPGKGLEWVSYIWSGADSIGYADSVKGRFTISRDNAKNSLYLQMNSLRAGDTAVYYCARYDDAFDYWGQGTAVTVSS"/>
    <s v="DIQMTQSPSSLSASVGDRVTITCQASQDIRFYLNWYQQKPGKAPKLLISAASTLQSGVPSRFSGSGSGTDFTLTITSLQPEDFATYYCAGYVPSYTFGPGTKVDIK"/>
    <b v="1"/>
    <s v="GGGSGGGSGGGS"/>
    <x v="130"/>
    <n v="234"/>
    <b v="1"/>
    <b v="0"/>
    <b v="1"/>
    <n v="0"/>
    <n v="4.9849999999999998E-3"/>
    <x v="8"/>
  </r>
  <r>
    <x v="131"/>
    <s v="peleke-1 + AntiBMPNN"/>
    <x v="9"/>
    <n v="0.2"/>
    <s v="derivative"/>
    <s v="sbio-nipahgpg-114"/>
    <s v="nipah_gpG_compout"/>
    <m/>
    <s v="EVQLVESGGGLVKPGGSLKVSCAASGFTFSSYSMHWVRQAPGKGLEWVSRIWSGTDSIGYADSVKGRFTISRDNAKNSLYLQMNSLRAGDTAVYYCARDDDAFDYWGQGTAVTVSS"/>
    <s v="DIQMTQSPSSLSASVGDRVTITCQASQDIRFYLNWYQQKPGKAPKLLISAASTLQSGVPSRFSGSGSGTDFTLTITSLQPEDFATYYCAGYVPSYTFGPGTKVDIK"/>
    <b v="1"/>
    <s v="GGGSGGGSGGGS"/>
    <x v="131"/>
    <n v="234"/>
    <b v="1"/>
    <b v="0"/>
    <b v="1"/>
    <n v="0"/>
    <n v="0"/>
    <x v="13"/>
  </r>
  <r>
    <x v="132"/>
    <s v="peleke-1 + AntiBMPNN"/>
    <x v="9"/>
    <n v="0.2"/>
    <s v="derivative"/>
    <s v="sbio-nipahgpg-114"/>
    <s v="nipah_gpG_compout"/>
    <m/>
    <s v="EVQLVESGGGLVKPGGSLKVSCAASGFTFSSYAMHWVRQAPGKGLEWVSYIWSGVDSIGYADSVKGRFTISRDNAKNSLYLQMNSLRAGDTAVYYCARDDDAFDYWGQGTAVTVSS"/>
    <s v="DIQMTQSPSSLSASVGDRVTITCQASQDIRFYLNWYQQKPGKAPKLLISAASTLQSGVPSRFSGSGSGTDFTLTITSLQPEDFATYYCAGYVPSYTFGPGTKVDIK"/>
    <b v="1"/>
    <s v="GGGSGGGSGGGS"/>
    <x v="132"/>
    <n v="234"/>
    <b v="1"/>
    <b v="0"/>
    <b v="1"/>
    <n v="0.34179700000000002"/>
    <n v="0.49543900000000002"/>
    <x v="8"/>
  </r>
  <r>
    <x v="133"/>
    <s v="peleke-1 + AntiBMPNN"/>
    <x v="9"/>
    <n v="0.2"/>
    <s v="derivative"/>
    <s v="sbio-nipahgpg-114"/>
    <s v="nipah_gpG_compout"/>
    <m/>
    <s v="EVQLVESGGGLVKPGGSLKVSCAASGFTFSSFAMHWVRQAPGKGLEWVSYIWSGADSTGYADSVKGRFTISRDNAKNSLYLQMNSLRAGDTAVYYCARDDDAFDYWGQGTAVTVSS"/>
    <s v="DIQMTQSPSSLSASVGDRVTITCQASQDIRFYLNWYQQKPGKAPKLLISAASTLQSGVPSRFSGSGSGTDFTLTITSLQPEDFATYYCAGYVPSYTFGPGTKVDIK"/>
    <b v="1"/>
    <s v="GGGSGGGSGGGS"/>
    <x v="133"/>
    <n v="234"/>
    <b v="1"/>
    <b v="0"/>
    <b v="1"/>
    <n v="0"/>
    <n v="0"/>
    <x v="13"/>
  </r>
  <r>
    <x v="134"/>
    <s v="peleke-1 + AntiBMPNN"/>
    <x v="9"/>
    <n v="0.2"/>
    <s v="derivative"/>
    <s v="sbio-nipahgpg-114"/>
    <s v="nipah_gpG_compout"/>
    <m/>
    <s v="EVQLVESGGGLVKPGGSLKVSCAASGFTFSSYAMHWVRQAPGKGLEWVSYIWSGADSIGYADSVKGRFTISRDNAKNSLYLQMNSLRAGDTAVYYCARYDDAFDYWGQGTAVTVSS"/>
    <s v="DIQMTQSPSSLSASVGDRVTITCQASQDIRFYLNWYQQKPGKAPKLLISAASTLQSGVPSRFSGSGSGTDFTLTITSLQPEDFATYYCAGYVPSYTFGPGTKVDIK"/>
    <b v="1"/>
    <s v="GGGSGGGSGGGS"/>
    <x v="130"/>
    <n v="234"/>
    <b v="1"/>
    <b v="0"/>
    <b v="1"/>
    <n v="0.19351199999999999"/>
    <n v="0.28335399999999999"/>
    <x v="8"/>
  </r>
  <r>
    <x v="135"/>
    <s v="peleke-1 + AntiBMPNN"/>
    <x v="9"/>
    <n v="0.2"/>
    <s v="derivative"/>
    <s v="sbio-nipahgpg-114"/>
    <s v="nipah_gpG_compout"/>
    <m/>
    <s v="EVQLVESGGGLVKPGGSLKVSCAASGFTFSSYAMHWVRQAPGKGLEWVSYIWSGVDSIGYADSVKGRFTISRDNAKNSLYLQMNSLRAGDTAVYYCARDDDAFDYWGQGTAVTVSS"/>
    <s v="DIQMTQSPSSLSASVGDRVTITCQASQDIRFYLNWYQQKPGKAPKLLISAASTLQSGVPSRFSGSGSGTDFTLTITSLQPEDFATYYCAGYVPSYTFGPGTKVDIK"/>
    <b v="1"/>
    <s v="GGGSGGGSGGGS"/>
    <x v="132"/>
    <n v="234"/>
    <b v="1"/>
    <b v="0"/>
    <b v="1"/>
    <n v="0"/>
    <n v="0"/>
    <x v="8"/>
  </r>
  <r>
    <x v="136"/>
    <s v="peleke-1 + AntiBMPNN"/>
    <x v="9"/>
    <n v="0.2"/>
    <s v="derivative"/>
    <s v="sbio-nipahgpg-114"/>
    <s v="nipah_gpG_compout"/>
    <m/>
    <s v="EVQLVESGGGLVKPGGSLKVSCAASGFTFSSYSMVWVRQAPGKGLEWVSRIWSGVDSTGYADSVKGRFTISRDNAKNSLYLQMNSLRAGDTAVYYCARDDDAFDYWGQGTAVTVSS"/>
    <s v="DIQMTQSPSSLSASVGDRVTITCQASQDIRFYLNWYQQKPGKAPKLLISAASTLQSGVPSRFSGSGSGTDFTLTITSLQPEDFATYYCAGYVPSYTFGPGTKVDIK"/>
    <b v="1"/>
    <s v="GGGSGGGSGGGS"/>
    <x v="134"/>
    <n v="234"/>
    <b v="1"/>
    <b v="0"/>
    <b v="1"/>
    <n v="0"/>
    <n v="5.0699999999999999E-3"/>
    <x v="13"/>
  </r>
  <r>
    <x v="137"/>
    <s v="peleke-1 + AntiBMPNN"/>
    <x v="9"/>
    <n v="0.2"/>
    <s v="derivative"/>
    <s v="sbio-nipahgpg-120"/>
    <s v="nipah_gpG_compout"/>
    <m/>
    <s v="EVQLVESGGGLVQPGGSLRLSCAASGFNISYSSIHWVRQAPGKGLEWVASISSYSGSTYYADSVKGRFTISADTSKNTAYLQMNSLRAEDTAVYYCARGGYVPVGWYALDYWGQGTLVTVSS"/>
    <s v="DIQMTQSPSSLSASVGDRVTITCRASQSVSTAVAWYQQKPGKAPKLLIYYASDRYSGVPSRFSGSRSGTDFTLTISSLQPEDFATYYCQQHYNYPLTFGQGTKVEIK"/>
    <b v="1"/>
    <s v="GGGSGGGSGGGSGGGS"/>
    <x v="135"/>
    <n v="245"/>
    <b v="1"/>
    <b v="0"/>
    <b v="1"/>
    <n v="6.0330000000000002E-3"/>
    <n v="5.5789999999999999E-2"/>
    <x v="14"/>
  </r>
  <r>
    <x v="138"/>
    <s v="peleke-1 + AntiBMPNN"/>
    <x v="9"/>
    <n v="0.2"/>
    <s v="derivative"/>
    <s v="sbio-nipahgpg-120"/>
    <s v="nipah_gpG_compout"/>
    <m/>
    <s v="EVQLVESGGGLVQPGGSLRLSCAASGFNISYSSIHWVRQAPGKGLEWVASISSYSGSTYYADSVKGRFTISADTSKNTAYLQMNSLRAEDTAVYYCARGGAVPVGWYALDYWGQGTLVTVSS"/>
    <s v="DIQMTQSPSSLSASVGDRVTITCRASQSVSDDVAWYQQKPGKAPKLLIYRASDRYFGVPSRFSGSRSGTDFTLTISSLQPEDFATYYCQQYYSYPITFGQGTKVEIK"/>
    <b v="1"/>
    <s v="GGGSGGGSGGGSGGGS"/>
    <x v="136"/>
    <n v="245"/>
    <b v="1"/>
    <b v="0"/>
    <b v="1"/>
    <n v="0"/>
    <n v="0"/>
    <x v="14"/>
  </r>
  <r>
    <x v="139"/>
    <s v="peleke-1 + AntiBMPNN"/>
    <x v="9"/>
    <n v="0.2"/>
    <s v="derivative"/>
    <s v="sbio-nipahgpg-120"/>
    <s v="nipah_gpG_compout"/>
    <m/>
    <s v="EVQLVESGGGLVQPGGSLRLSCAASGFNISYSSIHWVRQAPGKGLEWVASISSYSGSTYYADSVKGRFTISADTSKNTAYLQMNSLRAEDTAVYYCARGGDVPNGWYALDYWGQGTLVTVSS"/>
    <s v="DIQMTQSPSSLSASVGDRVTITCRASQSVYTAVAWYQQKPGKAPKLLIYFASDRYSGVPSRFSGSRSGTDFTLTISSLQPEDFATYYCQQHYYYPITFGQGTKVEIK"/>
    <b v="1"/>
    <s v="GGGSGGGSGGGSGGGS"/>
    <x v="137"/>
    <n v="245"/>
    <b v="1"/>
    <b v="0"/>
    <b v="1"/>
    <n v="6.2603000000000006E-2"/>
    <n v="0.12244099999999999"/>
    <x v="14"/>
  </r>
  <r>
    <x v="140"/>
    <s v="peleke-1 + AntiBMPNN"/>
    <x v="9"/>
    <n v="0.2"/>
    <s v="derivative"/>
    <s v="sbio-nipahgpg-120"/>
    <s v="nipah_gpG_compout"/>
    <m/>
    <s v="EVQLVESGGGLVQPGGSLRLSCAASGFNISYSSIHWVRQAPGKGLEWVASISSYSGSTYYADSVKGRFTISADTSKNTAYLQMNSLRAEDTAVYYCARGGDVPVGWYALDYWGQGTLVTVSS"/>
    <s v="DIQMTQSPSSLSASVGDRVTITCRASQSVSDAVAWYQQKPGKAPKLLIYYASDRYAGVPSRFSGSRSGTDFTLTISSLQPEDFATYYCQQYYSYPLTFGQGTKVEIK"/>
    <b v="1"/>
    <s v="GGGSGGGSGGGSGGGS"/>
    <x v="138"/>
    <n v="245"/>
    <b v="1"/>
    <b v="0"/>
    <b v="1"/>
    <n v="0.23727899999999999"/>
    <n v="0.36869000000000002"/>
    <x v="14"/>
  </r>
  <r>
    <x v="141"/>
    <s v="peleke-1 + AntiBMPNN"/>
    <x v="9"/>
    <n v="0.2"/>
    <s v="derivative"/>
    <s v="sbio-nipahgpg-120"/>
    <s v="nipah_gpG_compout"/>
    <m/>
    <s v="EVQLVESGGGLVQPGGSLRLSCAASGFNISSSSIHWVRQAPGKGLEWVASISSSSGSTYYADSVKGRFTISADTSKNTAYLQMNSLRAEDTAVYYCARGGDVPNGWYALDYWGQGTLVTVSS"/>
    <s v="DIQMTQSPSSLSASVGDRVTITCRASQSVYTAVAWYQQKPGKAPKLLIYRASDRYAGVPSRFSGSRSGTDFTLTISSLQPEDFATYYCQQYYYYPLTFGQGTKVEIK"/>
    <b v="1"/>
    <s v="GGGSGGGSGGGSGGGS"/>
    <x v="139"/>
    <n v="245"/>
    <b v="1"/>
    <b v="0"/>
    <b v="1"/>
    <n v="0"/>
    <n v="1.976E-2"/>
    <x v="14"/>
  </r>
  <r>
    <x v="142"/>
    <s v="peleke-1 + AntiBMPNN"/>
    <x v="9"/>
    <n v="0.2"/>
    <s v="derivative"/>
    <s v="sbio-nipahgpg-120"/>
    <s v="nipah_gpG_compout"/>
    <m/>
    <s v="EVQLVESGGGLVQPGGSLRLSCAASGFNISYSSIHWVRQAPGKGLEWVASISSYSGSTYYADSVKGRFTISADTSKNTAYLQMNSLRAEDTAVYYCARGGDVPVGYYALDYWGQGTLVTVSS"/>
    <s v="DIQMTQSPSSLSASVGDRVTITCRASQSVNTAVAWYQQKPGKAPKLLIYSASDRYFGVPSRFSGSRSGTDFTLTISSLQPEDFATYYCQQHYSYPLTFGQGTKVEIK"/>
    <b v="1"/>
    <s v="GGGSGGGSGGGSGGGS"/>
    <x v="140"/>
    <n v="245"/>
    <b v="1"/>
    <b v="0"/>
    <b v="1"/>
    <n v="0"/>
    <n v="5.0769999999999999E-3"/>
    <x v="14"/>
  </r>
  <r>
    <x v="143"/>
    <s v="peleke-1 + AntiBMPNN"/>
    <x v="9"/>
    <n v="0.2"/>
    <s v="derivative"/>
    <s v="sbio-nipahgpg-120"/>
    <s v="nipah_gpG_compout"/>
    <m/>
    <s v="EVQLVESGGGLVQPGGSLRLSCAASGFNISYSSIHWVRQAPGKGLEWVASISSYSGSTYYADSVKGRFTISADTSKNTAYLQMNSLRAEDTAVYYCARGGDVPNGWYALDYWGQGTLVTVSS"/>
    <s v="DIQMTQSPSSLSASVGDRVTITCRASQSVYTAVAWYQQKPGKAPKLLIYSASDRYSGVPSRFSGSRSGTDFTLTISSLQPEDFATYYCQQYASYPITFGQGTKVEIK"/>
    <b v="1"/>
    <s v="GGGSGGGSGGGSGGGS"/>
    <x v="141"/>
    <n v="245"/>
    <b v="1"/>
    <b v="0"/>
    <b v="1"/>
    <n v="0"/>
    <n v="5.5199999999999997E-3"/>
    <x v="14"/>
  </r>
  <r>
    <x v="144"/>
    <s v="peleke-1 + AntiBMPNN"/>
    <x v="9"/>
    <n v="0.2"/>
    <s v="derivative"/>
    <s v="sbio-nipahgpg-120"/>
    <s v="nipah_gpG_compout"/>
    <m/>
    <s v="EVQLVESGGGLVQPGGSLRLSCAASGFNISYSSIHWVRQAPGKGLEWVASISSYSGSTYYADSVKGRFTISADTSKNTAYLQMNSLRAEDTAVYYCARGGAVPVGWYALDYWGQGTLVTVSS"/>
    <s v="DIQMTQSPSSLSASVGDRVTITCRASQSVSIAVAWYQQKPGKAPKLLIYSASDRYFGVPSRFSGSRSGTDFTLTISSLQPEDFATYYCQQYYSYPLTFGQGTKVEIK"/>
    <b v="1"/>
    <s v="GGGSGGGSGGGSGGGS"/>
    <x v="142"/>
    <n v="245"/>
    <b v="1"/>
    <b v="0"/>
    <b v="1"/>
    <n v="5.6620000000000004E-3"/>
    <n v="9.3252000000000002E-2"/>
    <x v="14"/>
  </r>
  <r>
    <x v="145"/>
    <s v="peleke-1 + AntiBMPNN"/>
    <x v="9"/>
    <n v="0.2"/>
    <s v="derivative"/>
    <s v="sbio-nipahgpg-120"/>
    <s v="nipah_gpG_compout"/>
    <m/>
    <s v="EVQLVESGGGLVQPGGSLRLSCAASGFNISYSSIHWVRQAPGKGLEWVASISSYSGSTYYADSVKGRFTISADTSKNTAYLQMNSLRAEDTAVYYCARGGDVPVGWYALDYWGQGTLVTVSS"/>
    <s v="DIQMTQSPSSLSASVGDRVTITCRASQSVYYAVAWYQQKPGKAPKLLIYRASDRYSGVPSRFSGSRSGTDFTLTISSLQPEDFATYYCQQYYSYPLTFGQGTKVEIK"/>
    <b v="1"/>
    <s v="GGGSGGGSGGGSGGGS"/>
    <x v="143"/>
    <n v="245"/>
    <b v="1"/>
    <b v="0"/>
    <b v="1"/>
    <n v="0.53020900000000004"/>
    <n v="0.60767899999999997"/>
    <x v="14"/>
  </r>
  <r>
    <x v="146"/>
    <s v="peleke-1 + AntiBMPNN"/>
    <x v="9"/>
    <n v="0.2"/>
    <s v="derivative"/>
    <s v="sbio-nipahgpg-120"/>
    <s v="nipah_gpG_compout"/>
    <m/>
    <s v="EVQLVESGGGLVQPGGSLRLSCAASGFNISYSSIHWVRQAPGKGLEWVASISSYSGSTYYADSVKGRFTISADTSKNTAYLQMNSLRAEDTAVYYCARGGYVPVGWYALDYWGQGTLVTVSS"/>
    <s v="DIQMTQSPSSLSASVGDRVTITCRASQSVYTAVAWYQQKPGKAPKLLIYRASDRYFGVPSRFSGSRSGTDFTLTISSLQPEDFATYYCQQYYYYPLTFGQGTKVEIK"/>
    <b v="1"/>
    <s v="GGGSGGGSGGGSGGGS"/>
    <x v="144"/>
    <n v="245"/>
    <b v="1"/>
    <b v="0"/>
    <b v="1"/>
    <n v="0.18842400000000001"/>
    <n v="0.29170499999999999"/>
    <x v="14"/>
  </r>
  <r>
    <x v="147"/>
    <s v="peleke-1 + AntiBMPNN"/>
    <x v="9"/>
    <n v="0.4"/>
    <s v="derivative"/>
    <s v="sbio-nipahgpg-148"/>
    <s v="nipah_gpG_compout"/>
    <m/>
    <s v="EVQLVESGGGLVQPGGSLRLSCAASGFNISYSSIHWVRQAPGKGLEWVASISSYSGYTYYADSVKGRFTISADTSKNTAYLQMNSLRAEDTAVYYCARGGWRPIGSYALDYWGQGTLVTVSS"/>
    <s v="DIQMTQSPSSLSASVGDRVTITCRASQDVFSAVAWYQQKPGKAPKLLIYYASFLYSGVPSRFSGSRSGTDFTLTISSLQPEDFATYYCQQHSVVPITFGQGTKVEIK"/>
    <b v="1"/>
    <s v="GGGSGGGSGGGSGGGSGGGS"/>
    <x v="145"/>
    <n v="249"/>
    <b v="1"/>
    <b v="0"/>
    <b v="1"/>
    <n v="0.19544600000000001"/>
    <n v="0.27416499999999999"/>
    <x v="15"/>
  </r>
  <r>
    <x v="148"/>
    <s v="peleke-1 + AntiBMPNN"/>
    <x v="9"/>
    <n v="0.4"/>
    <s v="derivative"/>
    <s v="sbio-nipahgpg-148"/>
    <s v="nipah_gpG_compout"/>
    <m/>
    <s v="EVQLVESGGGLVQPGGSLRLSCAASGFNISYSSIHWVRQAPGKGLEWVASISSYSGSTYYADSVKGRFTISADTSKNTAYLQMNSLRAEDTAVYYCARGGYRPIGNYALDYWGQGTLVTVSS"/>
    <s v="DIQMTQSPSSLSASVGDRVTITCRASQDVDSAVAWYQQKPGKAPKLLIYYASFLYSGVPSRFSGSRSGTDFTLTISSLQPEDFATYYCQQHYVVPVTFGQGTKVEIK"/>
    <b v="1"/>
    <s v="GGGSGGGSGGGSGGGSGGGS"/>
    <x v="146"/>
    <n v="249"/>
    <b v="1"/>
    <b v="0"/>
    <b v="1"/>
    <n v="0"/>
    <n v="5.4689999999999999E-3"/>
    <x v="15"/>
  </r>
  <r>
    <x v="149"/>
    <s v="peleke-1 + AntiBMPNN"/>
    <x v="9"/>
    <n v="0.4"/>
    <s v="derivative"/>
    <s v="sbio-nipahgpg-148"/>
    <s v="nipah_gpG_compout"/>
    <m/>
    <s v="EVQLVESGGGLVQPGGSLRLSCAASGFNISYYSIHWVRQAPGKGLEWVASISSYSGYTYYADSVKGRFTISADTSKNTAYLQMNSLRAEDTAVYYCARGGDRPSGCYALDYWGQGTLVTVSS"/>
    <s v="DIQMTQSPSSLSASVGDRVTITCRASQDVFSAVAWYQQKPGKAPKLLIYFASFLYSGVPSRFSGSRSGTDFTLTISSLQPEDFATYYCQQHYEVPITFGQGTKVEIK"/>
    <b v="1"/>
    <s v="GGGSGGGSGGGSGGGSGGGS"/>
    <x v="147"/>
    <n v="249"/>
    <b v="1"/>
    <b v="0"/>
    <b v="1"/>
    <n v="0"/>
    <n v="5.169E-3"/>
    <x v="15"/>
  </r>
  <r>
    <x v="150"/>
    <s v="peleke-1 + AntiBMPNN"/>
    <x v="9"/>
    <n v="0.4"/>
    <s v="derivative"/>
    <s v="sbio-nipahgpg-148"/>
    <s v="nipah_gpG_compout"/>
    <m/>
    <s v="EVQLVESGGGLVQPGGSLRLSCAASGFNISYSSIHWVRQAPGKGLEWVASISSYSGYTYYADSVKGRFTISADTSKNTAYLQMNSLRAEDTAVYYCARGGSLPTGCYALDYWGQGTLVTVSS"/>
    <s v="DIQMTQSPSSLSASVGDRVTITCRASQDVDSAVAWYQQKPGKAPKLLIYFASSLYSGVPSRFSGSRSGTDFTLTISSLQPEDFATYYCQQHYDAPITFGQGTKVEIK"/>
    <b v="1"/>
    <s v="GGGSGGGSGGGSGGGSGGGS"/>
    <x v="148"/>
    <n v="249"/>
    <b v="1"/>
    <b v="0"/>
    <b v="1"/>
    <n v="0"/>
    <n v="0"/>
    <x v="15"/>
  </r>
  <r>
    <x v="151"/>
    <s v="peleke-1 + AntiBMPNN"/>
    <x v="9"/>
    <n v="0.4"/>
    <s v="derivative"/>
    <s v="sbio-nipahgpg-148"/>
    <s v="nipah_gpG_compout"/>
    <m/>
    <s v="EVQLVESGGGLVQPGGSLRLSCAASGFNISYSSIHWVRQAPGKGLEWVASISSYSGYTYYADSVKGRFTISADTSKNTAYLQMNSLRAEDTAVYYCARGGWYPWGCDALDYWGQGTLVTVSS"/>
    <s v="DIQMTQSPSSLSASVGDRVTITCRASQDVDSAVAWYQQKPGKAPKLLIYFASFLYSGVPSRFSGSRSGTDFTLTISSLQPEDFATYYCQQHYDVPITFGQGTKVEIK"/>
    <b v="1"/>
    <s v="GGGSGGGSGGGSGGGSGGGS"/>
    <x v="149"/>
    <n v="249"/>
    <b v="1"/>
    <b v="0"/>
    <b v="1"/>
    <n v="0.572295"/>
    <n v="0.62021400000000004"/>
    <x v="15"/>
  </r>
  <r>
    <x v="152"/>
    <s v="peleke-1 + AntiBMPNN"/>
    <x v="9"/>
    <n v="0.4"/>
    <s v="derivative"/>
    <s v="sbio-nipahgpg-148"/>
    <s v="nipah_gpG_compout"/>
    <m/>
    <s v="EVQLVESGGGLVQPGGSLRLSCAASGFNISYSSIHWVRQAPGKGLEWVASISSYSGYTYYADSVKGRFTISADTSKNTAYLQMNSLRAEDTAVYYCARGGDRPVGCYALDYWGQGTLVTVSS"/>
    <s v="DIQMTQSPSSLSASVGDRVTITCRASQDVTSAVAWYQQKPGKAPKLLIYSASFRYSGVPSRFSGSRSGTDFTLTISSLQPEDFATYYCQQHYVVPVTFGQGTKVEIK"/>
    <b v="1"/>
    <s v="GGGSGGGSGGGSGGGSGGGS"/>
    <x v="150"/>
    <n v="249"/>
    <b v="1"/>
    <b v="0"/>
    <b v="1"/>
    <n v="3.0435E-2"/>
    <n v="6.3978999999999994E-2"/>
    <x v="15"/>
  </r>
  <r>
    <x v="153"/>
    <s v="peleke-1 + AntiBMPNN"/>
    <x v="9"/>
    <n v="0.4"/>
    <s v="derivative"/>
    <s v="sbio-nipahgpg-148"/>
    <s v="nipah_gpG_compout"/>
    <m/>
    <s v="EVQLVESGGGLVQPGGSLRLSCAASGFNISYSSIHWVRQAPGKGLEWVASISSYSGYTYYADSVKGRFTISADTSKNTAYLQMNSLRAEDTAVYYCARGGWYPLGCYAMDYWGQGTLVTVSS"/>
    <s v="DIQMTQSPSSLSASVGDRVTITCRASQDVLSDVAWYQQKPGKAPKLLIYYASFRYSGVPSRFSGSRSGTDFTLTISSLQPEDFATYYCQQHYVVPVTFGQGTKVEIK"/>
    <b v="1"/>
    <s v="GGGSGGGSGGGSGGGSGGGS"/>
    <x v="151"/>
    <n v="249"/>
    <b v="1"/>
    <b v="0"/>
    <b v="1"/>
    <n v="0"/>
    <n v="4.908E-3"/>
    <x v="15"/>
  </r>
  <r>
    <x v="154"/>
    <s v="peleke-1 + AntiBMPNN"/>
    <x v="9"/>
    <n v="0.4"/>
    <s v="derivative"/>
    <s v="sbio-nipahgpg-148"/>
    <s v="nipah_gpG_compout"/>
    <m/>
    <s v="EVQLVESGGGLVQPGGSLRLSCAASGFNISYSSIHWVRQAPGKGLEWVASISSYSGYTYYADSVKGRFTISADTSKNTAYLQMNSLRAEDTAVYYCARGGWRPFGCYALDYWGQGTLVTVSS"/>
    <s v="DIQMTQSPSSLSASVGDRVTITCRASQDVFSAVAWYQQKPGKAPKLLIYSASFLYSGVPSRFSGSRSGTDFTLTISSLQPEDFATYYCQQHYIYPVTFGQGTKVEIK"/>
    <b v="1"/>
    <s v="GGGSGGGSGGGSGGGSGGGS"/>
    <x v="152"/>
    <n v="249"/>
    <b v="1"/>
    <b v="0"/>
    <b v="1"/>
    <n v="4.2744999999999998E-2"/>
    <n v="0.14049900000000001"/>
    <x v="15"/>
  </r>
  <r>
    <x v="155"/>
    <s v="peleke-1 + AntiBMPNN"/>
    <x v="9"/>
    <n v="0.4"/>
    <s v="derivative"/>
    <s v="sbio-nipahgpg-148"/>
    <s v="nipah_gpG_compout"/>
    <m/>
    <s v="EVQLVESGGGLVQPGGSLRLSCAASGFNISYSSIHWVRQAPGKGLEWVASISSYSGSTYYADSVKGRFTISADTSKNTAYLQMNSLRAEDTAVYYCARGGWYPWGNYALDYWGQGTLVTVSS"/>
    <s v="DIQMTQSPSSLSASVGDRVTITCRASQDVNTAVAWYQQKPGKAPKLLIYEASFRYSGVPSRFSGSRSGTDFTLTISSLQPEDFATYYCQQHYEVPITFGQGTKVEIK"/>
    <b v="1"/>
    <s v="GGGSGGGSGGGSGGGSGGGS"/>
    <x v="153"/>
    <n v="249"/>
    <b v="1"/>
    <b v="0"/>
    <b v="1"/>
    <n v="0"/>
    <n v="1.0083E-2"/>
    <x v="15"/>
  </r>
  <r>
    <x v="156"/>
    <s v="peleke-1 + AntiBMPNN"/>
    <x v="9"/>
    <n v="0.4"/>
    <s v="derivative"/>
    <s v="sbio-nipahgpg-148"/>
    <s v="nipah_gpG_compout"/>
    <m/>
    <s v="EVQLVESGGGLVQPGGSLRLSCAASGFNISYSSIHWVRQAPGKGLEWVASISSYSGSTYYADSVKGRFTISADTSKNTAYLQMNSLRAEDTAVYYCARGGSRPWGCYALDYWGQGTLVTVSS"/>
    <s v="DIQMTQSPSSLSASVGDRVTITCRASQDVFTAVAWYQQKPGKAPKLLIYFASFLYSGVPSRFSGSRSGTDFTLTISSLQPEDFATYYCQQYSIVPVTFGQGTKVEIK"/>
    <b v="1"/>
    <s v="GGGSGGGSGGGSGGGSGGGS"/>
    <x v="154"/>
    <n v="249"/>
    <b v="1"/>
    <b v="0"/>
    <b v="1"/>
    <n v="0"/>
    <n v="4.7800000000000004E-3"/>
    <x v="15"/>
  </r>
  <r>
    <x v="157"/>
    <s v="peleke-1 + AntiBMPNN"/>
    <x v="9"/>
    <n v="0.2"/>
    <s v="derivative"/>
    <s v="sbio-nipahgpg-148"/>
    <s v="nipah_gpG_compout"/>
    <n v="4"/>
    <s v="EVQLVESGGGLVQPGGSLRLSCAASGFNISYSSIHWVRQAPGKGLEWVASISSYSGSTYYADSVKGRFTISADTSKNTAYLQMNSLRAEDTAVYYCARGGDVPVGWYALDYWGQGTLVTVSS"/>
    <s v="DIQMTQSPSSLSASVGDRVTITCRASQSVYYAVAWYQQKPGKAPKLLIYRASDLYSGVPSRFSGSRSGTDFTLTISSLQPEDFATYYCQQYYSYPLTFGQGTKVEIK"/>
    <b v="1"/>
    <s v="GGGSGGGSGGGSGGGSGGGS"/>
    <x v="155"/>
    <n v="249"/>
    <b v="1"/>
    <b v="0"/>
    <b v="0"/>
    <m/>
    <m/>
    <x v="16"/>
  </r>
  <r>
    <x v="158"/>
    <m/>
    <x v="10"/>
    <m/>
    <m/>
    <m/>
    <m/>
    <m/>
    <m/>
    <m/>
    <m/>
    <m/>
    <x v="156"/>
    <m/>
    <m/>
    <m/>
    <m/>
    <m/>
    <m/>
    <x v="8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35D55CA-26D1-4FA2-9199-54D547F2C103}" name="PivotTable1" cacheId="13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showHeaders="0" compact="0" compactData="0" multipleFieldFilters="0">
  <location ref="A4:C4" firstHeaderRow="0" firstDataRow="0" firstDataCol="3" rowPageCount="1" colPageCount="1"/>
  <pivotFields count="20">
    <pivotField axis="axisRow" compact="0" outline="0" showAll="0" defaultSubtotal="0">
      <items count="15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15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</items>
    </pivotField>
    <pivotField compact="0" outline="0" showAll="0" defaultSubtotal="0"/>
    <pivotField axis="axisRow" compact="0" outline="0" showAll="0" defaultSubtotal="0">
      <items count="11">
        <item x="6"/>
        <item x="7"/>
        <item x="5"/>
        <item x="0"/>
        <item x="2"/>
        <item x="3"/>
        <item x="1"/>
        <item x="4"/>
        <item x="10"/>
        <item x="8"/>
        <item x="9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ubtotalTop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58">
        <item x="19"/>
        <item x="15"/>
        <item x="23"/>
        <item x="7"/>
        <item x="28"/>
        <item x="6"/>
        <item x="11"/>
        <item x="17"/>
        <item x="4"/>
        <item x="3"/>
        <item x="10"/>
        <item x="12"/>
        <item x="22"/>
        <item x="9"/>
        <item x="18"/>
        <item x="13"/>
        <item x="2"/>
        <item x="1"/>
        <item x="5"/>
        <item x="0"/>
        <item x="14"/>
        <item x="20"/>
        <item x="16"/>
        <item x="8"/>
        <item x="27"/>
        <item x="24"/>
        <item x="26"/>
        <item x="21"/>
        <item x="25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156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m="1" x="157"/>
        <item x="155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21">
        <item h="1" x="8"/>
        <item h="1" x="0"/>
        <item h="1" x="1"/>
        <item h="1" x="2"/>
        <item h="1" x="3"/>
        <item h="1" x="4"/>
        <item h="1" x="5"/>
        <item h="1" m="1" x="20"/>
        <item h="1" x="6"/>
        <item h="1" m="1" x="19"/>
        <item h="1" x="7"/>
        <item h="1" x="9"/>
        <item h="1" x="10"/>
        <item h="1" x="11"/>
        <item h="1" m="1" x="18"/>
        <item h="1" x="12"/>
        <item h="1" m="1" x="17"/>
        <item h="1" x="13"/>
        <item h="1" x="14"/>
        <item h="1" x="15"/>
        <item x="16"/>
      </items>
    </pivotField>
  </pivotFields>
  <rowFields count="3">
    <field x="0"/>
    <field x="2"/>
    <field x="12"/>
  </rowFields>
  <rowItems count="1">
    <i>
      <x v="158"/>
      <x v="10"/>
      <x v="157"/>
    </i>
  </rowItems>
  <colItems count="1">
    <i/>
  </colItems>
  <pageFields count="1">
    <pageField fld="19" hier="-1"/>
  </page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Y159"/>
  <sheetViews>
    <sheetView zoomScale="116" zoomScaleNormal="116" workbookViewId="0">
      <pane xSplit="1" ySplit="1" topLeftCell="P11" activePane="bottomRight" state="frozen"/>
      <selection pane="topRight" activeCell="B1" sqref="B1"/>
      <selection pane="bottomLeft" activeCell="A2" sqref="A2"/>
      <selection pane="bottomRight" activeCell="X12" sqref="X12"/>
    </sheetView>
  </sheetViews>
  <sheetFormatPr baseColWidth="10" defaultColWidth="9.1640625" defaultRowHeight="15" x14ac:dyDescent="0.2"/>
  <cols>
    <col min="1" max="1" width="17.83203125" style="1" customWidth="1"/>
    <col min="2" max="2" width="22.5" style="1" bestFit="1" customWidth="1"/>
    <col min="3" max="3" width="14.6640625" style="2" customWidth="1"/>
    <col min="4" max="4" width="11.6640625" style="4" customWidth="1"/>
    <col min="5" max="5" width="11.6640625" style="1" customWidth="1"/>
    <col min="6" max="6" width="18.5" style="1" bestFit="1" customWidth="1"/>
    <col min="7" max="7" width="19.5" style="1" bestFit="1" customWidth="1"/>
    <col min="8" max="8" width="8.6640625" style="1" bestFit="1" customWidth="1"/>
    <col min="9" max="9" width="54" style="2" customWidth="1"/>
    <col min="10" max="10" width="46.5" style="2" customWidth="1"/>
    <col min="11" max="11" width="16" style="1" customWidth="1"/>
    <col min="12" max="12" width="12" style="2" customWidth="1"/>
    <col min="13" max="13" width="71.33203125" style="2" customWidth="1"/>
    <col min="14" max="14" width="17.5" style="4" bestFit="1" customWidth="1"/>
    <col min="15" max="15" width="17.5" style="1" customWidth="1"/>
    <col min="16" max="16" width="19.83203125" style="1" bestFit="1" customWidth="1"/>
    <col min="17" max="17" width="27.83203125" style="1" bestFit="1" customWidth="1"/>
    <col min="18" max="18" width="17.1640625" style="4" bestFit="1" customWidth="1"/>
    <col min="19" max="19" width="17.33203125" style="4" bestFit="1" customWidth="1"/>
    <col min="20" max="20" width="19" style="4" bestFit="1" customWidth="1"/>
    <col min="21" max="21" width="19.1640625" style="4" bestFit="1" customWidth="1"/>
    <col min="22" max="22" width="23.6640625" style="4" bestFit="1" customWidth="1"/>
    <col min="23" max="23" width="22.5" style="2" bestFit="1" customWidth="1"/>
    <col min="24" max="24" width="22.5" style="4" bestFit="1" customWidth="1"/>
    <col min="25" max="25" width="21.1640625" style="1" bestFit="1" customWidth="1"/>
    <col min="26" max="16384" width="9.1640625" style="1"/>
  </cols>
  <sheetData>
    <row r="1" spans="1:25" s="3" customFormat="1" ht="16" x14ac:dyDescent="0.2">
      <c r="A1" s="3" t="s">
        <v>9</v>
      </c>
      <c r="B1" s="3" t="s">
        <v>10</v>
      </c>
      <c r="C1" s="5" t="s">
        <v>11</v>
      </c>
      <c r="D1" s="3" t="s">
        <v>12</v>
      </c>
      <c r="E1" s="3" t="s">
        <v>41</v>
      </c>
      <c r="F1" s="3" t="s">
        <v>50</v>
      </c>
      <c r="G1" s="3" t="s">
        <v>0</v>
      </c>
      <c r="H1" s="3" t="s">
        <v>97</v>
      </c>
      <c r="I1" s="5" t="s">
        <v>13</v>
      </c>
      <c r="J1" s="5" t="s">
        <v>14</v>
      </c>
      <c r="K1" s="3" t="s">
        <v>40</v>
      </c>
      <c r="L1" s="5" t="s">
        <v>124</v>
      </c>
      <c r="M1" s="5" t="s">
        <v>15</v>
      </c>
      <c r="N1" s="3" t="s">
        <v>16</v>
      </c>
      <c r="O1" s="3" t="s">
        <v>99</v>
      </c>
      <c r="P1" s="3" t="s">
        <v>96</v>
      </c>
      <c r="Q1" s="3" t="s">
        <v>131</v>
      </c>
      <c r="R1" s="3" t="s">
        <v>665</v>
      </c>
      <c r="S1" s="3" t="s">
        <v>666</v>
      </c>
      <c r="T1" s="3" t="s">
        <v>667</v>
      </c>
      <c r="U1" s="3" t="s">
        <v>668</v>
      </c>
      <c r="V1" s="3" t="s">
        <v>98</v>
      </c>
      <c r="W1" s="3" t="s">
        <v>194</v>
      </c>
      <c r="X1" s="7" t="s">
        <v>195</v>
      </c>
      <c r="Y1" s="3" t="s">
        <v>664</v>
      </c>
    </row>
    <row r="2" spans="1:25" ht="64" x14ac:dyDescent="0.2">
      <c r="A2" s="1" t="s">
        <v>17</v>
      </c>
      <c r="B2" s="1" t="s">
        <v>18</v>
      </c>
      <c r="C2" s="2" t="s">
        <v>19</v>
      </c>
      <c r="D2" s="4">
        <v>0.7</v>
      </c>
      <c r="E2" s="1" t="s">
        <v>42</v>
      </c>
      <c r="G2" s="1" t="s">
        <v>4</v>
      </c>
      <c r="I2" s="2" t="s">
        <v>20</v>
      </c>
      <c r="J2" s="2" t="s">
        <v>21</v>
      </c>
      <c r="K2" s="1" t="b">
        <f>TRUE()</f>
        <v>1</v>
      </c>
      <c r="L2" s="2" t="s">
        <v>125</v>
      </c>
      <c r="M2" s="2" t="str">
        <f t="shared" ref="M2:M33" si="0">_xlfn.CONCAT(I2,L2,J2)</f>
        <v>QVQLVESGGGVVQPGRSLRLSCAASGFTFSSYGMHWVRQAPGKGLEWVAVISYDGSKKYYADSVKGRFTISRDNSKNTLYLQMNSLRAEDTAVYYCARSPFYDSSGYYAMDYWGQGTLVTVSSGGGSGGGSGGGSGGGSDIQLTQSPSSLSASVGDRVTITCRASQGISSYLAWYQQKPGKAPKLLIYAASTLQSGVPSRFSGSGSGTDFTLTISSLQPEDFATYYCQQANSFPPTFGQGTKVEIK</v>
      </c>
      <c r="N2" s="4">
        <f t="shared" ref="N2:N33" si="1">LEN(M2)</f>
        <v>246</v>
      </c>
      <c r="O2" s="1" t="b">
        <f t="shared" ref="O2:O33" si="2">IF(N2&lt;=250,TRUE,FALSE)</f>
        <v>1</v>
      </c>
      <c r="P2" s="1" t="b">
        <f>TRUE()</f>
        <v>1</v>
      </c>
      <c r="Q2" s="1" t="b">
        <f>TRUE()</f>
        <v>1</v>
      </c>
      <c r="R2" s="4">
        <v>5.3039999999999997E-3</v>
      </c>
      <c r="S2" s="4">
        <v>2.5982999999999999E-2</v>
      </c>
      <c r="T2" s="4">
        <f>VLOOKUP(A2,[1]boltz2_frankenchain_ipsae_score!$A:$C,2,FALSE)</f>
        <v>0</v>
      </c>
      <c r="U2" s="4">
        <f>VLOOKUP(A2,[1]boltz2_frankenchain_ipsae_score!$A:$C,3,FALSE)</f>
        <v>5.2630000000000003E-3</v>
      </c>
      <c r="V2" s="10">
        <v>45968</v>
      </c>
      <c r="W2" s="2" t="s">
        <v>215</v>
      </c>
      <c r="X2" s="4">
        <v>0</v>
      </c>
      <c r="Y2" s="1" t="b">
        <f t="shared" ref="Y2" si="3">IF(X2&lt;=250,TRUE,FALSE)</f>
        <v>1</v>
      </c>
    </row>
    <row r="3" spans="1:25" ht="64" x14ac:dyDescent="0.2">
      <c r="A3" s="1" t="s">
        <v>22</v>
      </c>
      <c r="B3" s="1" t="s">
        <v>18</v>
      </c>
      <c r="C3" s="2" t="s">
        <v>19</v>
      </c>
      <c r="D3" s="4">
        <v>0.7</v>
      </c>
      <c r="E3" s="1" t="s">
        <v>42</v>
      </c>
      <c r="G3" s="1" t="s">
        <v>4</v>
      </c>
      <c r="I3" s="2" t="s">
        <v>23</v>
      </c>
      <c r="J3" s="2" t="s">
        <v>24</v>
      </c>
      <c r="K3" s="1" t="b">
        <f>TRUE()</f>
        <v>1</v>
      </c>
      <c r="L3" s="2" t="s">
        <v>125</v>
      </c>
      <c r="M3" s="2" t="str">
        <f t="shared" si="0"/>
        <v>QVQLVESGGGVVQPGKSLRLSCAASGFTFSSYAMSWVRQAPGKGPEWVAFISYDGSNNYYADSVKGRFTISRDNPKNTLYLQMKSLRAEDTAVYYCARWRQRFDMYWGRGTLVTVSSGGGSGGGSGGGSGGGSDIQMTQSPSSLSASVGDRVTITCRASQSISSYLNWYQQKPGKAPKLLIYAASSLQSGVPSRFSGSGSGTDFTLTISSLQPEDFATYYCQQSYSTPYTFGQGTKVEIK</v>
      </c>
      <c r="N3" s="4">
        <f t="shared" si="1"/>
        <v>240</v>
      </c>
      <c r="O3" s="1" t="b">
        <f t="shared" si="2"/>
        <v>1</v>
      </c>
      <c r="P3" s="1" t="b">
        <f>TRUE()</f>
        <v>1</v>
      </c>
      <c r="Q3" s="1" t="b">
        <f>TRUE()</f>
        <v>1</v>
      </c>
      <c r="R3" s="4">
        <v>0</v>
      </c>
      <c r="S3" s="4">
        <v>5.2459999999999998E-3</v>
      </c>
      <c r="T3" s="4">
        <f>VLOOKUP(A3,[1]boltz2_frankenchain_ipsae_score!$A:$C,2,FALSE)</f>
        <v>0</v>
      </c>
      <c r="U3" s="4">
        <f>VLOOKUP(A3,[1]boltz2_frankenchain_ipsae_score!$A:$C,3,FALSE)</f>
        <v>1.2614999999999999E-2</v>
      </c>
      <c r="V3" s="10">
        <v>45969</v>
      </c>
      <c r="W3" s="2" t="s">
        <v>205</v>
      </c>
      <c r="X3" s="4">
        <v>0.25329299999999999</v>
      </c>
      <c r="Y3" s="1" t="b">
        <v>1</v>
      </c>
    </row>
    <row r="4" spans="1:25" ht="64" x14ac:dyDescent="0.2">
      <c r="A4" s="1" t="s">
        <v>25</v>
      </c>
      <c r="B4" s="1" t="s">
        <v>18</v>
      </c>
      <c r="C4" s="2" t="s">
        <v>19</v>
      </c>
      <c r="D4" s="4">
        <v>0.9</v>
      </c>
      <c r="E4" s="1" t="s">
        <v>42</v>
      </c>
      <c r="G4" s="1" t="s">
        <v>4</v>
      </c>
      <c r="I4" s="2" t="s">
        <v>26</v>
      </c>
      <c r="J4" s="2" t="s">
        <v>27</v>
      </c>
      <c r="K4" s="1" t="b">
        <f>TRUE()</f>
        <v>1</v>
      </c>
      <c r="L4" s="2" t="s">
        <v>125</v>
      </c>
      <c r="M4" s="2" t="str">
        <f t="shared" si="0"/>
        <v>QVQLQESGPGLVKPSETLSLTCTVSGASIRGYYWSWIRQFPGKELEWIGYVYSGSTENYNPSLKSRVTVTLTDTKNSFSLKLNSVTSEDTAVYYCARGGALIYYDVWGTGTTVTVSSGGGSGGGSGGGSGGGSDIQVTQSPVSLSASVGDRVTITCRASQGIDSLNWFQQRPGKAPKLLIYAASQLTGIAPRFRSGSGSGTDFTLTISSLQPEDFATYYCQQYNIYPATFGQGTKVEIK</v>
      </c>
      <c r="N4" s="4">
        <f t="shared" si="1"/>
        <v>239</v>
      </c>
      <c r="O4" s="1" t="b">
        <f t="shared" si="2"/>
        <v>1</v>
      </c>
      <c r="P4" s="1" t="b">
        <f>TRUE()</f>
        <v>1</v>
      </c>
      <c r="Q4" s="1" t="b">
        <f>TRUE()</f>
        <v>1</v>
      </c>
      <c r="R4" s="4">
        <v>4.7468000000000003E-2</v>
      </c>
      <c r="S4" s="4">
        <v>9.3658000000000005E-2</v>
      </c>
      <c r="T4" s="4">
        <f>VLOOKUP(A4,[1]boltz2_frankenchain_ipsae_score!$A:$C,2,FALSE)</f>
        <v>0</v>
      </c>
      <c r="U4" s="4">
        <f>VLOOKUP(A4,[1]boltz2_frankenchain_ipsae_score!$A:$C,3,FALSE)</f>
        <v>0</v>
      </c>
      <c r="V4" s="10">
        <v>45969</v>
      </c>
      <c r="W4" s="2" t="s">
        <v>208</v>
      </c>
      <c r="X4" s="4">
        <v>0.530196</v>
      </c>
      <c r="Y4" s="1" t="b">
        <v>0</v>
      </c>
    </row>
    <row r="5" spans="1:25" ht="64" x14ac:dyDescent="0.2">
      <c r="A5" s="1" t="s">
        <v>28</v>
      </c>
      <c r="B5" s="1" t="s">
        <v>18</v>
      </c>
      <c r="C5" s="2" t="s">
        <v>19</v>
      </c>
      <c r="D5" s="4">
        <v>0.9</v>
      </c>
      <c r="E5" s="1" t="s">
        <v>42</v>
      </c>
      <c r="G5" s="1" t="s">
        <v>4</v>
      </c>
      <c r="I5" s="2" t="s">
        <v>29</v>
      </c>
      <c r="J5" s="2" t="s">
        <v>30</v>
      </c>
      <c r="K5" s="1" t="b">
        <f>TRUE()</f>
        <v>1</v>
      </c>
      <c r="L5" s="2" t="s">
        <v>125</v>
      </c>
      <c r="M5" s="2" t="str">
        <f t="shared" si="0"/>
        <v>EVQLVQSGAEVKKPGESLKISCKGSGYTFSYYWIGWVRQMPGKGLEWMGIIYPGDSDTRYSPSFQGQVTISADKSISTAYLQWSSLKASDTAMYYCARGEGVFDYWGQGTLVTVSSGGGSGGGSGGGSGGGSYTLTQAPSVSASGQSVTISCTGTSRDVGTYWYQQIPGRAPKLLIHDKSENQGKTPGIPDRFSGSKSGNTASLVIIRGLQADDEADYYCNSYHGSGSNIFGGGTKLTVD</v>
      </c>
      <c r="N5" s="4">
        <f t="shared" si="1"/>
        <v>240</v>
      </c>
      <c r="O5" s="1" t="b">
        <f t="shared" si="2"/>
        <v>1</v>
      </c>
      <c r="P5" s="1" t="b">
        <f>TRUE()</f>
        <v>1</v>
      </c>
      <c r="Q5" s="1" t="b">
        <f>TRUE()</f>
        <v>1</v>
      </c>
      <c r="R5" s="4">
        <v>1.2938E-2</v>
      </c>
      <c r="S5" s="4">
        <v>5.7574E-2</v>
      </c>
      <c r="T5" s="4">
        <f>VLOOKUP(A5,[1]boltz2_frankenchain_ipsae_score!$A:$C,2,FALSE)</f>
        <v>5.4530000000000004E-3</v>
      </c>
      <c r="U5" s="4">
        <f>VLOOKUP(A5,[1]boltz2_frankenchain_ipsae_score!$A:$C,3,FALSE)</f>
        <v>0.125301</v>
      </c>
      <c r="V5" s="10">
        <v>45969</v>
      </c>
      <c r="W5" s="2" t="s">
        <v>206</v>
      </c>
      <c r="X5" s="4">
        <v>0.233075</v>
      </c>
      <c r="Y5" s="1" t="b">
        <v>0</v>
      </c>
    </row>
    <row r="6" spans="1:25" ht="64" x14ac:dyDescent="0.2">
      <c r="A6" s="1" t="s">
        <v>31</v>
      </c>
      <c r="B6" s="1" t="s">
        <v>18</v>
      </c>
      <c r="C6" s="2" t="s">
        <v>19</v>
      </c>
      <c r="D6" s="4">
        <v>0.5</v>
      </c>
      <c r="E6" s="1" t="s">
        <v>42</v>
      </c>
      <c r="G6" s="1" t="s">
        <v>4</v>
      </c>
      <c r="I6" s="2" t="s">
        <v>32</v>
      </c>
      <c r="J6" s="2" t="s">
        <v>33</v>
      </c>
      <c r="K6" s="1" t="b">
        <f>TRUE()</f>
        <v>1</v>
      </c>
      <c r="L6" s="2" t="s">
        <v>125</v>
      </c>
      <c r="M6" s="2" t="str">
        <f t="shared" si="0"/>
        <v>EVQLVESGGGLVQPGGSLRLSCAASGFTFSSYWMNWVRQAPGKGLEWVANINQDGGEKYYVDSVKGRFTISRDNAKNSLYLQMNSLRAEDTAIYYCARDVGGGMDVWGQGTTVTVSSGGGSGGGSGGGSGGGSQMTQSPSSLSASVGDRVTITCRASQSVSSAVAWYQQKPGKAPKLLIYSASSLYSGVPSRFSGSRSGTDFTLTISSLQPEDFATYYCQQSSSSLITFGQGTKVEIK</v>
      </c>
      <c r="N6" s="4">
        <f t="shared" si="1"/>
        <v>238</v>
      </c>
      <c r="O6" s="1" t="b">
        <f t="shared" si="2"/>
        <v>1</v>
      </c>
      <c r="P6" s="1" t="b">
        <f>TRUE()</f>
        <v>1</v>
      </c>
      <c r="Q6" s="1" t="b">
        <f>TRUE()</f>
        <v>1</v>
      </c>
      <c r="R6" s="4">
        <v>0</v>
      </c>
      <c r="S6" s="4">
        <v>5.0559999999999997E-3</v>
      </c>
      <c r="T6" s="4">
        <f>VLOOKUP(A6,[1]boltz2_frankenchain_ipsae_score!$A:$C,2,FALSE)</f>
        <v>0</v>
      </c>
      <c r="U6" s="4">
        <f>VLOOKUP(A6,[1]boltz2_frankenchain_ipsae_score!$A:$C,3,FALSE)</f>
        <v>0</v>
      </c>
      <c r="V6" s="10">
        <v>45969</v>
      </c>
      <c r="W6" s="2" t="s">
        <v>207</v>
      </c>
      <c r="X6" s="4">
        <v>0</v>
      </c>
      <c r="Y6" s="1" t="b">
        <v>0</v>
      </c>
    </row>
    <row r="7" spans="1:25" ht="64" x14ac:dyDescent="0.2">
      <c r="A7" s="1" t="s">
        <v>37</v>
      </c>
      <c r="B7" s="1" t="s">
        <v>35</v>
      </c>
      <c r="C7" s="2" t="s">
        <v>36</v>
      </c>
      <c r="E7" s="1" t="s">
        <v>42</v>
      </c>
      <c r="G7" s="1" t="s">
        <v>4</v>
      </c>
      <c r="I7" s="2" t="s">
        <v>38</v>
      </c>
      <c r="J7" s="2" t="s">
        <v>39</v>
      </c>
      <c r="K7" s="1" t="b">
        <v>1</v>
      </c>
      <c r="L7" s="2" t="s">
        <v>125</v>
      </c>
      <c r="M7" s="2" t="str">
        <f t="shared" si="0"/>
        <v>QVQLVESGGGVVQPGRSLRLSCAASGFTFSSYAMSWVRQAPGKGLEWVSAIWSNGGSTYYADSVKGRFTISRDNAKNSLYLQMNSLRAEDTAVYYCARDYGSYGYFDYWGQGTLVTVSSGGGSGGGSGGGSGGGSDIVMTQSPLSLPVTPGEPASISCRSSQSLLYSNGNTYLEWYLQKPGQSPQLLIYLVSKLDSGVPDRFSGSGSGTDFTLKISRVEAEDLGIYYCQQSKEVPYTFGAGTKLEIK</v>
      </c>
      <c r="N7" s="4">
        <f t="shared" si="1"/>
        <v>247</v>
      </c>
      <c r="O7" s="1" t="b">
        <f t="shared" si="2"/>
        <v>1</v>
      </c>
      <c r="P7" s="1" t="b">
        <f>TRUE()</f>
        <v>1</v>
      </c>
      <c r="Q7" s="1" t="b">
        <f>TRUE()</f>
        <v>1</v>
      </c>
      <c r="R7" s="4">
        <v>0</v>
      </c>
      <c r="S7" s="4">
        <v>0</v>
      </c>
      <c r="T7" s="4">
        <f>VLOOKUP(A7,[1]boltz2_frankenchain_ipsae_score!$A:$C,2,FALSE)</f>
        <v>3.5594000000000001E-2</v>
      </c>
      <c r="U7" s="4">
        <f>VLOOKUP(A7,[1]boltz2_frankenchain_ipsae_score!$A:$C,3,FALSE)</f>
        <v>8.8202000000000003E-2</v>
      </c>
      <c r="V7" s="10">
        <v>45969</v>
      </c>
      <c r="W7" s="2" t="s">
        <v>211</v>
      </c>
      <c r="X7" s="4">
        <v>5.9117999999999997E-2</v>
      </c>
      <c r="Y7" s="1" t="b">
        <v>0</v>
      </c>
    </row>
    <row r="8" spans="1:25" ht="64" x14ac:dyDescent="0.2">
      <c r="A8" s="1" t="s">
        <v>43</v>
      </c>
      <c r="B8" s="1" t="s">
        <v>51</v>
      </c>
      <c r="C8" s="2" t="s">
        <v>52</v>
      </c>
      <c r="D8" s="4">
        <v>0.1</v>
      </c>
      <c r="E8" s="1" t="s">
        <v>49</v>
      </c>
      <c r="F8" s="1" t="s">
        <v>17</v>
      </c>
      <c r="G8" s="1" t="s">
        <v>4</v>
      </c>
      <c r="H8" s="1">
        <v>1</v>
      </c>
      <c r="I8" s="2" t="s">
        <v>54</v>
      </c>
      <c r="J8" s="2" t="s">
        <v>55</v>
      </c>
      <c r="K8" s="1" t="b">
        <v>1</v>
      </c>
      <c r="L8" s="2" t="s">
        <v>125</v>
      </c>
      <c r="M8" s="2" t="str">
        <f t="shared" si="0"/>
        <v>AVSLVESGGGTVKPGESVTLSCQASGFNFSKYQWVWVRQAPGKGLEWVGQISPDGSKTRYHPSVAGRFTISRDNSNSTLYLHMSNLRPEDTAVYYCGIIPQDNVHGDYSISHWGQGTLLTVSAGGGSGGGSGGGSGGGSAIKLTQSPKSLSASVGDTVTINCTASRPIGDLLSWYKQKPGKPPQLLIYRSSTLASGVSSRYSGSGSDTNFTLTISSLQSSDFATYYCRQTSRFPITFGEGTTINKK</v>
      </c>
      <c r="N8" s="4">
        <f t="shared" si="1"/>
        <v>246</v>
      </c>
      <c r="O8" s="1" t="b">
        <f t="shared" si="2"/>
        <v>1</v>
      </c>
      <c r="P8" s="1" t="b">
        <f>TRUE()</f>
        <v>1</v>
      </c>
      <c r="Q8" s="1" t="b">
        <f>TRUE()</f>
        <v>1</v>
      </c>
      <c r="R8" s="4">
        <v>0</v>
      </c>
      <c r="S8" s="4">
        <v>0</v>
      </c>
      <c r="T8" s="4">
        <f>VLOOKUP(A8,[1]boltz2_frankenchain_ipsae_score!$A:$C,2,FALSE)</f>
        <v>0</v>
      </c>
      <c r="U8" s="4">
        <f>VLOOKUP(A8,[1]boltz2_frankenchain_ipsae_score!$A:$C,3,FALSE)</f>
        <v>0</v>
      </c>
      <c r="V8" s="10">
        <v>45968</v>
      </c>
      <c r="W8" s="2" t="s">
        <v>216</v>
      </c>
      <c r="X8" s="4">
        <v>0</v>
      </c>
      <c r="Y8" s="1" t="b">
        <v>0</v>
      </c>
    </row>
    <row r="9" spans="1:25" ht="64" x14ac:dyDescent="0.2">
      <c r="A9" s="1" t="s">
        <v>44</v>
      </c>
      <c r="B9" s="1" t="s">
        <v>51</v>
      </c>
      <c r="C9" s="2" t="s">
        <v>52</v>
      </c>
      <c r="D9" s="4">
        <v>0.1</v>
      </c>
      <c r="E9" s="1" t="s">
        <v>49</v>
      </c>
      <c r="F9" s="1" t="s">
        <v>17</v>
      </c>
      <c r="G9" s="1" t="s">
        <v>4</v>
      </c>
      <c r="H9" s="1">
        <v>1</v>
      </c>
      <c r="I9" s="2" t="s">
        <v>56</v>
      </c>
      <c r="J9" s="2" t="s">
        <v>57</v>
      </c>
      <c r="K9" s="1" t="b">
        <v>1</v>
      </c>
      <c r="L9" s="2" t="s">
        <v>125</v>
      </c>
      <c r="M9" s="2" t="str">
        <f t="shared" si="0"/>
        <v>AVSITESGGGTKAPGSSVTLSCKVSGFVFSKYSIAWVRQAPGQGLEWVSQISPDGSTTRYNPAVAGRFTISRDNSNSTAYLQMSNLTPSDTATYYCAIIPQDNEHGDYSLSHWGQGTQLTVSAGGGSGGGSGGGSGGGSAIKLTQSPKSLSAKVGDTVTINCTASAPIGDFLSWYKQKPGQPPQLLIYKSSTLAPGVSSRYSGSGSDTNFTLTISSLQEEDFATYYCQQTATLPITFGEGTTINKK</v>
      </c>
      <c r="N9" s="4">
        <f t="shared" si="1"/>
        <v>246</v>
      </c>
      <c r="O9" s="1" t="b">
        <f t="shared" si="2"/>
        <v>1</v>
      </c>
      <c r="P9" s="1" t="b">
        <f>TRUE()</f>
        <v>1</v>
      </c>
      <c r="Q9" s="1" t="b">
        <f>TRUE()</f>
        <v>1</v>
      </c>
      <c r="R9" s="4">
        <v>0</v>
      </c>
      <c r="S9" s="4">
        <v>0</v>
      </c>
      <c r="T9" s="4">
        <f>VLOOKUP(A9,[1]boltz2_frankenchain_ipsae_score!$A:$C,2,FALSE)</f>
        <v>0</v>
      </c>
      <c r="U9" s="4">
        <f>VLOOKUP(A9,[1]boltz2_frankenchain_ipsae_score!$A:$C,3,FALSE)</f>
        <v>0</v>
      </c>
      <c r="V9" s="10">
        <v>45969</v>
      </c>
      <c r="W9" s="2" t="s">
        <v>209</v>
      </c>
      <c r="X9" s="4">
        <v>0</v>
      </c>
      <c r="Y9" s="1" t="b">
        <v>1</v>
      </c>
    </row>
    <row r="10" spans="1:25" ht="64" x14ac:dyDescent="0.2">
      <c r="A10" s="1" t="s">
        <v>45</v>
      </c>
      <c r="B10" s="1" t="s">
        <v>51</v>
      </c>
      <c r="C10" s="2" t="s">
        <v>52</v>
      </c>
      <c r="D10" s="4">
        <v>0.1</v>
      </c>
      <c r="E10" s="1" t="s">
        <v>49</v>
      </c>
      <c r="F10" s="1" t="s">
        <v>17</v>
      </c>
      <c r="G10" s="1" t="s">
        <v>4</v>
      </c>
      <c r="H10" s="1">
        <v>1</v>
      </c>
      <c r="I10" s="2" t="s">
        <v>58</v>
      </c>
      <c r="J10" s="2" t="s">
        <v>59</v>
      </c>
      <c r="K10" s="1" t="b">
        <v>1</v>
      </c>
      <c r="L10" s="2" t="s">
        <v>125</v>
      </c>
      <c r="M10" s="2" t="str">
        <f t="shared" si="0"/>
        <v>SISLVESGGGTVAPGSSVTLSCQASGFNFSKYSKAWVRQPPGQPLEWVSRISPDGSTKYYHPDVAGRFTISKDNSKSTVYLAMSNLTAADTATYYCGIIPGDNTHGDYAMSHWGQGTLLTVSAGGGSGGGSGGGSGGGSAITLTQSPSSLSASVGDTVTISCTASRPIGDKLSWYKQKPGQPPQLLIYNASTLAPGVSSRYSGSGSDTSFTLTISSLQEDDFATYYCQQTYTLPITFGQGTTISKK</v>
      </c>
      <c r="N10" s="4">
        <f t="shared" si="1"/>
        <v>246</v>
      </c>
      <c r="O10" s="1" t="b">
        <f t="shared" si="2"/>
        <v>1</v>
      </c>
      <c r="P10" s="1" t="b">
        <f>TRUE()</f>
        <v>1</v>
      </c>
      <c r="Q10" s="1" t="b">
        <f>TRUE()</f>
        <v>1</v>
      </c>
      <c r="R10" s="4">
        <v>0</v>
      </c>
      <c r="S10" s="4">
        <v>0</v>
      </c>
      <c r="T10" s="4">
        <f>VLOOKUP(A10,[1]boltz2_frankenchain_ipsae_score!$A:$C,2,FALSE)</f>
        <v>0</v>
      </c>
      <c r="U10" s="4">
        <f>VLOOKUP(A10,[1]boltz2_frankenchain_ipsae_score!$A:$C,3,FALSE)</f>
        <v>0</v>
      </c>
      <c r="V10" s="10">
        <v>45968</v>
      </c>
      <c r="W10" s="2" t="s">
        <v>218</v>
      </c>
      <c r="X10" s="4">
        <v>0</v>
      </c>
      <c r="Y10" s="1" t="b">
        <v>0</v>
      </c>
    </row>
    <row r="11" spans="1:25" ht="64" x14ac:dyDescent="0.2">
      <c r="A11" s="1" t="s">
        <v>46</v>
      </c>
      <c r="B11" s="1" t="s">
        <v>51</v>
      </c>
      <c r="C11" s="2" t="s">
        <v>52</v>
      </c>
      <c r="D11" s="4">
        <v>0.1</v>
      </c>
      <c r="E11" s="1" t="s">
        <v>49</v>
      </c>
      <c r="F11" s="1" t="s">
        <v>17</v>
      </c>
      <c r="G11" s="1" t="s">
        <v>4</v>
      </c>
      <c r="H11" s="1">
        <v>1</v>
      </c>
      <c r="I11" s="2" t="s">
        <v>62</v>
      </c>
      <c r="J11" s="2" t="s">
        <v>63</v>
      </c>
      <c r="K11" s="1" t="b">
        <v>1</v>
      </c>
      <c r="L11" s="2" t="s">
        <v>125</v>
      </c>
      <c r="M11" s="2" t="str">
        <f t="shared" si="0"/>
        <v>GVSLTESGGGTVAPGSSVTLSCKASGFNFSKYSHAWVRQAPGQGLTWVGEISPDGSKTRYASSVAGRFTISRDNSNSTVYLQMSSLTPSDTATYYCGIIPGDSVHGERSMSHWGQGTLLTVSAGGGSGGGSGGGSGGGSAITLTQSPSSLSASVGDTVTLNCTASRPIGDRLSWYKQKPGQAPQLLIYRASTLAPGVSSRYSGSGSDTQFTLTISSLQSDDFATYYCQQTSSYPVTFGQGTTITKK</v>
      </c>
      <c r="N11" s="4">
        <f t="shared" si="1"/>
        <v>246</v>
      </c>
      <c r="O11" s="1" t="b">
        <f t="shared" si="2"/>
        <v>1</v>
      </c>
      <c r="P11" s="1" t="b">
        <f>TRUE()</f>
        <v>1</v>
      </c>
      <c r="Q11" s="1" t="b">
        <f>TRUE()</f>
        <v>1</v>
      </c>
      <c r="R11" s="4">
        <v>0.222529</v>
      </c>
      <c r="S11" s="4">
        <v>0.346188</v>
      </c>
      <c r="T11" s="4">
        <v>0.40337800000000001</v>
      </c>
      <c r="U11" s="4">
        <v>0.50577000000000005</v>
      </c>
      <c r="V11" s="10">
        <v>45968</v>
      </c>
      <c r="W11" s="2" t="s">
        <v>217</v>
      </c>
      <c r="X11" s="4">
        <v>0</v>
      </c>
      <c r="Y11" s="1" t="b">
        <v>1</v>
      </c>
    </row>
    <row r="12" spans="1:25" ht="64" x14ac:dyDescent="0.2">
      <c r="A12" s="1" t="s">
        <v>47</v>
      </c>
      <c r="B12" s="1" t="s">
        <v>51</v>
      </c>
      <c r="C12" s="2" t="s">
        <v>52</v>
      </c>
      <c r="D12" s="4">
        <v>0.1</v>
      </c>
      <c r="E12" s="1" t="s">
        <v>49</v>
      </c>
      <c r="F12" s="1" t="s">
        <v>17</v>
      </c>
      <c r="G12" s="1" t="s">
        <v>4</v>
      </c>
      <c r="H12" s="1">
        <v>1</v>
      </c>
      <c r="I12" s="2" t="s">
        <v>64</v>
      </c>
      <c r="J12" s="2" t="s">
        <v>65</v>
      </c>
      <c r="K12" s="1" t="b">
        <v>1</v>
      </c>
      <c r="L12" s="2" t="s">
        <v>125</v>
      </c>
      <c r="M12" s="2" t="str">
        <f t="shared" si="0"/>
        <v xml:space="preserve">EVSLVESGGGTVKPGESVTLSCQASGFNFSKYRLAWVRQPPGQGLVWVSEISPDGTEVKYHPDVKGRFTASRDNSNSTAYLKMNNLQPSDTATYYCGIIPQDSSHGDYSISHWGQGTQLTVSAGGGSGGGSGGGSGGGSTITLTQSPSSLSASVGDTVTINCTASRPIGDFLSWYKQKPGQPPQLLIYRSSTLASGVSSRYSGSGSDTNFTLTISSLQSDDFATYYCQQTYTLPITFGQGTTLTKK </v>
      </c>
      <c r="N12" s="4">
        <f t="shared" si="1"/>
        <v>247</v>
      </c>
      <c r="O12" s="1" t="b">
        <f t="shared" si="2"/>
        <v>1</v>
      </c>
      <c r="P12" s="1" t="b">
        <f>TRUE()</f>
        <v>1</v>
      </c>
      <c r="Q12" s="1" t="b">
        <f>TRUE()</f>
        <v>1</v>
      </c>
      <c r="V12" s="10">
        <v>45969</v>
      </c>
      <c r="W12" s="2" t="s">
        <v>210</v>
      </c>
      <c r="X12" s="4">
        <v>4.8820000000000001E-3</v>
      </c>
      <c r="Y12" s="1" t="b">
        <v>0</v>
      </c>
    </row>
    <row r="13" spans="1:25" ht="64" x14ac:dyDescent="0.2">
      <c r="A13" s="1" t="s">
        <v>48</v>
      </c>
      <c r="B13" s="1" t="s">
        <v>51</v>
      </c>
      <c r="C13" s="2" t="s">
        <v>52</v>
      </c>
      <c r="D13" s="4">
        <v>0.1</v>
      </c>
      <c r="E13" s="1" t="s">
        <v>49</v>
      </c>
      <c r="F13" s="1" t="s">
        <v>17</v>
      </c>
      <c r="G13" s="1" t="s">
        <v>4</v>
      </c>
      <c r="H13" s="1">
        <v>1</v>
      </c>
      <c r="I13" s="2" t="s">
        <v>66</v>
      </c>
      <c r="J13" s="2" t="s">
        <v>67</v>
      </c>
      <c r="K13" s="1" t="b">
        <v>1</v>
      </c>
      <c r="L13" s="2" t="s">
        <v>125</v>
      </c>
      <c r="M13" s="2" t="str">
        <f t="shared" si="0"/>
        <v>AVSLVESGGGTYAPGSSVTLSCQGSGFNFSKVRKVWVRQPPGGPLEYVAEISPDGSTTTYASSVAGRFTISKDNSNSTLYLSMSNLTPADTATYYCGLIPGDSEHGDRSISHWGQGTLVTVSAGGGSGGGSGGGSGGGSAITLTQSPSSLSASVGDTVTINCTASQPIGNFLSWYKQKPGQPPQLLIYNASTLAPGVSSRYSGSGSDTNFTLTISSLQSEDFATYYCQQTSRLPVTFGQGTTINKK</v>
      </c>
      <c r="N13" s="4">
        <f t="shared" si="1"/>
        <v>246</v>
      </c>
      <c r="O13" s="1" t="b">
        <f t="shared" si="2"/>
        <v>1</v>
      </c>
      <c r="P13" s="1" t="b">
        <f>TRUE()</f>
        <v>1</v>
      </c>
      <c r="Q13" s="1" t="b">
        <f>TRUE()</f>
        <v>1</v>
      </c>
      <c r="R13" s="4">
        <v>0</v>
      </c>
      <c r="S13" s="4">
        <v>0</v>
      </c>
      <c r="T13" s="4">
        <v>0</v>
      </c>
      <c r="U13" s="4">
        <v>0</v>
      </c>
      <c r="V13" s="10">
        <v>45969</v>
      </c>
      <c r="W13" s="2" t="s">
        <v>212</v>
      </c>
      <c r="X13" s="4">
        <v>0</v>
      </c>
      <c r="Y13" s="1" t="b">
        <v>1</v>
      </c>
    </row>
    <row r="14" spans="1:25" ht="64" x14ac:dyDescent="0.2">
      <c r="A14" s="1" t="s">
        <v>53</v>
      </c>
      <c r="B14" s="1" t="s">
        <v>51</v>
      </c>
      <c r="C14" s="2" t="s">
        <v>52</v>
      </c>
      <c r="D14" s="4">
        <v>0.1</v>
      </c>
      <c r="E14" s="1" t="s">
        <v>49</v>
      </c>
      <c r="F14" s="1" t="s">
        <v>17</v>
      </c>
      <c r="G14" s="1" t="s">
        <v>4</v>
      </c>
      <c r="H14" s="1">
        <v>1</v>
      </c>
      <c r="I14" s="2" t="s">
        <v>60</v>
      </c>
      <c r="J14" s="2" t="s">
        <v>61</v>
      </c>
      <c r="K14" s="1" t="b">
        <v>1</v>
      </c>
      <c r="L14" s="2" t="s">
        <v>125</v>
      </c>
      <c r="M14" s="2" t="str">
        <f t="shared" si="0"/>
        <v>GISLVESGGGTVKPGESVTLSCKASGFVFSKYSHAWVRQPPGGPLEWVSQISSDGSVTRYASSVSGRFTISRDNSNSTVYLQMNNLRPSDTATYYCGIIPQDNVHGDYAISHWGQGTLLTVTAGGGSGGGSGGGSGGGSAITLTQSPASLSAKVGDTVTLSCTASRPIGDLLSWYKQKPGQPPQLLIYRASTLAPGVDSRYSGSGSDTSFTLTISSLQPEDFATYYCQQTSRFPITFGQGTTIKQA</v>
      </c>
      <c r="N14" s="4">
        <f t="shared" si="1"/>
        <v>246</v>
      </c>
      <c r="O14" s="1" t="b">
        <f t="shared" si="2"/>
        <v>1</v>
      </c>
      <c r="P14" s="1" t="b">
        <f>TRUE()</f>
        <v>1</v>
      </c>
      <c r="Q14" s="1" t="b">
        <f>TRUE()</f>
        <v>1</v>
      </c>
      <c r="R14" s="4">
        <v>0</v>
      </c>
      <c r="S14" s="4">
        <v>0</v>
      </c>
      <c r="T14" s="4">
        <v>0</v>
      </c>
      <c r="U14" s="4">
        <v>5.1609999999999998E-3</v>
      </c>
      <c r="V14" s="10">
        <v>45968</v>
      </c>
      <c r="W14" s="2" t="s">
        <v>219</v>
      </c>
      <c r="X14" s="4">
        <v>0.330536</v>
      </c>
      <c r="Y14" s="1" t="b">
        <v>0</v>
      </c>
    </row>
    <row r="15" spans="1:25" ht="64" x14ac:dyDescent="0.2">
      <c r="A15" s="1" t="s">
        <v>69</v>
      </c>
      <c r="B15" s="1" t="s">
        <v>51</v>
      </c>
      <c r="C15" s="2" t="s">
        <v>68</v>
      </c>
      <c r="D15" s="4">
        <v>0.15</v>
      </c>
      <c r="E15" s="1" t="s">
        <v>49</v>
      </c>
      <c r="F15" s="1" t="s">
        <v>17</v>
      </c>
      <c r="G15" s="1" t="s">
        <v>4</v>
      </c>
      <c r="H15" s="1">
        <v>1</v>
      </c>
      <c r="I15" s="2" t="s">
        <v>77</v>
      </c>
      <c r="J15" s="2" t="s">
        <v>78</v>
      </c>
      <c r="K15" s="1" t="b">
        <v>1</v>
      </c>
      <c r="L15" s="2" t="s">
        <v>125</v>
      </c>
      <c r="M15" s="2" t="str">
        <f t="shared" si="0"/>
        <v xml:space="preserve">PVSLVESGGGTVAPGSSVTLTCQASGFNFSKYIVAWVRQPPGQPLRFVAMITPDGSKVWLHPEVEGRFTPSKDNSKNTSYLQLKDLQPEDTATYYCGIIPQGSTHGDYSITHWGQGVVLTVTAGGGSGGGSGGGSGGGSMVTLTQSPSSLSASVGDTVTITCTASSPVDNLMSWYQQPPGQPLRLLIYNASTRAPGVSSRFSGSGSDTNFTLTISSLQASDFATYYCQQTYRLPVTFGQGTTLSAA </v>
      </c>
      <c r="N15" s="4">
        <f t="shared" si="1"/>
        <v>247</v>
      </c>
      <c r="O15" s="1" t="b">
        <f t="shared" si="2"/>
        <v>1</v>
      </c>
      <c r="P15" s="1" t="b">
        <f>TRUE()</f>
        <v>1</v>
      </c>
      <c r="Q15" s="1" t="b">
        <f>TRUE()</f>
        <v>1</v>
      </c>
      <c r="V15" s="10">
        <v>45969</v>
      </c>
      <c r="W15" s="2" t="s">
        <v>213</v>
      </c>
      <c r="X15" s="4">
        <v>0</v>
      </c>
      <c r="Y15" s="1" t="b">
        <v>0</v>
      </c>
    </row>
    <row r="16" spans="1:25" ht="64" x14ac:dyDescent="0.2">
      <c r="A16" s="1" t="s">
        <v>70</v>
      </c>
      <c r="B16" s="1" t="s">
        <v>51</v>
      </c>
      <c r="C16" s="2" t="s">
        <v>68</v>
      </c>
      <c r="D16" s="4">
        <v>0.15</v>
      </c>
      <c r="E16" s="1" t="s">
        <v>49</v>
      </c>
      <c r="F16" s="1" t="s">
        <v>17</v>
      </c>
      <c r="G16" s="1" t="s">
        <v>4</v>
      </c>
      <c r="H16" s="1">
        <v>1</v>
      </c>
      <c r="I16" s="2" t="s">
        <v>79</v>
      </c>
      <c r="J16" s="2" t="s">
        <v>80</v>
      </c>
      <c r="K16" s="1" t="b">
        <v>1</v>
      </c>
      <c r="L16" s="2" t="s">
        <v>125</v>
      </c>
      <c r="M16" s="2" t="str">
        <f t="shared" si="0"/>
        <v>SIKLTESGGGTVKPGSSVTLSCQASGFNFSKYEVVWVMQKPGQPLQWVGSISPDGSKVRLHPKVKGRFTLSKDNSKNTAYLTMKNLQPEDTATYYCGIIPGGSVHGDRSITHWGQGVELKVVAGGGSGGGSGGGSGGGSMIKLTQSPKSVKAKVGDTVTITCTASEPVDDLVSWYQQKPGQPLRLLIYRSSTLAPGVSSRFSGSGSDTNFTLTISSLQEEDFATYYCMQTSKYPYTFGQGTTLSRA</v>
      </c>
      <c r="N16" s="4">
        <f t="shared" si="1"/>
        <v>246</v>
      </c>
      <c r="O16" s="1" t="b">
        <f t="shared" si="2"/>
        <v>1</v>
      </c>
      <c r="P16" s="1" t="b">
        <f>TRUE()</f>
        <v>1</v>
      </c>
      <c r="Q16" s="1" t="b">
        <f>TRUE()</f>
        <v>1</v>
      </c>
      <c r="R16" s="4">
        <v>9.9030000000000003E-3</v>
      </c>
      <c r="S16" s="4">
        <v>2.6096000000000001E-2</v>
      </c>
      <c r="T16" s="4">
        <v>0</v>
      </c>
      <c r="U16" s="4">
        <v>0</v>
      </c>
      <c r="V16" s="10">
        <v>45968</v>
      </c>
      <c r="W16" s="2" t="s">
        <v>222</v>
      </c>
      <c r="X16" s="4">
        <v>5.1409999999999997E-3</v>
      </c>
      <c r="Y16" s="1" t="b">
        <v>0</v>
      </c>
    </row>
    <row r="17" spans="1:25" ht="64" x14ac:dyDescent="0.2">
      <c r="A17" s="1" t="s">
        <v>71</v>
      </c>
      <c r="B17" s="1" t="s">
        <v>51</v>
      </c>
      <c r="C17" s="2" t="s">
        <v>68</v>
      </c>
      <c r="D17" s="4">
        <v>0.15</v>
      </c>
      <c r="E17" s="1" t="s">
        <v>49</v>
      </c>
      <c r="F17" s="1" t="s">
        <v>17</v>
      </c>
      <c r="G17" s="1" t="s">
        <v>4</v>
      </c>
      <c r="H17" s="1">
        <v>1</v>
      </c>
      <c r="I17" s="2" t="s">
        <v>81</v>
      </c>
      <c r="J17" s="2" t="s">
        <v>82</v>
      </c>
      <c r="K17" s="1" t="b">
        <v>1</v>
      </c>
      <c r="L17" s="2" t="s">
        <v>125</v>
      </c>
      <c r="M17" s="2" t="str">
        <f t="shared" si="0"/>
        <v>AITLTESGGGVVAPGSSVTLTCTASGFNFSKYSMVWVRQPPGGPLQWVAQISPDNSTVRYHPAVEGRFTASKDNSKNTAYLAMSDLEPSDTATYYCGIIPQGSTHNDYSIVHWGQGTELRVVAGGGSGGGSGGGSGGGSMIKLTQSPSSLSAKVGDKVTITCTASSPVDNLVSWYKQPPGGPLQLLIYNSSTRAPGVSSRFKGSGSDTNFTLTIESLQEEDFATYYCQQTYKFPITFGQGTKLTRA</v>
      </c>
      <c r="N17" s="4">
        <f t="shared" si="1"/>
        <v>246</v>
      </c>
      <c r="O17" s="1" t="b">
        <f t="shared" si="2"/>
        <v>1</v>
      </c>
      <c r="P17" s="1" t="b">
        <f>TRUE()</f>
        <v>1</v>
      </c>
      <c r="Q17" s="1" t="b">
        <f>TRUE()</f>
        <v>1</v>
      </c>
      <c r="R17" s="4">
        <v>0</v>
      </c>
      <c r="S17" s="4">
        <v>0</v>
      </c>
      <c r="T17" s="4">
        <v>0.39001999999999998</v>
      </c>
      <c r="U17" s="4">
        <v>0.48038599999999998</v>
      </c>
      <c r="V17" s="10">
        <v>45969</v>
      </c>
      <c r="W17" s="2" t="s">
        <v>214</v>
      </c>
      <c r="X17" s="4">
        <v>0</v>
      </c>
      <c r="Y17" s="1" t="b">
        <v>1</v>
      </c>
    </row>
    <row r="18" spans="1:25" ht="64" x14ac:dyDescent="0.2">
      <c r="A18" s="1" t="s">
        <v>72</v>
      </c>
      <c r="B18" s="1" t="s">
        <v>51</v>
      </c>
      <c r="C18" s="2" t="s">
        <v>68</v>
      </c>
      <c r="D18" s="4">
        <v>0.15</v>
      </c>
      <c r="E18" s="1" t="s">
        <v>49</v>
      </c>
      <c r="F18" s="1" t="s">
        <v>17</v>
      </c>
      <c r="G18" s="1" t="s">
        <v>4</v>
      </c>
      <c r="H18" s="1">
        <v>1</v>
      </c>
      <c r="I18" s="2" t="s">
        <v>83</v>
      </c>
      <c r="J18" s="2" t="s">
        <v>84</v>
      </c>
      <c r="K18" s="1" t="b">
        <v>1</v>
      </c>
      <c r="L18" s="2" t="s">
        <v>125</v>
      </c>
      <c r="M18" s="2" t="str">
        <f t="shared" si="0"/>
        <v>SISLTESGGGTVAPGSSVTLTCTASGFNFSKYSVAWVRQPPGQPLQWVALISPDGSKKWYHPDVKGRATISKDNSKNTSYLTLSNLQPSDTATYYCGIIPGGNIHGDYSMTHWGQGTQLTVVAGGGSGGGSGGGSGGGSMITLTQSPLSLSAKVGDTVTITCTASSPVDDLVSWYQQKPGQPLRLLIRNASERAPGVSSRFSGSGSDTTFTLTISSVQEEDFATYYCQQTSKLPYTFGQGTTLSRA</v>
      </c>
      <c r="N18" s="4">
        <f t="shared" si="1"/>
        <v>246</v>
      </c>
      <c r="O18" s="1" t="b">
        <f t="shared" si="2"/>
        <v>1</v>
      </c>
      <c r="P18" s="1" t="b">
        <f>TRUE()</f>
        <v>1</v>
      </c>
      <c r="Q18" s="1" t="b">
        <f>TRUE()</f>
        <v>1</v>
      </c>
      <c r="R18" s="4">
        <v>0</v>
      </c>
      <c r="S18" s="4">
        <v>0</v>
      </c>
      <c r="T18" s="4">
        <v>2.325E-2</v>
      </c>
      <c r="U18" s="4">
        <v>7.4709999999999999E-2</v>
      </c>
      <c r="V18" s="10">
        <v>45970</v>
      </c>
      <c r="W18" s="2" t="s">
        <v>196</v>
      </c>
      <c r="X18" s="4">
        <v>0</v>
      </c>
      <c r="Y18" s="1" t="b">
        <v>1</v>
      </c>
    </row>
    <row r="19" spans="1:25" ht="64" x14ac:dyDescent="0.2">
      <c r="A19" s="1" t="s">
        <v>73</v>
      </c>
      <c r="B19" s="1" t="s">
        <v>51</v>
      </c>
      <c r="C19" s="2" t="s">
        <v>68</v>
      </c>
      <c r="D19" s="4">
        <v>0.15</v>
      </c>
      <c r="E19" s="1" t="s">
        <v>49</v>
      </c>
      <c r="F19" s="1" t="s">
        <v>17</v>
      </c>
      <c r="G19" s="1" t="s">
        <v>4</v>
      </c>
      <c r="H19" s="1">
        <v>1</v>
      </c>
      <c r="I19" s="2" t="s">
        <v>85</v>
      </c>
      <c r="J19" s="2" t="s">
        <v>86</v>
      </c>
      <c r="K19" s="1" t="b">
        <v>1</v>
      </c>
      <c r="L19" s="2" t="s">
        <v>125</v>
      </c>
      <c r="M19" s="2" t="str">
        <f t="shared" si="0"/>
        <v>AVTLTESGGGTVAPGSSVTLTCTASGFNFSKYILAWVRQAPGQPLEWVASISPDGSKTRYHPAVKGRATASKDNSKNTAYLELKDLRPEDTATYYCGIIPQGSVHGDYSMTHWGQGTELRVEAGGGSGGGSGGGSGGGSPVVLTQSPLSLSAKVGDTVTITCTASSPVDNLVSWYKQAPGQPLQLLIYNATTRAPGVPSRFTGSGSDTTFTLTISSLQPEDFAVYYCQQTYKFPITFGQGTRLTPA</v>
      </c>
      <c r="N19" s="4">
        <f t="shared" si="1"/>
        <v>246</v>
      </c>
      <c r="O19" s="1" t="b">
        <f t="shared" si="2"/>
        <v>1</v>
      </c>
      <c r="P19" s="1" t="b">
        <f>TRUE()</f>
        <v>1</v>
      </c>
      <c r="Q19" s="1" t="b">
        <f>TRUE()</f>
        <v>1</v>
      </c>
      <c r="R19" s="4">
        <v>5.0000000000000001E-3</v>
      </c>
      <c r="S19" s="4">
        <v>5.3550000000000004E-3</v>
      </c>
      <c r="T19" s="4">
        <v>0</v>
      </c>
      <c r="U19" s="4">
        <v>0</v>
      </c>
      <c r="V19" s="10">
        <v>45970</v>
      </c>
      <c r="W19" s="2" t="s">
        <v>197</v>
      </c>
      <c r="X19" s="4">
        <v>0.10117900000000001</v>
      </c>
      <c r="Y19" s="1" t="b">
        <v>0</v>
      </c>
    </row>
    <row r="20" spans="1:25" ht="64" x14ac:dyDescent="0.2">
      <c r="A20" s="1" t="s">
        <v>74</v>
      </c>
      <c r="B20" s="1" t="s">
        <v>51</v>
      </c>
      <c r="C20" s="2" t="s">
        <v>68</v>
      </c>
      <c r="D20" s="4">
        <v>0.15</v>
      </c>
      <c r="E20" s="1" t="s">
        <v>49</v>
      </c>
      <c r="F20" s="1" t="s">
        <v>17</v>
      </c>
      <c r="G20" s="1" t="s">
        <v>4</v>
      </c>
      <c r="H20" s="1">
        <v>1</v>
      </c>
      <c r="I20" s="2" t="s">
        <v>87</v>
      </c>
      <c r="J20" s="2" t="s">
        <v>88</v>
      </c>
      <c r="K20" s="1" t="b">
        <v>1</v>
      </c>
      <c r="L20" s="2" t="s">
        <v>125</v>
      </c>
      <c r="M20" s="2" t="str">
        <f t="shared" si="0"/>
        <v>PVKLVESGGGTVAPGSSVTLTCKASGFNFSKYMVQWVRQAPGGAFQWVGLISPDGSTKWYHPDVEGRFTISKDNSKNTAYLEMRNLTPADTAVYYCGIVPQGSVHGDYSITHWGQGVTLTVTAGGGSGGGSGGGSGGGSVVQLTQSPPELSAKVGEKVTITCTASSPVDNLVSWYQQKPGGAPKLLIYNATTLAPGVPSRFSGSGSDTVFTLTIDSLQAEDFATYYCQQTSRLPFTFGQGTVLRPA</v>
      </c>
      <c r="N20" s="4">
        <f t="shared" si="1"/>
        <v>246</v>
      </c>
      <c r="O20" s="1" t="b">
        <f t="shared" si="2"/>
        <v>1</v>
      </c>
      <c r="P20" s="1" t="b">
        <f>TRUE()</f>
        <v>1</v>
      </c>
      <c r="Q20" s="1" t="b">
        <f>TRUE()</f>
        <v>1</v>
      </c>
      <c r="R20" s="4">
        <v>5.1789999999999996E-3</v>
      </c>
      <c r="S20" s="4">
        <v>9.8119999999999995E-3</v>
      </c>
      <c r="T20" s="4">
        <v>0</v>
      </c>
      <c r="U20" s="4">
        <v>0</v>
      </c>
      <c r="V20" s="10">
        <v>45970</v>
      </c>
      <c r="W20" s="2" t="s">
        <v>198</v>
      </c>
      <c r="X20" s="4">
        <v>5.2560000000000003E-3</v>
      </c>
      <c r="Y20" s="1" t="b">
        <v>0</v>
      </c>
    </row>
    <row r="21" spans="1:25" ht="64" x14ac:dyDescent="0.2">
      <c r="A21" s="1" t="s">
        <v>75</v>
      </c>
      <c r="B21" s="1" t="s">
        <v>51</v>
      </c>
      <c r="C21" s="2" t="s">
        <v>68</v>
      </c>
      <c r="D21" s="4">
        <v>0.15</v>
      </c>
      <c r="E21" s="1" t="s">
        <v>49</v>
      </c>
      <c r="F21" s="1" t="s">
        <v>17</v>
      </c>
      <c r="G21" s="1" t="s">
        <v>4</v>
      </c>
      <c r="H21" s="1">
        <v>1</v>
      </c>
      <c r="I21" s="2" t="s">
        <v>89</v>
      </c>
      <c r="J21" s="2" t="s">
        <v>90</v>
      </c>
      <c r="K21" s="1" t="b">
        <v>1</v>
      </c>
      <c r="L21" s="2" t="s">
        <v>125</v>
      </c>
      <c r="M21" s="2" t="str">
        <f t="shared" si="0"/>
        <v>AIKLTESGGGTVKPGSSVTLTCQASGFNFSKYIMAWVRQAPGQPLQWVAQISPDNSVKRYHPEVEGRFTASKDNSKNTAYLEMKNLTPADTATYYCAIIPQGSTQGDYSMVHWGQGVELKVVAGGGSGGGSGGGSGGGSPVVLTQSPASLKAAVGDTVTITCTASAPVDNLVSWYKQAPGQPPQLLIYNASTLAPGVPSRFTGSGSDTSFTLTISSLQEEDFATYYCQETSKFPITFGQGTKLEKK</v>
      </c>
      <c r="N21" s="4">
        <f t="shared" si="1"/>
        <v>246</v>
      </c>
      <c r="O21" s="1" t="b">
        <f t="shared" si="2"/>
        <v>1</v>
      </c>
      <c r="P21" s="1" t="b">
        <f>TRUE()</f>
        <v>1</v>
      </c>
      <c r="Q21" s="1" t="b">
        <f>TRUE()</f>
        <v>1</v>
      </c>
      <c r="R21" s="4">
        <v>0.28534100000000001</v>
      </c>
      <c r="S21" s="4">
        <v>0.38202399999999997</v>
      </c>
      <c r="T21" s="4">
        <v>0</v>
      </c>
      <c r="U21" s="4">
        <v>0</v>
      </c>
      <c r="V21" s="10">
        <v>45970</v>
      </c>
      <c r="W21" s="2" t="s">
        <v>200</v>
      </c>
      <c r="X21" s="4">
        <v>0</v>
      </c>
      <c r="Y21" s="1" t="b">
        <v>0</v>
      </c>
    </row>
    <row r="22" spans="1:25" ht="64" x14ac:dyDescent="0.2">
      <c r="A22" s="1" t="s">
        <v>76</v>
      </c>
      <c r="B22" s="1" t="s">
        <v>51</v>
      </c>
      <c r="C22" s="2" t="s">
        <v>68</v>
      </c>
      <c r="D22" s="4">
        <v>0.15</v>
      </c>
      <c r="E22" s="1" t="s">
        <v>49</v>
      </c>
      <c r="F22" s="1" t="s">
        <v>17</v>
      </c>
      <c r="G22" s="1" t="s">
        <v>4</v>
      </c>
      <c r="H22" s="1">
        <v>1</v>
      </c>
      <c r="I22" s="2" t="s">
        <v>91</v>
      </c>
      <c r="J22" s="2" t="s">
        <v>92</v>
      </c>
      <c r="K22" s="1" t="b">
        <v>1</v>
      </c>
      <c r="L22" s="2" t="s">
        <v>125</v>
      </c>
      <c r="M22" s="2" t="str">
        <f t="shared" si="0"/>
        <v>SIKLTESGGGVVAPGESVTLTCTASGFNFSKYEMAWVRQAPGGPLEFVAVISPDGSTTRYHPRVEGRATISRDNSKNTAYLTLRDLTPADTAVYYCGIIPGGSVHGDRALSHWGQGVRLEVRAGGGSGGGSGGGSGGGSMVTLTQSPSSLSAKVGDKVTISCTASEPVDDLVSWYKQAPGGPPQLLISRASTRAPGVPSRFSGSGSDTNFTLTIESLQSSDFATYYCQQTYKFPDTFGQGTTLSEA</v>
      </c>
      <c r="N22" s="4">
        <f t="shared" si="1"/>
        <v>246</v>
      </c>
      <c r="O22" s="1" t="b">
        <f t="shared" si="2"/>
        <v>1</v>
      </c>
      <c r="P22" s="1" t="b">
        <f>TRUE()</f>
        <v>1</v>
      </c>
      <c r="Q22" s="1" t="b">
        <f>TRUE()</f>
        <v>1</v>
      </c>
      <c r="R22" s="4">
        <v>0</v>
      </c>
      <c r="S22" s="4">
        <v>0</v>
      </c>
      <c r="T22" s="4">
        <v>0</v>
      </c>
      <c r="U22" s="4">
        <v>0</v>
      </c>
      <c r="V22" s="10">
        <v>45970</v>
      </c>
      <c r="W22" s="2" t="s">
        <v>199</v>
      </c>
      <c r="X22" s="4">
        <v>0.33924399999999999</v>
      </c>
      <c r="Y22" s="1" t="b">
        <v>0</v>
      </c>
    </row>
    <row r="23" spans="1:25" ht="64" x14ac:dyDescent="0.2">
      <c r="A23" s="1" t="s">
        <v>101</v>
      </c>
      <c r="B23" s="1" t="s">
        <v>109</v>
      </c>
      <c r="C23" s="2" t="s">
        <v>110</v>
      </c>
      <c r="D23" s="4">
        <v>0.1</v>
      </c>
      <c r="E23" s="1" t="s">
        <v>49</v>
      </c>
      <c r="F23" s="1" t="s">
        <v>100</v>
      </c>
      <c r="G23" s="1" t="s">
        <v>4</v>
      </c>
      <c r="H23" s="1">
        <v>2</v>
      </c>
      <c r="I23" s="2" t="s">
        <v>113</v>
      </c>
      <c r="J23" s="2" t="s">
        <v>115</v>
      </c>
      <c r="K23" s="1" t="b">
        <v>1</v>
      </c>
      <c r="L23" s="2" t="s">
        <v>126</v>
      </c>
      <c r="M23" s="2" t="str">
        <f t="shared" si="0"/>
        <v xml:space="preserve">SVTLVESGDQTVAPGGSVTLSCTSSGGSFGNSGVSWVKQQPGGPLQWIGGIIPSLGISKVSPEYAGRVTISSDSSNNTAYLTISNLTAADTATYYCALGEGEDVFASSPFASNVNLGALSVWGQGTKVTVSGGGSGGGSGGGSITVTQSPSSPSLKVGETATLTCTLSAPVPRSNVAWYKQQPGQPPTLLIYGGSTRAPGVPSRYSGSGSGTTFTLTITALKPEDFATYYCQVYGENPSFGQGTTLKLK </v>
      </c>
      <c r="N23" s="4">
        <f t="shared" si="1"/>
        <v>250</v>
      </c>
      <c r="O23" s="1" t="b">
        <f t="shared" si="2"/>
        <v>1</v>
      </c>
      <c r="P23" s="1" t="b">
        <f>TRUE()</f>
        <v>1</v>
      </c>
      <c r="Q23" s="1" t="b">
        <f>TRUE()</f>
        <v>1</v>
      </c>
      <c r="V23" s="10">
        <v>45970</v>
      </c>
      <c r="W23" s="2" t="s">
        <v>204</v>
      </c>
      <c r="X23" s="4">
        <v>0</v>
      </c>
      <c r="Y23" s="1" t="b">
        <v>0</v>
      </c>
    </row>
    <row r="24" spans="1:25" ht="64" x14ac:dyDescent="0.2">
      <c r="A24" s="1" t="s">
        <v>102</v>
      </c>
      <c r="B24" s="1" t="s">
        <v>109</v>
      </c>
      <c r="C24" s="2" t="s">
        <v>110</v>
      </c>
      <c r="D24" s="4">
        <v>0.1</v>
      </c>
      <c r="E24" s="1" t="s">
        <v>49</v>
      </c>
      <c r="F24" s="1" t="s">
        <v>100</v>
      </c>
      <c r="G24" s="1" t="s">
        <v>4</v>
      </c>
      <c r="H24" s="1">
        <v>2</v>
      </c>
      <c r="I24" s="2" t="s">
        <v>116</v>
      </c>
      <c r="J24" s="2" t="s">
        <v>114</v>
      </c>
      <c r="K24" s="1" t="b">
        <v>1</v>
      </c>
      <c r="L24" s="2" t="s">
        <v>126</v>
      </c>
      <c r="M24" s="2" t="str">
        <f t="shared" si="0"/>
        <v>GVKLVQSGDLTVKPGGSVTLSCKSEGGSFGNSSVAWVRQRPGGPYEYIGSIIPAYGVSRVSPEYEGRVTISADVANNTAYLTISNLTPEDTATYYCALGPGEVVYAASPFDEKLLTGALSVWGEGTLVTVTGGGSGGGSGGGSITVTQSPSSPSLSVGDTATLTCTLSSSVATSNVAWYKQLPGQPPELLISGGSTRAPGVPSRYSGSGSGTTFTLTISSLQASDFATYYCQVYGENPSFGQGTTLTLK</v>
      </c>
      <c r="N24" s="4">
        <f t="shared" si="1"/>
        <v>249</v>
      </c>
      <c r="O24" s="1" t="b">
        <f t="shared" si="2"/>
        <v>1</v>
      </c>
      <c r="P24" s="1" t="b">
        <f>TRUE()</f>
        <v>1</v>
      </c>
      <c r="Q24" s="1" t="b">
        <f>TRUE()</f>
        <v>1</v>
      </c>
      <c r="R24" s="4">
        <v>0</v>
      </c>
      <c r="S24" s="4">
        <v>0</v>
      </c>
      <c r="T24" s="4">
        <v>0.170014</v>
      </c>
      <c r="U24" s="4">
        <v>0.265094</v>
      </c>
      <c r="V24" s="10">
        <v>45968</v>
      </c>
      <c r="W24" s="2" t="s">
        <v>220</v>
      </c>
      <c r="X24" s="4">
        <v>5.3039999999999997E-3</v>
      </c>
      <c r="Y24" s="1" t="b">
        <v>0</v>
      </c>
    </row>
    <row r="25" spans="1:25" ht="64" x14ac:dyDescent="0.2">
      <c r="A25" s="1" t="s">
        <v>103</v>
      </c>
      <c r="B25" s="1" t="s">
        <v>109</v>
      </c>
      <c r="C25" s="2" t="s">
        <v>110</v>
      </c>
      <c r="D25" s="4">
        <v>0.1</v>
      </c>
      <c r="E25" s="1" t="s">
        <v>49</v>
      </c>
      <c r="F25" s="1" t="s">
        <v>100</v>
      </c>
      <c r="G25" s="1" t="s">
        <v>4</v>
      </c>
      <c r="H25" s="1">
        <v>2</v>
      </c>
      <c r="I25" s="2" t="s">
        <v>117</v>
      </c>
      <c r="J25" s="2" t="s">
        <v>118</v>
      </c>
      <c r="K25" s="1" t="b">
        <v>1</v>
      </c>
      <c r="L25" s="2" t="s">
        <v>126</v>
      </c>
      <c r="M25" s="2" t="str">
        <f t="shared" si="0"/>
        <v>AVKLVQSGDQTVAPGGSVTLSCTSSGGSFGNSSVAWVRQRPGGPFEFIGSIIPSLGISRYNSKYKGRVTISSDAANNTAYLTISNLTAADTATYYCALGPGESVFASHPFKEKLLTGALSVWGEGTLVTVSGGGSGGGSGGGSITVTQSPSSPSKSVGDTVTLTCTLSSSVPVSQVAWYKQHPGQPPELLIYGGSTRASGVPSRYSGSGSGTTFTLTISSLQPEDFATYYCQVYGEEPSFGQGTTVTLA</v>
      </c>
      <c r="N25" s="4">
        <f t="shared" si="1"/>
        <v>249</v>
      </c>
      <c r="O25" s="1" t="b">
        <f t="shared" si="2"/>
        <v>1</v>
      </c>
      <c r="P25" s="1" t="b">
        <f>TRUE()</f>
        <v>1</v>
      </c>
      <c r="Q25" s="1" t="b">
        <f>TRUE()</f>
        <v>1</v>
      </c>
      <c r="R25" s="4">
        <v>5.104E-3</v>
      </c>
      <c r="S25" s="4">
        <v>5.104E-3</v>
      </c>
      <c r="T25" s="4">
        <v>0</v>
      </c>
      <c r="U25" s="4">
        <v>0</v>
      </c>
      <c r="V25" s="10">
        <v>45968</v>
      </c>
      <c r="W25" s="2" t="s">
        <v>221</v>
      </c>
      <c r="X25" s="4">
        <v>3.4557999999999998E-2</v>
      </c>
      <c r="Y25" s="1" t="b">
        <v>0</v>
      </c>
    </row>
    <row r="26" spans="1:25" ht="64" x14ac:dyDescent="0.2">
      <c r="A26" s="1" t="s">
        <v>104</v>
      </c>
      <c r="B26" s="1" t="s">
        <v>109</v>
      </c>
      <c r="C26" s="2" t="s">
        <v>110</v>
      </c>
      <c r="D26" s="4">
        <v>0.1</v>
      </c>
      <c r="E26" s="1" t="s">
        <v>49</v>
      </c>
      <c r="F26" s="1" t="s">
        <v>100</v>
      </c>
      <c r="G26" s="1" t="s">
        <v>4</v>
      </c>
      <c r="H26" s="1">
        <v>2</v>
      </c>
      <c r="I26" s="2" t="s">
        <v>112</v>
      </c>
      <c r="J26" s="2" t="s">
        <v>119</v>
      </c>
      <c r="K26" s="1" t="b">
        <v>1</v>
      </c>
      <c r="L26" s="2" t="s">
        <v>126</v>
      </c>
      <c r="M26" s="2" t="str">
        <f t="shared" si="0"/>
        <v>SITLVQSGDVTVAPGGSVTLTCTSSGGSFGNKAVAWVRQRPGGPYEWLGFIIPAYGVSRYNPAYEGRVTISVDSASNTASLTISNLTAADTATYYCALGEGEIVYAASPFDENYKLGALYIWGQGTKVTVSGGGSGGGSGGGSITLTQSPSSPSLSVGETATLTCTASAPVPKSNVAWYKQLPGQPPELLIYGGSTRASGVPSRYSGSGSGTTFTLTISSLTADDFATYYCQVYGENPSFGEGTTLTLK</v>
      </c>
      <c r="N26" s="4">
        <f t="shared" si="1"/>
        <v>249</v>
      </c>
      <c r="O26" s="1" t="b">
        <f t="shared" si="2"/>
        <v>1</v>
      </c>
      <c r="P26" s="1" t="b">
        <f>TRUE()</f>
        <v>1</v>
      </c>
      <c r="Q26" s="1" t="b">
        <f>TRUE()</f>
        <v>1</v>
      </c>
      <c r="R26" s="4">
        <v>5.1330000000000004E-3</v>
      </c>
      <c r="S26" s="4">
        <v>1.3644E-2</v>
      </c>
      <c r="T26" s="4">
        <v>0.31783099999999997</v>
      </c>
      <c r="U26" s="4">
        <v>0.43640499999999999</v>
      </c>
      <c r="V26" s="10">
        <v>45970</v>
      </c>
      <c r="W26" s="2" t="s">
        <v>202</v>
      </c>
      <c r="X26" s="4">
        <v>0.177148</v>
      </c>
      <c r="Y26" s="1" t="b">
        <v>0</v>
      </c>
    </row>
    <row r="27" spans="1:25" ht="64" x14ac:dyDescent="0.2">
      <c r="A27" s="1" t="s">
        <v>105</v>
      </c>
      <c r="B27" s="1" t="s">
        <v>109</v>
      </c>
      <c r="C27" s="2" t="s">
        <v>110</v>
      </c>
      <c r="D27" s="4">
        <v>0.1</v>
      </c>
      <c r="E27" s="1" t="s">
        <v>49</v>
      </c>
      <c r="F27" s="1" t="s">
        <v>100</v>
      </c>
      <c r="G27" s="1" t="s">
        <v>4</v>
      </c>
      <c r="H27" s="1">
        <v>2</v>
      </c>
      <c r="I27" s="2" t="s">
        <v>120</v>
      </c>
      <c r="J27" s="2" t="s">
        <v>121</v>
      </c>
      <c r="K27" s="1" t="b">
        <v>1</v>
      </c>
      <c r="L27" s="2" t="s">
        <v>126</v>
      </c>
      <c r="M27" s="2" t="str">
        <f t="shared" si="0"/>
        <v>SVTLVQSGDQTVPIGGSVTLSCTANGGSFGNKGVAWVRQRPGGPYEFLGFIKPAIGESRYHPKYKGRVTISSDVSSNTAYLTISNLTPEDTAVYYCALGEAEDVFAAHPFKTDLLLGALSIWGQGTRVTVTGGGSGGGSGGGSITVTQSPSSPSLSVGETAVLTCTLSQPVPQSQVAWYKQLPGQPPTLLISGGSTRASGVPSRYSGSGSGTTFTLTISSLLPEDFATYYCQVVGKEPSFGQGTTLTLK</v>
      </c>
      <c r="N27" s="4">
        <f t="shared" si="1"/>
        <v>249</v>
      </c>
      <c r="O27" s="1" t="b">
        <f t="shared" si="2"/>
        <v>1</v>
      </c>
      <c r="P27" s="1" t="b">
        <f>TRUE()</f>
        <v>1</v>
      </c>
      <c r="Q27" s="1" t="b">
        <f>TRUE()</f>
        <v>1</v>
      </c>
      <c r="R27" s="4">
        <v>0.55087299999999995</v>
      </c>
      <c r="S27" s="4">
        <v>0.73576600000000003</v>
      </c>
      <c r="T27" s="4">
        <v>4.9259999999999998E-3</v>
      </c>
      <c r="U27" s="4">
        <v>1.8696999999999998E-2</v>
      </c>
      <c r="V27" s="10">
        <v>45970</v>
      </c>
      <c r="W27" s="2" t="s">
        <v>201</v>
      </c>
      <c r="X27" s="4">
        <v>0.18701400000000001</v>
      </c>
      <c r="Y27" s="1" t="b">
        <v>1</v>
      </c>
    </row>
    <row r="28" spans="1:25" ht="64" x14ac:dyDescent="0.2">
      <c r="A28" s="1" t="s">
        <v>106</v>
      </c>
      <c r="B28" s="1" t="s">
        <v>109</v>
      </c>
      <c r="C28" s="2" t="s">
        <v>110</v>
      </c>
      <c r="D28" s="4">
        <v>0.1</v>
      </c>
      <c r="E28" s="1" t="s">
        <v>49</v>
      </c>
      <c r="F28" s="1" t="s">
        <v>100</v>
      </c>
      <c r="G28" s="1" t="s">
        <v>4</v>
      </c>
      <c r="H28" s="1">
        <v>2</v>
      </c>
      <c r="I28" s="2" t="s">
        <v>123</v>
      </c>
      <c r="J28" s="2" t="s">
        <v>122</v>
      </c>
      <c r="K28" s="1" t="b">
        <v>1</v>
      </c>
      <c r="L28" s="2" t="s">
        <v>126</v>
      </c>
      <c r="M28" s="2" t="str">
        <f t="shared" si="0"/>
        <v>SVKLVQSGDQTVPVGGSVTLSCTASGGSFGNYGVAWVRQRPGGPLEYIGSIIPAYGISTVNPKYEGRVTISADPTNNTAYLTISNLTPEDTATYYCALGPGEVVFASSPFDIDVLTGALWVWGEGTKVTVTGGGSGGGSGGGSITVTQSPSSPSLKVGETATLTCTLSAPVAKSNVAWYKQLPGQPPELLIYGGSTRASGVPSRYSGSGSGTTFTLTISSLQPEDFATYYCQVVGKNPSFGQGTLLKLK</v>
      </c>
      <c r="N28" s="4">
        <f t="shared" si="1"/>
        <v>249</v>
      </c>
      <c r="O28" s="1" t="b">
        <f t="shared" si="2"/>
        <v>1</v>
      </c>
      <c r="P28" s="1" t="b">
        <f>TRUE()</f>
        <v>1</v>
      </c>
      <c r="Q28" s="1" t="b">
        <f>TRUE()</f>
        <v>1</v>
      </c>
      <c r="R28" s="4">
        <v>0</v>
      </c>
      <c r="S28" s="4">
        <v>0</v>
      </c>
      <c r="T28" s="4">
        <v>0</v>
      </c>
      <c r="U28" s="4">
        <v>0</v>
      </c>
      <c r="V28" s="10">
        <v>45970</v>
      </c>
      <c r="W28" s="2" t="s">
        <v>203</v>
      </c>
      <c r="X28" s="4">
        <v>0</v>
      </c>
      <c r="Y28" s="1" t="b">
        <v>0</v>
      </c>
    </row>
    <row r="29" spans="1:25" ht="64" x14ac:dyDescent="0.2">
      <c r="A29" s="1" t="s">
        <v>107</v>
      </c>
      <c r="B29" s="1" t="s">
        <v>109</v>
      </c>
      <c r="C29" s="2" t="s">
        <v>110</v>
      </c>
      <c r="D29" s="4">
        <v>0.1</v>
      </c>
      <c r="E29" s="1" t="s">
        <v>49</v>
      </c>
      <c r="F29" s="1" t="s">
        <v>100</v>
      </c>
      <c r="G29" s="1" t="s">
        <v>4</v>
      </c>
      <c r="H29" s="1">
        <v>2</v>
      </c>
      <c r="I29" s="2" t="s">
        <v>128</v>
      </c>
      <c r="J29" s="2" t="s">
        <v>127</v>
      </c>
      <c r="K29" s="1" t="b">
        <v>1</v>
      </c>
      <c r="L29" s="2" t="s">
        <v>126</v>
      </c>
      <c r="M29" s="2" t="str">
        <f t="shared" si="0"/>
        <v>SISLVQSSDQTVAPGGSVTLSCTSSGGSFGNSGVAWVRQAPGGPPVYIGGIIPATGVSTYNAAFKGRVTISSDSSNNTAYLTISGLTAADTATYYCALGPAENVFASHPFAEDVNLGALSVWGQGTLVTVTGGGSGGGSGGGSITVTESPSSPELSVGETAVLSCTLSSSVPQSNVAWYKQKPGQPPELLIYGGSTRASGVPSRYSGSGSGTTFYLTISSLEPEDFATYYCQVYGTSPSFGQGTTLKLK</v>
      </c>
      <c r="N29" s="4">
        <f t="shared" si="1"/>
        <v>249</v>
      </c>
      <c r="O29" s="1" t="b">
        <f t="shared" si="2"/>
        <v>1</v>
      </c>
      <c r="P29" s="1" t="b">
        <f>TRUE()</f>
        <v>1</v>
      </c>
      <c r="Q29" s="1" t="b">
        <f>TRUE()</f>
        <v>1</v>
      </c>
      <c r="R29" s="4">
        <v>0</v>
      </c>
      <c r="S29" s="4">
        <v>5.1970000000000002E-3</v>
      </c>
      <c r="T29" s="4">
        <v>0</v>
      </c>
      <c r="U29" s="4">
        <v>0</v>
      </c>
      <c r="V29" s="10">
        <v>45968</v>
      </c>
      <c r="W29" s="2" t="s">
        <v>223</v>
      </c>
      <c r="X29" s="4">
        <v>0</v>
      </c>
      <c r="Y29" s="1" t="b">
        <v>0</v>
      </c>
    </row>
    <row r="30" spans="1:25" ht="64" x14ac:dyDescent="0.2">
      <c r="A30" s="1" t="s">
        <v>108</v>
      </c>
      <c r="B30" s="1" t="s">
        <v>109</v>
      </c>
      <c r="C30" s="2" t="s">
        <v>110</v>
      </c>
      <c r="D30" s="4">
        <v>0.1</v>
      </c>
      <c r="E30" s="1" t="s">
        <v>49</v>
      </c>
      <c r="F30" s="1" t="s">
        <v>100</v>
      </c>
      <c r="G30" s="1" t="s">
        <v>4</v>
      </c>
      <c r="H30" s="1">
        <v>2</v>
      </c>
      <c r="I30" s="2" t="s">
        <v>129</v>
      </c>
      <c r="J30" s="2" t="s">
        <v>130</v>
      </c>
      <c r="K30" s="1" t="b">
        <v>1</v>
      </c>
      <c r="L30" s="2" t="s">
        <v>126</v>
      </c>
      <c r="M30" s="2" t="str">
        <f t="shared" si="0"/>
        <v>AVSLVESGDQTVAPGGSVTLSCTSSGGSFGNSGVAWVRQAPGGPLEFLGFIIPALGVSKVNSKYEGRVTISSDPANNTAYLTISNLTAADTATYYCGLGTGESVFASSPFDEKLLLGALSVWGQGTKVTVTGGGSGGGSGGGSITVTQSPASPEKKVGETATLTCTLSSAVPKSNVAWYKQKPGQPPELLIYGGSTRASGVPSRYSGSGSGTTFYLTISSLQPEDFATYYCRVYGEEPSFGQGTTLKLK</v>
      </c>
      <c r="N30" s="4">
        <f t="shared" si="1"/>
        <v>249</v>
      </c>
      <c r="O30" s="1" t="b">
        <f t="shared" si="2"/>
        <v>1</v>
      </c>
      <c r="P30" s="1" t="b">
        <f>TRUE()</f>
        <v>1</v>
      </c>
      <c r="Q30" s="1" t="b">
        <f>TRUE()</f>
        <v>1</v>
      </c>
      <c r="R30" s="4">
        <v>0.214564</v>
      </c>
      <c r="S30" s="4">
        <v>0.35564200000000001</v>
      </c>
      <c r="T30" s="4">
        <v>0</v>
      </c>
      <c r="U30" s="4">
        <v>0</v>
      </c>
      <c r="V30" s="10">
        <v>45968</v>
      </c>
      <c r="W30" s="2" t="s">
        <v>224</v>
      </c>
      <c r="X30" s="4">
        <v>0</v>
      </c>
      <c r="Y30" s="1" t="b">
        <v>0</v>
      </c>
    </row>
    <row r="31" spans="1:25" ht="64" x14ac:dyDescent="0.2">
      <c r="A31" s="1" t="s">
        <v>174</v>
      </c>
      <c r="B31" s="1" t="s">
        <v>18</v>
      </c>
      <c r="C31" s="2" t="s">
        <v>34</v>
      </c>
      <c r="D31" s="4">
        <v>0.7</v>
      </c>
      <c r="E31" s="1" t="s">
        <v>42</v>
      </c>
      <c r="G31" s="1" t="s">
        <v>4</v>
      </c>
      <c r="I31" s="2" t="s">
        <v>134</v>
      </c>
      <c r="J31" s="2" t="s">
        <v>135</v>
      </c>
      <c r="K31" s="1" t="b">
        <v>1</v>
      </c>
      <c r="L31" s="2" t="s">
        <v>125</v>
      </c>
      <c r="M31" s="2" t="str">
        <f t="shared" si="0"/>
        <v>VQLQESGPGLVKPSQSLSLTCTVTGYSITTGYAWNWIRQFPGNKLEWMGYISYSGSTYYPSLKSRISITRDTSKNQFFLQLSIVTTEDTATYYCARGTTLPDYVDFWGQGTSVTVSSGGGSGGGSGGGSGGGSDIQLTQSPSSLSASVGDRVTITCRASQTISTYLNWYQQKPGKAPKLLIYAASTLQSGVPSRFSGSGSGTDFTLTISSLQPEDFATYFCLQHFWTPPITFGQGTRLEIK</v>
      </c>
      <c r="N31" s="4">
        <f t="shared" si="1"/>
        <v>241</v>
      </c>
      <c r="O31" s="1" t="b">
        <f t="shared" si="2"/>
        <v>1</v>
      </c>
      <c r="P31" s="1" t="b">
        <v>0</v>
      </c>
      <c r="Q31" s="1" t="b">
        <f>TRUE()</f>
        <v>1</v>
      </c>
      <c r="R31" s="4">
        <v>4.9880000000000002E-3</v>
      </c>
      <c r="S31" s="4">
        <v>2.6955E-2</v>
      </c>
      <c r="T31" s="4">
        <v>0.24712400000000001</v>
      </c>
      <c r="U31" s="4">
        <v>0.385683</v>
      </c>
      <c r="V31" s="10">
        <v>45971</v>
      </c>
      <c r="W31" s="2" t="s">
        <v>245</v>
      </c>
      <c r="X31" s="4">
        <v>5.6360000000000004E-3</v>
      </c>
      <c r="Y31" s="1" t="b">
        <v>0</v>
      </c>
    </row>
    <row r="32" spans="1:25" ht="64" x14ac:dyDescent="0.2">
      <c r="A32" s="1" t="s">
        <v>175</v>
      </c>
      <c r="B32" s="1" t="s">
        <v>18</v>
      </c>
      <c r="C32" s="2" t="s">
        <v>34</v>
      </c>
      <c r="D32" s="4">
        <v>0.7</v>
      </c>
      <c r="E32" s="1" t="s">
        <v>42</v>
      </c>
      <c r="G32" s="1" t="s">
        <v>4</v>
      </c>
      <c r="I32" s="2" t="s">
        <v>136</v>
      </c>
      <c r="J32" s="2" t="s">
        <v>137</v>
      </c>
      <c r="K32" s="1" t="b">
        <v>1</v>
      </c>
      <c r="L32" s="2" t="s">
        <v>126</v>
      </c>
      <c r="M32" s="2" t="str">
        <f t="shared" si="0"/>
        <v>QVQLQESGPGLVKPSETLSVTCTVSGGSIGSNNYWSWIRQPAGKGLEWIGYIYYSGSTNYNPSLKSRVTMSVDTSKNQFSLKLSSVTAADTAVYYCVRNYYDSSDSSGYYFMDVWGQGTTVTVSSGGGSGGGSGGGSDIVMTQSPLSLSVTPGEPASISCRSSQSLLHSNGYNYLDWYLQKPGQSPQLLIYLGSNRASGVPDRFSGSGSGTDFTLKISRVEAEDVGVYYCMQALQTPTFGQGTRLEIK</v>
      </c>
      <c r="N32" s="4">
        <f t="shared" si="1"/>
        <v>248</v>
      </c>
      <c r="O32" s="1" t="b">
        <f t="shared" si="2"/>
        <v>1</v>
      </c>
      <c r="P32" s="1" t="b">
        <v>0</v>
      </c>
      <c r="Q32" s="1" t="b">
        <f>TRUE()</f>
        <v>1</v>
      </c>
      <c r="R32" s="4">
        <v>8.5369999999999994E-3</v>
      </c>
      <c r="S32" s="4">
        <v>3.8865999999999998E-2</v>
      </c>
      <c r="T32" s="4">
        <v>0</v>
      </c>
      <c r="U32" s="4">
        <v>4.7840000000000001E-3</v>
      </c>
      <c r="V32" s="10">
        <v>45971</v>
      </c>
      <c r="W32" s="2" t="s">
        <v>243</v>
      </c>
      <c r="X32" s="4">
        <v>4.999E-3</v>
      </c>
      <c r="Y32" s="1" t="b">
        <v>0</v>
      </c>
    </row>
    <row r="33" spans="1:25" ht="64" x14ac:dyDescent="0.2">
      <c r="A33" s="1" t="s">
        <v>176</v>
      </c>
      <c r="B33" s="1" t="s">
        <v>18</v>
      </c>
      <c r="C33" s="2" t="s">
        <v>34</v>
      </c>
      <c r="D33" s="4">
        <v>0.7</v>
      </c>
      <c r="E33" s="1" t="s">
        <v>42</v>
      </c>
      <c r="G33" s="1" t="s">
        <v>4</v>
      </c>
      <c r="I33" s="2" t="s">
        <v>138</v>
      </c>
      <c r="J33" s="2" t="s">
        <v>139</v>
      </c>
      <c r="K33" s="1" t="b">
        <v>1</v>
      </c>
      <c r="L33" s="2" t="s">
        <v>125</v>
      </c>
      <c r="M33" s="2" t="str">
        <f t="shared" si="0"/>
        <v>QVQLVQSGAEVKKPGESLKISCKGSGYRFSSYWIGWVRQMPGKGLEWMGIIYPGDSDTRYSPSFQGQVTISADKSISTAYLQWSSLKASDTAMYYCARQGPDYYYGMDVWGQGTTVTVSSGGGSGGGSGGGSGGGSDIQMTQSPSTLSASVGDRVTITCRASQSISSWLAWYQQKPGKAPKLLIYKASELQSGVPSRFSGSGSGTEFTLTISSLQPDDFATYYCQQYINSYTFGQGTKVEIK</v>
      </c>
      <c r="N33" s="4">
        <f t="shared" si="1"/>
        <v>242</v>
      </c>
      <c r="O33" s="1" t="b">
        <f t="shared" si="2"/>
        <v>1</v>
      </c>
      <c r="P33" s="1" t="b">
        <v>0</v>
      </c>
      <c r="Q33" s="1" t="b">
        <f>TRUE()</f>
        <v>1</v>
      </c>
      <c r="R33" s="4">
        <v>0.29099799999999998</v>
      </c>
      <c r="S33" s="4">
        <v>0.37256800000000001</v>
      </c>
      <c r="T33" s="4">
        <v>0</v>
      </c>
      <c r="U33" s="4">
        <v>5.5339999999999999E-3</v>
      </c>
      <c r="V33" s="10">
        <v>45971</v>
      </c>
      <c r="W33" s="2" t="s">
        <v>244</v>
      </c>
      <c r="X33" s="4">
        <v>0.17957600000000001</v>
      </c>
      <c r="Y33" s="1" t="b">
        <v>1</v>
      </c>
    </row>
    <row r="34" spans="1:25" ht="64" x14ac:dyDescent="0.2">
      <c r="A34" s="1" t="s">
        <v>177</v>
      </c>
      <c r="B34" s="1" t="s">
        <v>18</v>
      </c>
      <c r="C34" s="2" t="s">
        <v>34</v>
      </c>
      <c r="D34" s="4">
        <v>0.7</v>
      </c>
      <c r="E34" s="1" t="s">
        <v>42</v>
      </c>
      <c r="G34" s="1" t="s">
        <v>4</v>
      </c>
      <c r="I34" s="2" t="s">
        <v>140</v>
      </c>
      <c r="J34" s="2" t="s">
        <v>141</v>
      </c>
      <c r="K34" s="1" t="b">
        <v>1</v>
      </c>
      <c r="L34" s="2" t="s">
        <v>125</v>
      </c>
      <c r="M34" s="2" t="str">
        <f t="shared" ref="M34:M65" si="4">_xlfn.CONCAT(I34,L34,J34)</f>
        <v>QVQLQQSGPELVKPGASVKLSCKASGYTFTDYYMHWVKQRPGQGLEWIGEINPNSGGTNTYDQKFKGRATLTVDKSSSTAYLQLSSLTSEDSAVYYCARSPPWYFDYWGQGTTLTVSGGGSGGGSGGGSGGGSDIVMTQSPSSMFASVGETVTITCRASENIYSNLAWYQQKPGQSPKLLIYWASTRHTGVPDRFTGSGSGTDFTLTISSVQAEDLALYYCQHYGSYSFTFGSGTKLEIK</v>
      </c>
      <c r="N34" s="4">
        <f t="shared" ref="N34:N65" si="5">LEN(M34)</f>
        <v>240</v>
      </c>
      <c r="O34" s="1" t="b">
        <f t="shared" ref="O34:O65" si="6">IF(N34&lt;=250,TRUE,FALSE)</f>
        <v>1</v>
      </c>
      <c r="P34" s="1" t="b">
        <v>0</v>
      </c>
      <c r="Q34" s="1" t="b">
        <f>TRUE()</f>
        <v>1</v>
      </c>
      <c r="R34" s="4">
        <v>0</v>
      </c>
      <c r="S34" s="4">
        <v>5.372E-3</v>
      </c>
      <c r="T34" s="4">
        <v>0</v>
      </c>
      <c r="U34" s="4">
        <v>1.9792000000000001E-2</v>
      </c>
      <c r="V34" s="10">
        <v>45971</v>
      </c>
      <c r="W34" s="2" t="s">
        <v>236</v>
      </c>
      <c r="X34" s="4">
        <v>0.120976</v>
      </c>
      <c r="Y34" s="1" t="b">
        <v>1</v>
      </c>
    </row>
    <row r="35" spans="1:25" ht="64" x14ac:dyDescent="0.2">
      <c r="A35" s="1" t="s">
        <v>178</v>
      </c>
      <c r="B35" s="1" t="s">
        <v>18</v>
      </c>
      <c r="C35" s="2" t="s">
        <v>34</v>
      </c>
      <c r="D35" s="4">
        <v>0.7</v>
      </c>
      <c r="E35" s="1" t="s">
        <v>42</v>
      </c>
      <c r="G35" s="1" t="s">
        <v>4</v>
      </c>
      <c r="I35" s="2" t="s">
        <v>142</v>
      </c>
      <c r="J35" s="2" t="s">
        <v>143</v>
      </c>
      <c r="K35" s="1" t="b">
        <v>1</v>
      </c>
      <c r="L35" s="2" t="s">
        <v>125</v>
      </c>
      <c r="M35" s="2" t="str">
        <f t="shared" si="4"/>
        <v>EVQLVESGGGLVQPGGSLRLSCAASGFNVSYSSIHWVRQAPGKGLEWVASISSYYGYTYYADSVKGRFTISADTSKNTAYLQMNSLRAEDTAVYYCARSRNYVYSSGYLDFWGQGTLVTVSSGGGSGGGSGGGSGGGSDIQMTQSPSSLSASVGDRVTITCRASQSVSSAVAWYQQKPGKAPKLLIYSASSLYSGVPSRFSGSRSGTDFTLTISSLQPEDFATYYCQQSSYSSPPTFGQGTKVEIK</v>
      </c>
      <c r="N35" s="4">
        <f t="shared" si="5"/>
        <v>246</v>
      </c>
      <c r="O35" s="1" t="b">
        <f t="shared" si="6"/>
        <v>1</v>
      </c>
      <c r="P35" s="1" t="b">
        <v>0</v>
      </c>
      <c r="Q35" s="1" t="b">
        <f>TRUE()</f>
        <v>1</v>
      </c>
      <c r="R35" s="4">
        <v>0</v>
      </c>
      <c r="S35" s="4">
        <v>5.6839999999999998E-3</v>
      </c>
      <c r="T35" s="4">
        <v>7.6040999999999997E-2</v>
      </c>
      <c r="U35" s="4">
        <v>0.20837700000000001</v>
      </c>
      <c r="V35" s="10">
        <v>45971</v>
      </c>
      <c r="W35" s="2" t="s">
        <v>237</v>
      </c>
      <c r="X35" s="4">
        <v>0.44340800000000002</v>
      </c>
      <c r="Y35" s="1" t="b">
        <v>0</v>
      </c>
    </row>
    <row r="36" spans="1:25" ht="64" x14ac:dyDescent="0.2">
      <c r="A36" s="1" t="s">
        <v>179</v>
      </c>
      <c r="B36" s="1" t="s">
        <v>18</v>
      </c>
      <c r="C36" s="2" t="s">
        <v>34</v>
      </c>
      <c r="D36" s="4">
        <v>0.7</v>
      </c>
      <c r="E36" s="1" t="s">
        <v>42</v>
      </c>
      <c r="G36" s="1" t="s">
        <v>4</v>
      </c>
      <c r="I36" s="2" t="s">
        <v>144</v>
      </c>
      <c r="J36" s="2" t="s">
        <v>145</v>
      </c>
      <c r="K36" s="1" t="b">
        <v>1</v>
      </c>
      <c r="L36" s="2" t="s">
        <v>125</v>
      </c>
      <c r="M36" s="2" t="str">
        <f t="shared" si="4"/>
        <v>EVQLVESGGGLVQPGGSLRLSCAASGFNIYYSSIHWVRQAPGKGLEWVASISPYYGSTSYADSVKGRFTISADTSKNTAYLQMNSLRAEDTAVYYCARDYGHYYYAMDYWGQGTLVTVSSGGGSGGGSGGGSGGGSEIVMTQSPATLSVSPGERATLSCRASQSVSSYLAWYQQKPGQAPRLLIYGASTRATGIPARFSGSGSGTEFTLTISSLQSEDSAVYYCQQYNNWPPITFGQGTRLEIK</v>
      </c>
      <c r="N36" s="4">
        <f t="shared" si="5"/>
        <v>244</v>
      </c>
      <c r="O36" s="1" t="b">
        <f t="shared" si="6"/>
        <v>1</v>
      </c>
      <c r="P36" s="1" t="b">
        <v>0</v>
      </c>
      <c r="Q36" s="1" t="b">
        <f>TRUE()</f>
        <v>1</v>
      </c>
      <c r="R36" s="4">
        <v>5.4289999999999998E-3</v>
      </c>
      <c r="S36" s="4">
        <v>6.0312999999999999E-2</v>
      </c>
      <c r="T36" s="4">
        <v>0</v>
      </c>
      <c r="U36" s="4">
        <v>5.2519999999999997E-3</v>
      </c>
      <c r="V36" s="10">
        <v>45971</v>
      </c>
      <c r="W36" s="2" t="s">
        <v>238</v>
      </c>
      <c r="X36" s="4">
        <v>1.5703000000000002E-2</v>
      </c>
      <c r="Y36" s="1" t="b">
        <v>1</v>
      </c>
    </row>
    <row r="37" spans="1:25" ht="64" x14ac:dyDescent="0.2">
      <c r="A37" s="1" t="s">
        <v>180</v>
      </c>
      <c r="B37" s="1" t="s">
        <v>18</v>
      </c>
      <c r="C37" s="2" t="s">
        <v>34</v>
      </c>
      <c r="D37" s="4">
        <v>0.7</v>
      </c>
      <c r="E37" s="1" t="s">
        <v>42</v>
      </c>
      <c r="G37" s="1" t="s">
        <v>4</v>
      </c>
      <c r="I37" s="2" t="s">
        <v>146</v>
      </c>
      <c r="J37" s="2" t="s">
        <v>147</v>
      </c>
      <c r="K37" s="1" t="b">
        <v>1</v>
      </c>
      <c r="L37" s="2" t="s">
        <v>126</v>
      </c>
      <c r="M37" s="2" t="str">
        <f t="shared" si="4"/>
        <v>QVQLQESGPGLVKPSETLSLSCVVSGDSSSTNYYWGWIRQPPGKGLEWIGYIYGSGDTAYNPSLKSRVTISVDTSKNQFSLKLSSVTAADTAVYYCARRSWGYGYNGYSTYYYYYYFDQGYFDVWGPGTLVTGGGSGGGSGGGSDIQMTQSPSSLSASVGDRVTITCRASQSIGSYLNWYQQKPGKAPKLLIYAASTLQSGVPSRFSGSGSGTEFTLTISSLQPEDFATYYCQQSYSWGQGTKVEIK</v>
      </c>
      <c r="N37" s="4">
        <f t="shared" si="5"/>
        <v>247</v>
      </c>
      <c r="O37" s="1" t="b">
        <f t="shared" si="6"/>
        <v>1</v>
      </c>
      <c r="P37" s="1" t="b">
        <v>0</v>
      </c>
      <c r="Q37" s="1" t="b">
        <f>TRUE()</f>
        <v>1</v>
      </c>
      <c r="R37" s="4">
        <v>7.3824000000000001E-2</v>
      </c>
      <c r="S37" s="4">
        <v>0.14274700000000001</v>
      </c>
      <c r="T37" s="4">
        <v>5.3099999999999996E-3</v>
      </c>
      <c r="U37" s="4">
        <v>3.4667999999999997E-2</v>
      </c>
      <c r="V37" s="10">
        <v>45971</v>
      </c>
      <c r="W37" s="2" t="s">
        <v>239</v>
      </c>
      <c r="X37" s="4">
        <v>0</v>
      </c>
      <c r="Y37" s="1" t="b">
        <v>0</v>
      </c>
    </row>
    <row r="38" spans="1:25" ht="64" x14ac:dyDescent="0.2">
      <c r="A38" s="1" t="s">
        <v>181</v>
      </c>
      <c r="B38" s="1" t="s">
        <v>18</v>
      </c>
      <c r="C38" s="2" t="s">
        <v>34</v>
      </c>
      <c r="D38" s="4">
        <v>0.7</v>
      </c>
      <c r="E38" s="1" t="s">
        <v>42</v>
      </c>
      <c r="G38" s="1" t="s">
        <v>4</v>
      </c>
      <c r="I38" s="2" t="s">
        <v>148</v>
      </c>
      <c r="J38" s="2" t="s">
        <v>149</v>
      </c>
      <c r="K38" s="1" t="b">
        <v>1</v>
      </c>
      <c r="L38" s="2" t="s">
        <v>125</v>
      </c>
      <c r="M38" s="2" t="str">
        <f t="shared" si="4"/>
        <v>QVQLVQSGAEVKKPGASVKVSCKASGYTFTSYGISWVRQAPGQGLEWMGWISAHNGDTNYAQKFQGRVTMTRDTSITTAYMELRSDDTAVYYCARDGSVGGFYWGQGTLVTVSSGGGSGGGSGGGSGGGSEIVLTQSPGTLSLSPGERATLSCRASQSVSSYLAWYQQKPGQAPRLLIYGASSRATGIPDRFSGSGSGTDFTLTISRLEPEDFAVYYCQQYGSSPITFGQGTRLEIK</v>
      </c>
      <c r="N38" s="4">
        <f t="shared" si="5"/>
        <v>237</v>
      </c>
      <c r="O38" s="1" t="b">
        <f t="shared" si="6"/>
        <v>1</v>
      </c>
      <c r="P38" s="1" t="b">
        <v>0</v>
      </c>
      <c r="Q38" s="1" t="b">
        <f>TRUE()</f>
        <v>1</v>
      </c>
      <c r="R38" s="4">
        <v>0</v>
      </c>
      <c r="S38" s="4">
        <v>5.7530000000000003E-3</v>
      </c>
      <c r="T38" s="4">
        <v>0.31343599999999999</v>
      </c>
      <c r="U38" s="4">
        <v>0.46242</v>
      </c>
      <c r="V38" s="10">
        <v>45971</v>
      </c>
      <c r="W38" s="2" t="s">
        <v>241</v>
      </c>
      <c r="X38" s="4">
        <v>5.2269999999999999E-3</v>
      </c>
      <c r="Y38" s="1" t="b">
        <v>0</v>
      </c>
    </row>
    <row r="39" spans="1:25" ht="64" x14ac:dyDescent="0.2">
      <c r="A39" s="1" t="s">
        <v>182</v>
      </c>
      <c r="B39" s="1" t="s">
        <v>18</v>
      </c>
      <c r="C39" s="2" t="s">
        <v>34</v>
      </c>
      <c r="D39" s="4">
        <v>0.7</v>
      </c>
      <c r="E39" s="1" t="s">
        <v>42</v>
      </c>
      <c r="G39" s="1" t="s">
        <v>4</v>
      </c>
      <c r="I39" s="2" t="s">
        <v>150</v>
      </c>
      <c r="J39" s="2" t="s">
        <v>151</v>
      </c>
      <c r="K39" s="1" t="b">
        <v>1</v>
      </c>
      <c r="L39" s="2" t="s">
        <v>125</v>
      </c>
      <c r="M39" s="2" t="str">
        <f t="shared" si="4"/>
        <v>EVQLLESGGGLVQPGGSLRLSCAASGFNVSYSSIHWVRQAPGKGLEWVASISPYYGSTSYADSVKGRFTISADTSKNTAYLQMNSLRAEDTAVYYCARSYYWYWSGWGTLVTVSSGGGSGGGSGGGSGGGSDIQMTQSPSSLSASVGDRVTITCRASQSVSSAVAWYQQKPGKAPKLLIYSASSLYSGVPSRFSGSRSGTDFTLTISSLQPEDFATYYCQQSYGSPPTFGQGTKVEIK</v>
      </c>
      <c r="N39" s="4">
        <f t="shared" si="5"/>
        <v>238</v>
      </c>
      <c r="O39" s="1" t="b">
        <f t="shared" si="6"/>
        <v>1</v>
      </c>
      <c r="P39" s="1" t="b">
        <v>0</v>
      </c>
      <c r="Q39" s="1" t="b">
        <f>TRUE()</f>
        <v>1</v>
      </c>
      <c r="R39" s="4">
        <v>0</v>
      </c>
      <c r="S39" s="4">
        <v>5.0790000000000002E-3</v>
      </c>
      <c r="T39" s="4">
        <v>1.6670999999999998E-2</v>
      </c>
      <c r="U39" s="4">
        <v>0.10281999999999999</v>
      </c>
      <c r="V39" s="10">
        <v>45971</v>
      </c>
      <c r="W39" s="2" t="s">
        <v>240</v>
      </c>
      <c r="X39" s="4">
        <v>5.0480000000000004E-3</v>
      </c>
      <c r="Y39" s="1" t="b">
        <v>0</v>
      </c>
    </row>
    <row r="40" spans="1:25" ht="64" x14ac:dyDescent="0.2">
      <c r="A40" s="1" t="s">
        <v>183</v>
      </c>
      <c r="B40" s="1" t="s">
        <v>18</v>
      </c>
      <c r="C40" s="2" t="s">
        <v>34</v>
      </c>
      <c r="D40" s="4">
        <v>0.7</v>
      </c>
      <c r="E40" s="1" t="s">
        <v>42</v>
      </c>
      <c r="G40" s="1" t="s">
        <v>4</v>
      </c>
      <c r="I40" s="2" t="s">
        <v>152</v>
      </c>
      <c r="J40" s="2" t="s">
        <v>153</v>
      </c>
      <c r="K40" s="1" t="b">
        <v>1</v>
      </c>
      <c r="L40" s="2" t="s">
        <v>125</v>
      </c>
      <c r="M40" s="2" t="str">
        <f t="shared" si="4"/>
        <v>QVQLQESGPGLVKPSQTLSLTCTVSGGSISSGHYAWWIRQPPGKGLEWIACIYSSSGSTYYNPSLKSRITISVDTSKNQFSLKLSSVTAADTAVYYCARRQRGYDYDYYYGMDVWGQGTTVTVSSGGGSGGGSGGGSGGGSDIQLTQSPSSLSASVGDRVTITCRASQGISRNLAWYQQKPGKAPKLLIYAASSLQSGVPSRFSGSGSGTDFTLTISSLQPEDFATYYCQQSNNWPITFGQGTKVEIK</v>
      </c>
      <c r="N40" s="4">
        <f t="shared" si="5"/>
        <v>248</v>
      </c>
      <c r="O40" s="1" t="b">
        <f t="shared" si="6"/>
        <v>1</v>
      </c>
      <c r="P40" s="1" t="b">
        <v>0</v>
      </c>
      <c r="Q40" s="1" t="b">
        <f>TRUE()</f>
        <v>1</v>
      </c>
      <c r="R40" s="4">
        <v>5.6490000000000004E-3</v>
      </c>
      <c r="S40" s="4">
        <v>1.4251E-2</v>
      </c>
      <c r="T40" s="4">
        <v>0.10602200000000001</v>
      </c>
      <c r="U40" s="4">
        <v>0.13172300000000001</v>
      </c>
      <c r="V40" s="10">
        <v>45971</v>
      </c>
      <c r="W40" s="2" t="s">
        <v>242</v>
      </c>
      <c r="X40" s="4">
        <v>0.11568299999999999</v>
      </c>
      <c r="Y40" s="1" t="b">
        <v>1</v>
      </c>
    </row>
    <row r="41" spans="1:25" ht="64" x14ac:dyDescent="0.2">
      <c r="A41" s="1" t="s">
        <v>184</v>
      </c>
      <c r="B41" s="1" t="s">
        <v>18</v>
      </c>
      <c r="C41" s="2" t="s">
        <v>34</v>
      </c>
      <c r="D41" s="4">
        <v>0.7</v>
      </c>
      <c r="E41" s="1" t="s">
        <v>42</v>
      </c>
      <c r="G41" s="1" t="s">
        <v>4</v>
      </c>
      <c r="I41" s="2" t="s">
        <v>154</v>
      </c>
      <c r="J41" s="2" t="s">
        <v>155</v>
      </c>
      <c r="K41" s="1" t="b">
        <v>1</v>
      </c>
      <c r="L41" s="2" t="s">
        <v>125</v>
      </c>
      <c r="M41" s="2" t="str">
        <f t="shared" si="4"/>
        <v>EVQLVESGGGLVQPGGSLRLSCAASGFNIYYSSIHWVRQAPGKGLEWVASIYSYYSSTSYADSVKGRFTISADTSKNTAYLQMNSLRAEDTAVYYCARVYGYLSYSYFYWGLDVWGQGTLVTVSGGGSGGGSGGGSGGGSDIQMTQSPSSLSASVGDRVTITCRASQSVSSAVAWYQQKPGKAPKLLIYSASSLYSGVPSRFSGSRSGTDFTLTISSLQPEDFATYYCQQYKYVPVTFGQGTKVEI</v>
      </c>
      <c r="N41" s="4">
        <f t="shared" si="5"/>
        <v>246</v>
      </c>
      <c r="O41" s="1" t="b">
        <f t="shared" si="6"/>
        <v>1</v>
      </c>
      <c r="P41" s="1" t="b">
        <v>0</v>
      </c>
      <c r="Q41" s="1" t="b">
        <f>TRUE()</f>
        <v>1</v>
      </c>
      <c r="R41" s="4">
        <v>0</v>
      </c>
      <c r="S41" s="4">
        <v>5.3359999999999996E-3</v>
      </c>
      <c r="T41" s="4">
        <v>0</v>
      </c>
      <c r="U41" s="4">
        <v>5.7039999999999999E-3</v>
      </c>
      <c r="V41" s="10">
        <v>45972</v>
      </c>
      <c r="W41" s="2" t="s">
        <v>246</v>
      </c>
      <c r="X41" s="4">
        <v>0.152167</v>
      </c>
      <c r="Y41" s="1" t="b">
        <v>1</v>
      </c>
    </row>
    <row r="42" spans="1:25" ht="64" x14ac:dyDescent="0.2">
      <c r="A42" s="1" t="s">
        <v>185</v>
      </c>
      <c r="B42" s="1" t="s">
        <v>18</v>
      </c>
      <c r="C42" s="2" t="s">
        <v>34</v>
      </c>
      <c r="D42" s="4">
        <v>0.7</v>
      </c>
      <c r="E42" s="1" t="s">
        <v>42</v>
      </c>
      <c r="G42" s="1" t="s">
        <v>4</v>
      </c>
      <c r="I42" s="2" t="s">
        <v>156</v>
      </c>
      <c r="J42" s="2" t="s">
        <v>157</v>
      </c>
      <c r="K42" s="1" t="b">
        <v>1</v>
      </c>
      <c r="L42" s="2" t="s">
        <v>125</v>
      </c>
      <c r="M42" s="2" t="str">
        <f t="shared" si="4"/>
        <v>EVQLQQSGAELVKPGASVKLSCTASGFNIKDTYVHWVKQRPEQGLEWIGRIDPANGYTKYDPKFQGKATITADTSSNTAYLQLSSLTSEDTAVYYCVRPLYDYYAMDYWGQGTTLTVSSGGGSGGGSGGGSGGGSDIVMTQSPSSLAMSAGRVSITCRTSQSISSYLNWVQQKPGKSPKLLIYWASTRESGVPDRFTGSGSGTDFTLTISRVEAEDLGVYYCMQGTHVPYTFGGGTKLEIK</v>
      </c>
      <c r="N42" s="4">
        <f t="shared" si="5"/>
        <v>241</v>
      </c>
      <c r="O42" s="1" t="b">
        <f t="shared" si="6"/>
        <v>1</v>
      </c>
      <c r="P42" s="1" t="b">
        <v>0</v>
      </c>
      <c r="Q42" s="1" t="b">
        <f>TRUE()</f>
        <v>1</v>
      </c>
      <c r="R42" s="4">
        <v>0</v>
      </c>
      <c r="S42" s="4">
        <v>0</v>
      </c>
      <c r="T42" s="4">
        <v>5.5859999999999998E-3</v>
      </c>
      <c r="U42" s="4">
        <v>5.9671000000000002E-2</v>
      </c>
      <c r="V42" s="10">
        <v>45972</v>
      </c>
      <c r="W42" s="2" t="s">
        <v>248</v>
      </c>
      <c r="X42" s="4">
        <v>0.28608699999999998</v>
      </c>
      <c r="Y42" s="1" t="b">
        <v>0</v>
      </c>
    </row>
    <row r="43" spans="1:25" ht="64" x14ac:dyDescent="0.2">
      <c r="A43" s="1" t="s">
        <v>186</v>
      </c>
      <c r="B43" s="1" t="s">
        <v>18</v>
      </c>
      <c r="C43" s="2" t="s">
        <v>34</v>
      </c>
      <c r="D43" s="4">
        <v>0.7</v>
      </c>
      <c r="E43" s="1" t="s">
        <v>42</v>
      </c>
      <c r="G43" s="1" t="s">
        <v>4</v>
      </c>
      <c r="I43" s="2" t="s">
        <v>158</v>
      </c>
      <c r="J43" s="2" t="s">
        <v>159</v>
      </c>
      <c r="K43" s="1" t="b">
        <v>1</v>
      </c>
      <c r="L43" s="2" t="s">
        <v>125</v>
      </c>
      <c r="M43" s="2" t="str">
        <f t="shared" si="4"/>
        <v>EVQLVESGGGLVKPGGSLRLSCAASGFTFSSYAMHWVRQAPGKGLEWVSAISGGGGSTYYADSVKGRFTISRDNSKNTLYLQMRAEDTAVYYCAKDDADWGQGTLVTVSSGGGSGGGSGGGSGGGSDIQMTQSPSSLSASVGDRVTITCRASQSVSSAVAWYQQKPGKAPKLLIYSASSLYSGVPSRFSGSRSGTDFTLTISSLQPEDFATYYCQQYKYVPFTFGQGTKVEIK</v>
      </c>
      <c r="N43" s="4">
        <f t="shared" si="5"/>
        <v>233</v>
      </c>
      <c r="O43" s="1" t="b">
        <f t="shared" si="6"/>
        <v>1</v>
      </c>
      <c r="P43" s="1" t="b">
        <v>0</v>
      </c>
      <c r="Q43" s="1" t="b">
        <f>TRUE()</f>
        <v>1</v>
      </c>
      <c r="R43" s="4">
        <v>0</v>
      </c>
      <c r="S43" s="4">
        <v>0</v>
      </c>
      <c r="T43" s="4">
        <v>5.4609999999999997E-3</v>
      </c>
      <c r="U43" s="4">
        <v>6.6970000000000002E-2</v>
      </c>
      <c r="V43" s="10">
        <v>45972</v>
      </c>
      <c r="W43" s="2" t="s">
        <v>247</v>
      </c>
      <c r="X43" s="4">
        <v>0.35572100000000001</v>
      </c>
      <c r="Y43" s="1" t="b">
        <v>0</v>
      </c>
    </row>
    <row r="44" spans="1:25" ht="64" x14ac:dyDescent="0.2">
      <c r="A44" s="1" t="s">
        <v>187</v>
      </c>
      <c r="B44" s="1" t="s">
        <v>18</v>
      </c>
      <c r="C44" s="2" t="s">
        <v>34</v>
      </c>
      <c r="D44" s="4">
        <v>0.7</v>
      </c>
      <c r="E44" s="1" t="s">
        <v>42</v>
      </c>
      <c r="G44" s="1" t="s">
        <v>4</v>
      </c>
      <c r="I44" s="2" t="s">
        <v>160</v>
      </c>
      <c r="J44" s="2" t="s">
        <v>161</v>
      </c>
      <c r="K44" s="1" t="b">
        <v>1</v>
      </c>
      <c r="L44" s="2" t="s">
        <v>125</v>
      </c>
      <c r="M44" s="2" t="str">
        <f t="shared" si="4"/>
        <v>QVQLQESGPGLVKPSQTLSLTCTVSGGSISSGSYYWIRQSPGKGLEWIGYIYYSGSTNYNPSLKSRVTISVDTSKNQFSLKLSSVTAADTAVYYCARHRYYDRGQGTLVTVSSGGGSGGGSGGGSGGGSDIQMTQSPASLSASVGETVTITCRASENIYSNLAWYQQKQGKSPQLLVYAATDLADGVPSRFSGSGSGTQFSLKINSLQPEDFGSYYCQHFWDTPWTFGQGTRVE</v>
      </c>
      <c r="N44" s="4">
        <f t="shared" si="5"/>
        <v>234</v>
      </c>
      <c r="O44" s="1" t="b">
        <f t="shared" si="6"/>
        <v>1</v>
      </c>
      <c r="P44" s="1" t="b">
        <v>0</v>
      </c>
      <c r="Q44" s="1" t="b">
        <f>TRUE()</f>
        <v>1</v>
      </c>
      <c r="R44" s="4">
        <v>0</v>
      </c>
      <c r="S44" s="4">
        <v>5.7590000000000002E-3</v>
      </c>
      <c r="T44" s="4">
        <v>0</v>
      </c>
      <c r="U44" s="4">
        <v>2.9451000000000001E-2</v>
      </c>
      <c r="V44" s="10">
        <v>45972</v>
      </c>
      <c r="W44" s="2" t="s">
        <v>250</v>
      </c>
      <c r="X44" s="4">
        <v>0.29531000000000002</v>
      </c>
      <c r="Y44" s="1" t="b">
        <v>0</v>
      </c>
    </row>
    <row r="45" spans="1:25" ht="64" x14ac:dyDescent="0.2">
      <c r="A45" s="1" t="s">
        <v>188</v>
      </c>
      <c r="B45" s="1" t="s">
        <v>18</v>
      </c>
      <c r="C45" s="2" t="s">
        <v>34</v>
      </c>
      <c r="D45" s="4">
        <v>0.7</v>
      </c>
      <c r="E45" s="1" t="s">
        <v>42</v>
      </c>
      <c r="G45" s="1" t="s">
        <v>4</v>
      </c>
      <c r="I45" s="2" t="s">
        <v>162</v>
      </c>
      <c r="J45" s="2" t="s">
        <v>163</v>
      </c>
      <c r="K45" s="1" t="b">
        <v>1</v>
      </c>
      <c r="L45" s="2" t="s">
        <v>125</v>
      </c>
      <c r="M45" s="2" t="str">
        <f t="shared" si="4"/>
        <v>EVQLVESGGGLVQPGGSLRLSCAASGFNLYSSSIHWVRQAPGKGLEWVAYISSSGTHYADSVKGRFTISADTSKNTAYLQMRAEDTAVYYCARVGHYYSSGGYYYAMDYWGQGTLVTVSSGGGSGGGSGGGSGGGSDIQMTQSPSSLSASVGDRVTITCRASQSVSSAVAWYQQKPGKAPKLLIYSASSLYSGVPSRFSGSRSGTDFTLTISSLQPEDFATYYCQQYSSYWTFGQGTKVEIK</v>
      </c>
      <c r="N45" s="4">
        <f t="shared" si="5"/>
        <v>242</v>
      </c>
      <c r="O45" s="1" t="b">
        <f t="shared" si="6"/>
        <v>1</v>
      </c>
      <c r="P45" s="1" t="b">
        <v>0</v>
      </c>
      <c r="Q45" s="1" t="b">
        <f>TRUE()</f>
        <v>1</v>
      </c>
      <c r="R45" s="4">
        <v>0</v>
      </c>
      <c r="S45" s="4">
        <v>5.1970000000000002E-3</v>
      </c>
      <c r="T45" s="4">
        <v>4.9959999999999996E-3</v>
      </c>
      <c r="U45" s="4">
        <v>4.6261999999999998E-2</v>
      </c>
      <c r="V45" s="10">
        <v>45972</v>
      </c>
      <c r="W45" s="2" t="s">
        <v>249</v>
      </c>
      <c r="X45" s="4">
        <v>0.27838000000000002</v>
      </c>
      <c r="Y45" s="1" t="b">
        <v>1</v>
      </c>
    </row>
    <row r="46" spans="1:25" ht="64" x14ac:dyDescent="0.2">
      <c r="A46" s="1" t="s">
        <v>189</v>
      </c>
      <c r="B46" s="1" t="s">
        <v>18</v>
      </c>
      <c r="C46" s="2" t="s">
        <v>34</v>
      </c>
      <c r="D46" s="4">
        <v>0.7</v>
      </c>
      <c r="E46" s="1" t="s">
        <v>42</v>
      </c>
      <c r="G46" s="1" t="s">
        <v>4</v>
      </c>
      <c r="I46" s="2" t="s">
        <v>164</v>
      </c>
      <c r="J46" s="2" t="s">
        <v>165</v>
      </c>
      <c r="K46" s="1" t="b">
        <v>1</v>
      </c>
      <c r="L46" s="2" t="s">
        <v>126</v>
      </c>
      <c r="M46" s="2" t="str">
        <f t="shared" si="4"/>
        <v>EVQLVESGGGLVQPGGSLRLSCAASGFNVVDSGISWVRQAPGKGLEWVSYISSSSGSTYYADSVKGRFTISADTSKNTAYLQMNSLRAEDTAVYYCARAHYYGSYFGSVVYYYGLDVWGQGTLVTVSSGGGSGGGSGGGSDIQMTQSPSSLSASVGDRVTITCRASQSVSSAVAWYQQKPGKAPKLLIYSASSLYSGVPSRFSGSRSGTDFTLTISSLQPEDFATYYCQQYDTYPITFGQGTKVEIK</v>
      </c>
      <c r="N46" s="4">
        <f t="shared" si="5"/>
        <v>247</v>
      </c>
      <c r="O46" s="1" t="b">
        <f t="shared" si="6"/>
        <v>1</v>
      </c>
      <c r="P46" s="1" t="b">
        <v>0</v>
      </c>
      <c r="Q46" s="1" t="b">
        <f>TRUE()</f>
        <v>1</v>
      </c>
      <c r="R46" s="4">
        <v>5.5849999999999997E-3</v>
      </c>
      <c r="S46" s="4">
        <v>5.5849999999999997E-3</v>
      </c>
      <c r="T46" s="4">
        <v>0.316245</v>
      </c>
      <c r="U46" s="4">
        <v>0.44687100000000002</v>
      </c>
      <c r="V46" s="10">
        <v>45972</v>
      </c>
      <c r="W46" s="2" t="s">
        <v>189</v>
      </c>
      <c r="X46" s="4">
        <v>0.35131800000000002</v>
      </c>
      <c r="Y46" s="1" t="b">
        <v>0</v>
      </c>
    </row>
    <row r="47" spans="1:25" ht="64" x14ac:dyDescent="0.2">
      <c r="A47" s="1" t="s">
        <v>190</v>
      </c>
      <c r="B47" s="1" t="s">
        <v>18</v>
      </c>
      <c r="C47" s="2" t="s">
        <v>34</v>
      </c>
      <c r="D47" s="4">
        <v>0.7</v>
      </c>
      <c r="E47" s="1" t="s">
        <v>42</v>
      </c>
      <c r="G47" s="1" t="s">
        <v>4</v>
      </c>
      <c r="I47" s="2" t="s">
        <v>166</v>
      </c>
      <c r="J47" s="2" t="s">
        <v>167</v>
      </c>
      <c r="K47" s="1" t="b">
        <v>1</v>
      </c>
      <c r="L47" s="2" t="s">
        <v>125</v>
      </c>
      <c r="M47" s="2" t="str">
        <f t="shared" si="4"/>
        <v>EVQLVESGGGLVQPGGSLRLSCAASGFNVYSSSIHWVRQAPGKGLEWVASISSYYGYTYYADSVKGRFTISADTSKNTAYLQMNSLRAEDTAVYYCARSYSTYYYGYWYFDVWGQGTLVTVSSGGGSGGGSGGGSGGGSDIQMTQSPSSLSAAVGDRVTITCRASQSVSSAVAWYQQKPGKAPKLLIYSASSLYSGVPSRFSGSRSGTDFTLTISSLQPEDFATYYCQQYNYYWLITFGQGTKVEIK</v>
      </c>
      <c r="N47" s="4">
        <f t="shared" si="5"/>
        <v>247</v>
      </c>
      <c r="O47" s="1" t="b">
        <f t="shared" si="6"/>
        <v>1</v>
      </c>
      <c r="P47" s="1" t="b">
        <v>0</v>
      </c>
      <c r="Q47" s="1" t="b">
        <f>TRUE()</f>
        <v>1</v>
      </c>
      <c r="R47" s="4">
        <v>0</v>
      </c>
      <c r="S47" s="4">
        <v>1.9698E-2</v>
      </c>
      <c r="T47" s="4">
        <v>0</v>
      </c>
      <c r="U47" s="4">
        <v>6.1840000000000003E-3</v>
      </c>
      <c r="V47" s="10">
        <v>45972</v>
      </c>
      <c r="W47" s="2" t="s">
        <v>253</v>
      </c>
      <c r="X47" s="4">
        <v>7.9927999999999999E-2</v>
      </c>
      <c r="Y47" s="1" t="b">
        <v>0</v>
      </c>
    </row>
    <row r="48" spans="1:25" ht="64" x14ac:dyDescent="0.2">
      <c r="A48" s="1" t="s">
        <v>191</v>
      </c>
      <c r="B48" s="1" t="s">
        <v>18</v>
      </c>
      <c r="C48" s="2" t="s">
        <v>34</v>
      </c>
      <c r="D48" s="4">
        <v>0.7</v>
      </c>
      <c r="E48" s="1" t="s">
        <v>42</v>
      </c>
      <c r="G48" s="1" t="s">
        <v>4</v>
      </c>
      <c r="I48" s="2" t="s">
        <v>168</v>
      </c>
      <c r="J48" s="2" t="s">
        <v>169</v>
      </c>
      <c r="K48" s="1" t="b">
        <v>1</v>
      </c>
      <c r="L48" s="2" t="s">
        <v>125</v>
      </c>
      <c r="M48" s="2" t="str">
        <f t="shared" si="4"/>
        <v>QVQLQQPGAELVKPGASVKLSCKASGYTFTSDWIHWVKQRPGHGLEWIGEIIPSYGRANYNEKIQKKATLTADKSSSTAFMHLSSLTSEDSAVYYCARERGDGYFAVWGAGTTVTVSSGGGSGGGSGGGSGGGSDILLTQSPAILSVSPGERVSFSCRASQSIGTDIHWYQQRTNGSPRLLIKYASESISGIPSRFSGSGSGTDFTLSINSVESEDIANYYCQQSNRWPFTFGSGTKLEIK</v>
      </c>
      <c r="N48" s="4">
        <f t="shared" si="5"/>
        <v>241</v>
      </c>
      <c r="O48" s="1" t="b">
        <f t="shared" si="6"/>
        <v>1</v>
      </c>
      <c r="P48" s="1" t="b">
        <v>0</v>
      </c>
      <c r="Q48" s="1" t="b">
        <f>TRUE()</f>
        <v>1</v>
      </c>
      <c r="R48" s="4">
        <v>0</v>
      </c>
      <c r="S48" s="4">
        <v>0</v>
      </c>
      <c r="T48" s="4">
        <v>0.14995</v>
      </c>
      <c r="U48" s="4">
        <v>0.21074100000000001</v>
      </c>
      <c r="V48" s="10">
        <v>45972</v>
      </c>
      <c r="W48" s="2" t="s">
        <v>254</v>
      </c>
      <c r="X48" s="4">
        <v>4.8339999999999998E-3</v>
      </c>
      <c r="Y48" s="1" t="b">
        <v>0</v>
      </c>
    </row>
    <row r="49" spans="1:25" ht="64" x14ac:dyDescent="0.2">
      <c r="A49" s="1" t="s">
        <v>192</v>
      </c>
      <c r="B49" s="1" t="s">
        <v>18</v>
      </c>
      <c r="C49" s="2" t="s">
        <v>34</v>
      </c>
      <c r="D49" s="4">
        <v>0.7</v>
      </c>
      <c r="E49" s="1" t="s">
        <v>42</v>
      </c>
      <c r="G49" s="1" t="s">
        <v>4</v>
      </c>
      <c r="I49" s="2" t="s">
        <v>170</v>
      </c>
      <c r="J49" s="2" t="s">
        <v>171</v>
      </c>
      <c r="K49" s="1" t="b">
        <v>1</v>
      </c>
      <c r="L49" s="2" t="s">
        <v>125</v>
      </c>
      <c r="M49" s="2" t="str">
        <f t="shared" si="4"/>
        <v>VRLLESGGGLVQPGGSLKLSCAASGFDYSRYWMSWVRQAPGKGLKWIGEINPVSSTINYTPSLKDKFIISRDNAKDTLYLQISKVRSEDTALYYCARLYYGYGYWYFDVWGAGTTVTVSSGGGSGGGSGGGSGGGSDIVLTQSPAIMSAAPGDKVTMTCSASSSVSYIHWYQQKSGTSPKRWIYDTSKLTSGVPVRFSGSGSGTSYSLTINTMEAEDAATYYCQQWSSHPQTFGGGTKLEIl</v>
      </c>
      <c r="N49" s="4">
        <f t="shared" si="5"/>
        <v>242</v>
      </c>
      <c r="O49" s="1" t="b">
        <f t="shared" si="6"/>
        <v>1</v>
      </c>
      <c r="P49" s="1" t="b">
        <v>0</v>
      </c>
      <c r="Q49" s="1" t="b">
        <f>TRUE()</f>
        <v>1</v>
      </c>
      <c r="V49" s="10">
        <v>45972</v>
      </c>
      <c r="W49" s="2" t="s">
        <v>251</v>
      </c>
      <c r="X49" s="4">
        <v>0.51755099999999998</v>
      </c>
      <c r="Y49" s="1" t="b">
        <v>1</v>
      </c>
    </row>
    <row r="50" spans="1:25" ht="64" x14ac:dyDescent="0.2">
      <c r="A50" s="1" t="s">
        <v>193</v>
      </c>
      <c r="B50" s="1" t="s">
        <v>18</v>
      </c>
      <c r="C50" s="2" t="s">
        <v>34</v>
      </c>
      <c r="D50" s="4">
        <v>0.7</v>
      </c>
      <c r="E50" s="1" t="s">
        <v>42</v>
      </c>
      <c r="G50" s="1" t="s">
        <v>4</v>
      </c>
      <c r="I50" s="2" t="s">
        <v>172</v>
      </c>
      <c r="J50" s="2" t="s">
        <v>173</v>
      </c>
      <c r="K50" s="1" t="b">
        <v>1</v>
      </c>
      <c r="L50" s="2" t="s">
        <v>125</v>
      </c>
      <c r="M50" s="2" t="str">
        <f t="shared" si="4"/>
        <v>QVQLQESGPGLVQPSQSLSLTCTVSGFSLTSYGVHWVRQSPGKGLEWLGVIWAGGSTDYNSALKSRLSISRDTSKNQVFLKMNSLQTDDTAMYYCAKHGSSNGDYWGQGTSVTVSSGGGSGGGSGGGSGGGSDIVMTQSPDSLAVSLGERATINCKSSQSVLYSSNNKNYLAWYQQKPEGQPPNLLIYWASTRESGVPDRFSGSGSGTDFTLTISSLQAEDVAVYYCQQYYSAPTFGQGTKLEIK</v>
      </c>
      <c r="N50" s="4">
        <f t="shared" si="5"/>
        <v>245</v>
      </c>
      <c r="O50" s="1" t="b">
        <f t="shared" si="6"/>
        <v>1</v>
      </c>
      <c r="P50" s="1" t="b">
        <v>0</v>
      </c>
      <c r="Q50" s="1" t="b">
        <f>TRUE()</f>
        <v>1</v>
      </c>
      <c r="R50" s="4">
        <v>0</v>
      </c>
      <c r="S50" s="4">
        <v>0</v>
      </c>
      <c r="T50" s="4">
        <v>0</v>
      </c>
      <c r="U50" s="4">
        <v>2.4691000000000001E-2</v>
      </c>
      <c r="V50" s="10">
        <v>45972</v>
      </c>
      <c r="W50" s="2" t="s">
        <v>252</v>
      </c>
      <c r="X50" s="4">
        <v>0.40934900000000002</v>
      </c>
      <c r="Y50" s="1" t="b">
        <v>1</v>
      </c>
    </row>
    <row r="51" spans="1:25" ht="64" x14ac:dyDescent="0.2">
      <c r="A51" s="1" t="s">
        <v>263</v>
      </c>
      <c r="B51" s="1" t="s">
        <v>18</v>
      </c>
      <c r="C51" s="2" t="s">
        <v>19</v>
      </c>
      <c r="D51" s="4">
        <v>0.2</v>
      </c>
      <c r="E51" s="1" t="s">
        <v>42</v>
      </c>
      <c r="G51" s="1" t="s">
        <v>258</v>
      </c>
      <c r="I51" s="2" t="s">
        <v>293</v>
      </c>
      <c r="J51" s="2" t="s">
        <v>294</v>
      </c>
      <c r="K51" s="1" t="b">
        <v>1</v>
      </c>
      <c r="L51" s="2" t="s">
        <v>125</v>
      </c>
      <c r="M51" s="2" t="str">
        <f t="shared" si="4"/>
        <v>QVQLQESGPGLVKPSETLSLTCTVSGGSVSSGGYFWSWIRQPPGKGLEWIGCIYYSGSTNYNPSLKSRVTISVDTSKNQFSLKLSSVTAADTAVYYCARVDSFYYGMDVWGQGTTVTVSSGGGSGGGSGGGSGGGSDIQMTQSPSSLSASVGDRVTITCRASQGIRNDLGWYQQKPGKAPKLLIYAASSLQSGVPSRFSGSGSGTDFTLTISSLQPEDFATYYCQQSYSTPRTFGQGTKVEIK</v>
      </c>
      <c r="N51" s="4">
        <f t="shared" si="5"/>
        <v>243</v>
      </c>
      <c r="O51" s="1" t="b">
        <f t="shared" si="6"/>
        <v>1</v>
      </c>
      <c r="P51" s="1" t="b">
        <v>0</v>
      </c>
      <c r="Q51" s="1" t="b">
        <f>TRUE()</f>
        <v>1</v>
      </c>
      <c r="R51" s="4">
        <v>0.54889900000000003</v>
      </c>
      <c r="S51" s="4">
        <v>0.65651000000000004</v>
      </c>
      <c r="T51" s="4">
        <v>0.38378699999999999</v>
      </c>
      <c r="U51" s="4">
        <v>0.49392399999999997</v>
      </c>
      <c r="V51" s="10">
        <v>45973</v>
      </c>
      <c r="W51" s="2" t="s">
        <v>345</v>
      </c>
      <c r="X51" s="4">
        <v>0.46119900000000003</v>
      </c>
      <c r="Y51" s="1" t="b">
        <v>0</v>
      </c>
    </row>
    <row r="52" spans="1:25" ht="64" x14ac:dyDescent="0.2">
      <c r="A52" s="1" t="s">
        <v>264</v>
      </c>
      <c r="B52" s="1" t="s">
        <v>18</v>
      </c>
      <c r="C52" s="2" t="s">
        <v>19</v>
      </c>
      <c r="D52" s="4">
        <v>0.2</v>
      </c>
      <c r="E52" s="1" t="s">
        <v>42</v>
      </c>
      <c r="G52" s="1" t="s">
        <v>258</v>
      </c>
      <c r="I52" s="2" t="s">
        <v>295</v>
      </c>
      <c r="J52" s="2" t="s">
        <v>296</v>
      </c>
      <c r="K52" s="1" t="b">
        <v>1</v>
      </c>
      <c r="L52" s="2" t="s">
        <v>125</v>
      </c>
      <c r="M52" s="2" t="str">
        <f t="shared" si="4"/>
        <v>EVQLVESGGGLVQPGGSLRLSCAASGFTFSSYAMSWVRQAPGKGLEWVSAISGSGGSTYYADSVKGRFTISRDNSKNTLYLQMNSLRAEDTAVYYCARQVWFGGFDYWGQGTLVTVSSGGGSGGGSGGGSGGGSDIQMTQSPSSLSASVGDRVTITCRASQSVSSAVAWYQQKPGKAPKLLIYSASSLYSGVPSRFSGSRSGTDFTLTISSLQPEDFATYYCQQYKYVPVTFGQGTKVEIK</v>
      </c>
      <c r="N52" s="4">
        <f t="shared" si="5"/>
        <v>241</v>
      </c>
      <c r="O52" s="1" t="b">
        <f t="shared" si="6"/>
        <v>1</v>
      </c>
      <c r="P52" s="1" t="b">
        <v>0</v>
      </c>
      <c r="Q52" s="1" t="b">
        <f>TRUE()</f>
        <v>1</v>
      </c>
      <c r="R52" s="4">
        <v>5.4320000000000002E-3</v>
      </c>
      <c r="S52" s="4">
        <v>2.4593E-2</v>
      </c>
      <c r="T52" s="4">
        <v>0</v>
      </c>
      <c r="U52" s="4">
        <v>1.9137000000000001E-2</v>
      </c>
      <c r="V52" s="10">
        <v>45973</v>
      </c>
      <c r="W52" s="2" t="s">
        <v>346</v>
      </c>
      <c r="X52" s="4">
        <v>0.43406800000000001</v>
      </c>
      <c r="Y52" s="1" t="b">
        <v>0</v>
      </c>
    </row>
    <row r="53" spans="1:25" ht="64" x14ac:dyDescent="0.2">
      <c r="A53" s="1" t="s">
        <v>265</v>
      </c>
      <c r="B53" s="1" t="s">
        <v>18</v>
      </c>
      <c r="C53" s="2" t="s">
        <v>19</v>
      </c>
      <c r="D53" s="4">
        <v>0.2</v>
      </c>
      <c r="E53" s="1" t="s">
        <v>42</v>
      </c>
      <c r="G53" s="1" t="s">
        <v>258</v>
      </c>
      <c r="I53" s="2" t="s">
        <v>297</v>
      </c>
      <c r="J53" s="2" t="s">
        <v>296</v>
      </c>
      <c r="K53" s="1" t="b">
        <v>1</v>
      </c>
      <c r="L53" s="2" t="s">
        <v>125</v>
      </c>
      <c r="M53" s="2" t="str">
        <f t="shared" si="4"/>
        <v>EVQLVESGGGLVQPGGSLRLSCAASGFNVSSSYIHWVRQAPGKGLEWVASISSYYGYTYYADSVKGRFTISADTSKNTAYLQMNSLRAEDTAVYYCARSRQFWYSGLDYWGQGTLVTVSSGGGSGGGSGGGSGGGSDIQMTQSPSSLSASVGDRVTITCRASQSVSSAVAWYQQKPGKAPKLLIYSASSLYSGVPSRFSGSRSGTDFTLTISSLQPEDFATYYCQQYKYVPVTFGQGTKVEIK</v>
      </c>
      <c r="N53" s="4">
        <f t="shared" si="5"/>
        <v>243</v>
      </c>
      <c r="O53" s="1" t="b">
        <f t="shared" si="6"/>
        <v>1</v>
      </c>
      <c r="P53" s="1" t="b">
        <v>0</v>
      </c>
      <c r="Q53" s="1" t="b">
        <f>TRUE()</f>
        <v>1</v>
      </c>
      <c r="R53" s="4">
        <v>0.13125000000000001</v>
      </c>
      <c r="S53" s="4">
        <v>0.22309999999999999</v>
      </c>
      <c r="T53" s="4">
        <v>0</v>
      </c>
      <c r="U53" s="4">
        <v>1.6077999999999999E-2</v>
      </c>
      <c r="V53" s="10">
        <v>45973</v>
      </c>
      <c r="W53" s="2" t="s">
        <v>347</v>
      </c>
      <c r="X53" s="4">
        <v>4.9569999999999996E-3</v>
      </c>
      <c r="Y53" s="1" t="b">
        <v>1</v>
      </c>
    </row>
    <row r="54" spans="1:25" ht="64" x14ac:dyDescent="0.2">
      <c r="A54" s="1" t="s">
        <v>266</v>
      </c>
      <c r="B54" s="1" t="s">
        <v>18</v>
      </c>
      <c r="C54" s="2" t="s">
        <v>19</v>
      </c>
      <c r="D54" s="4">
        <v>0.2</v>
      </c>
      <c r="E54" s="1" t="s">
        <v>42</v>
      </c>
      <c r="G54" s="1" t="s">
        <v>258</v>
      </c>
      <c r="I54" s="2" t="s">
        <v>298</v>
      </c>
      <c r="J54" s="2" t="s">
        <v>296</v>
      </c>
      <c r="K54" s="1" t="b">
        <v>1</v>
      </c>
      <c r="L54" s="2" t="s">
        <v>125</v>
      </c>
      <c r="M54" s="2" t="str">
        <f t="shared" si="4"/>
        <v>EVQLVESGGGLVQPGGSLRLSCAASGFNISSSSIHWVRQAPGKGLEWVASIYSYSGYTSYADSVKGRFTISADTSKNTAYLQMNSLRAEDTAVYYCARGGSSYFGYYAMDYWGQGTLVTVSSGGGSGGGSGGGSGGGSDIQMTQSPSSLSASVGDRVTITCRASQSVSSAVAWYQQKPGKAPKLLIYSASSLYSGVPSRFSGSRSGTDFTLTISSLQPEDFATYYCQQYKYVPVTFGQGTKVEIK</v>
      </c>
      <c r="N54" s="4">
        <f t="shared" si="5"/>
        <v>245</v>
      </c>
      <c r="O54" s="1" t="b">
        <f t="shared" si="6"/>
        <v>1</v>
      </c>
      <c r="P54" s="1" t="b">
        <v>0</v>
      </c>
      <c r="Q54" s="1" t="b">
        <f>TRUE()</f>
        <v>1</v>
      </c>
      <c r="R54" s="4">
        <v>0</v>
      </c>
      <c r="S54" s="4">
        <v>4.986E-3</v>
      </c>
      <c r="T54" s="4">
        <v>0</v>
      </c>
      <c r="U54" s="4">
        <v>5.6519999999999999E-3</v>
      </c>
      <c r="V54" s="10">
        <v>45974</v>
      </c>
      <c r="W54" s="2" t="s">
        <v>372</v>
      </c>
      <c r="X54" s="4">
        <v>0.63002499999999995</v>
      </c>
      <c r="Y54" s="1" t="b">
        <v>0</v>
      </c>
    </row>
    <row r="55" spans="1:25" ht="64" x14ac:dyDescent="0.2">
      <c r="A55" s="1" t="s">
        <v>267</v>
      </c>
      <c r="B55" s="1" t="s">
        <v>18</v>
      </c>
      <c r="C55" s="2" t="s">
        <v>19</v>
      </c>
      <c r="D55" s="4">
        <v>0.2</v>
      </c>
      <c r="E55" s="1" t="s">
        <v>42</v>
      </c>
      <c r="G55" s="1" t="s">
        <v>258</v>
      </c>
      <c r="I55" s="2" t="s">
        <v>299</v>
      </c>
      <c r="J55" s="2" t="s">
        <v>300</v>
      </c>
      <c r="K55" s="1" t="b">
        <v>1</v>
      </c>
      <c r="L55" s="2" t="s">
        <v>125</v>
      </c>
      <c r="M55" s="2" t="str">
        <f t="shared" si="4"/>
        <v>QVQLVQSGAEVKKPGSSVKVSCKASGGTFSSYSISWVRQAPGQGLEWMGGIIIFGTANYAQKFQGRVTITADESTSTAYMELSSLRSEDTAVYYCARGQGTLVDFYWGQGTLVTVSSGGGSGGGSGGGSGGGSDIQMTQSPSSLSASVGDRVTITCRASQSISSYLNWYQQKPGKAPKLLIYAASSLQSGVPSRFSGSGSGTDFTLTISSLQPEDFATYYCQQSYSTPRTFGQGTKVEIK</v>
      </c>
      <c r="N55" s="4">
        <f t="shared" si="5"/>
        <v>240</v>
      </c>
      <c r="O55" s="1" t="b">
        <f t="shared" si="6"/>
        <v>1</v>
      </c>
      <c r="P55" s="1" t="b">
        <v>0</v>
      </c>
      <c r="Q55" s="1" t="b">
        <f>TRUE()</f>
        <v>1</v>
      </c>
      <c r="R55" s="4">
        <v>5.679E-3</v>
      </c>
      <c r="S55" s="4">
        <v>5.7196999999999998E-2</v>
      </c>
      <c r="T55" s="4">
        <v>0</v>
      </c>
      <c r="U55" s="4">
        <v>5.5129999999999997E-3</v>
      </c>
      <c r="V55" s="10">
        <v>45974</v>
      </c>
      <c r="W55" s="11" t="s">
        <v>381</v>
      </c>
      <c r="Y55" s="1" t="b">
        <v>0</v>
      </c>
    </row>
    <row r="56" spans="1:25" ht="64" x14ac:dyDescent="0.2">
      <c r="A56" s="1" t="s">
        <v>268</v>
      </c>
      <c r="B56" s="1" t="s">
        <v>18</v>
      </c>
      <c r="C56" s="2" t="s">
        <v>19</v>
      </c>
      <c r="D56" s="4">
        <v>0.2</v>
      </c>
      <c r="E56" s="1" t="s">
        <v>42</v>
      </c>
      <c r="G56" s="1" t="s">
        <v>258</v>
      </c>
      <c r="I56" s="2" t="s">
        <v>301</v>
      </c>
      <c r="J56" s="2" t="s">
        <v>296</v>
      </c>
      <c r="K56" s="1" t="b">
        <v>1</v>
      </c>
      <c r="L56" s="2" t="s">
        <v>125</v>
      </c>
      <c r="M56" s="2" t="str">
        <f t="shared" si="4"/>
        <v>EVQLVESGGGLVQPGGSLRLSCAASGFNVSYYSIHWVRQAPGKGLEWVASIYPYSGYTNYADSVKGRFTISADTSKNTAYLQMNSLRAEDTAVYYCARYYGYGYWGYAMDYWGQGTLVTVSSGGGSGGGSGGGSGGGSDIQMTQSPSSLSASVGDRVTITCRASQSVSSAVAWYQQKPGKAPKLLIYSASSLYSGVPSRFSGSRSGTDFTLTISSLQPEDFATYYCQQYKYVPVTFGQGTKVEIK</v>
      </c>
      <c r="N56" s="4">
        <f t="shared" si="5"/>
        <v>245</v>
      </c>
      <c r="O56" s="1" t="b">
        <f t="shared" si="6"/>
        <v>1</v>
      </c>
      <c r="P56" s="1" t="b">
        <v>0</v>
      </c>
      <c r="Q56" s="1" t="b">
        <f>TRUE()</f>
        <v>1</v>
      </c>
      <c r="R56" s="4">
        <v>0</v>
      </c>
      <c r="S56" s="4">
        <v>5.3839999999999999E-3</v>
      </c>
      <c r="T56" s="4">
        <v>0.63849</v>
      </c>
      <c r="U56" s="4">
        <v>0.67738500000000001</v>
      </c>
      <c r="V56" s="10">
        <v>45974</v>
      </c>
      <c r="W56" s="2" t="s">
        <v>373</v>
      </c>
      <c r="X56" s="4">
        <v>0.33044200000000001</v>
      </c>
      <c r="Y56" s="1" t="b">
        <v>0</v>
      </c>
    </row>
    <row r="57" spans="1:25" ht="64" x14ac:dyDescent="0.2">
      <c r="A57" s="1" t="s">
        <v>269</v>
      </c>
      <c r="B57" s="1" t="s">
        <v>18</v>
      </c>
      <c r="C57" s="2" t="s">
        <v>19</v>
      </c>
      <c r="D57" s="4">
        <v>0.2</v>
      </c>
      <c r="E57" s="1" t="s">
        <v>42</v>
      </c>
      <c r="G57" s="1" t="s">
        <v>258</v>
      </c>
      <c r="I57" s="2" t="s">
        <v>302</v>
      </c>
      <c r="J57" s="2" t="s">
        <v>296</v>
      </c>
      <c r="K57" s="1" t="b">
        <v>1</v>
      </c>
      <c r="L57" s="2" t="s">
        <v>125</v>
      </c>
      <c r="M57" s="2" t="str">
        <f t="shared" si="4"/>
        <v>EVQLVESGGGLVQPGGSLRLSCAASGFTFSSYAMSWVRQAPGKGLEWVSAISGSGGSTYYADSVKGRFTISRDNSKNTLYLQMNSLRAEDTAVYYCARGYQVYFDYWGQGTLVTVSSGGGSGGGSGGGSGGGSDIQMTQSPSSLSASVGDRVTITCRASQSVSSAVAWYQQKPGKAPKLLIYSASSLYSGVPSRFSGSRSGTDFTLTISSLQPEDFATYYCQQYKYVPVTFGQGTKVEIK</v>
      </c>
      <c r="N57" s="4">
        <f t="shared" si="5"/>
        <v>240</v>
      </c>
      <c r="O57" s="1" t="b">
        <f t="shared" si="6"/>
        <v>1</v>
      </c>
      <c r="P57" s="1" t="b">
        <v>0</v>
      </c>
      <c r="Q57" s="1" t="b">
        <f>TRUE()</f>
        <v>1</v>
      </c>
      <c r="R57" s="4">
        <v>0</v>
      </c>
      <c r="S57" s="4">
        <v>0</v>
      </c>
      <c r="T57" s="4">
        <v>3.9883000000000002E-2</v>
      </c>
      <c r="U57" s="4">
        <v>0.11426699999999999</v>
      </c>
      <c r="V57" s="10">
        <v>45976</v>
      </c>
      <c r="W57" s="11" t="s">
        <v>381</v>
      </c>
      <c r="Y57" s="1" t="b">
        <v>0</v>
      </c>
    </row>
    <row r="58" spans="1:25" ht="64" x14ac:dyDescent="0.2">
      <c r="A58" s="1" t="s">
        <v>270</v>
      </c>
      <c r="B58" s="1" t="s">
        <v>18</v>
      </c>
      <c r="C58" s="2" t="s">
        <v>19</v>
      </c>
      <c r="D58" s="4">
        <v>0.2</v>
      </c>
      <c r="E58" s="1" t="s">
        <v>42</v>
      </c>
      <c r="G58" s="1" t="s">
        <v>258</v>
      </c>
      <c r="I58" s="2" t="s">
        <v>303</v>
      </c>
      <c r="J58" s="2" t="s">
        <v>304</v>
      </c>
      <c r="K58" s="1" t="b">
        <v>1</v>
      </c>
      <c r="L58" s="2" t="s">
        <v>125</v>
      </c>
      <c r="M58" s="2" t="str">
        <f t="shared" si="4"/>
        <v>EVQLVESGGGLVQPGGSLRLSCAASGFNVSSSYIHWVRQAPGKGLEWVASISSYYGSTYYADSVKGRFTISADTSKNTAYLQMNSLRAEDTAVYYCARGWSYSWSYSWSYSGLDVWGQGTTVTVSSGGGSGGGSGGGSGGGSDIQMTQSPSSLSASVGDRVTITCRASQSVSSAVAWYQQKPGKAPKLLIYSASSLYSGVPSRFSGSRSGTDFTLTISSLQPEDFATYYCQQSSSSLITFGQGTKVEIK</v>
      </c>
      <c r="N58" s="4">
        <f t="shared" si="5"/>
        <v>249</v>
      </c>
      <c r="O58" s="1" t="b">
        <f t="shared" si="6"/>
        <v>1</v>
      </c>
      <c r="P58" s="1" t="b">
        <v>0</v>
      </c>
      <c r="Q58" s="1" t="b">
        <f>TRUE()</f>
        <v>1</v>
      </c>
      <c r="R58" s="4">
        <v>6.9049999999999997E-3</v>
      </c>
      <c r="S58" s="4">
        <v>7.6717999999999995E-2</v>
      </c>
      <c r="T58" s="4">
        <v>0.26429200000000003</v>
      </c>
      <c r="U58" s="4">
        <v>0.37001499999999998</v>
      </c>
      <c r="V58" s="10">
        <v>45976</v>
      </c>
      <c r="W58" s="2" t="s">
        <v>474</v>
      </c>
      <c r="X58" s="4">
        <v>0.49204199999999998</v>
      </c>
      <c r="Y58" s="1" t="b">
        <v>1</v>
      </c>
    </row>
    <row r="59" spans="1:25" ht="64" x14ac:dyDescent="0.2">
      <c r="A59" s="1" t="s">
        <v>271</v>
      </c>
      <c r="B59" s="1" t="s">
        <v>18</v>
      </c>
      <c r="C59" s="2" t="s">
        <v>19</v>
      </c>
      <c r="D59" s="4">
        <v>0.2</v>
      </c>
      <c r="E59" s="1" t="s">
        <v>42</v>
      </c>
      <c r="G59" s="1" t="s">
        <v>258</v>
      </c>
      <c r="I59" s="2" t="s">
        <v>305</v>
      </c>
      <c r="J59" s="2" t="s">
        <v>296</v>
      </c>
      <c r="K59" s="1" t="b">
        <v>1</v>
      </c>
      <c r="L59" s="2" t="s">
        <v>125</v>
      </c>
      <c r="M59" s="2" t="str">
        <f t="shared" si="4"/>
        <v>EVQLVESGGGLVQPGGSLRLSCAASGFNISSSSIHWVRQAPGKGLEWVASIYSYSGYTSYADSVKGRFTISADTSKNTAYLQMNSLRAEDTAVYYCARGWYYGSSYWGQGTLVTVSSGGGSGGGSGGGSGGGSDIQMTQSPSSLSASVGDRVTITCRASQSVSSAVAWYQQKPGKAPKLLIYSASSLYSGVPSRFSGSRSGTDFTLTISSLQPEDFATYYCQQYKYVPVTFGQGTKVEIK</v>
      </c>
      <c r="N59" s="4">
        <f t="shared" si="5"/>
        <v>240</v>
      </c>
      <c r="O59" s="1" t="b">
        <f t="shared" si="6"/>
        <v>1</v>
      </c>
      <c r="P59" s="1" t="b">
        <v>0</v>
      </c>
      <c r="Q59" s="1" t="b">
        <f>TRUE()</f>
        <v>1</v>
      </c>
      <c r="R59" s="4">
        <v>0.16498099999999999</v>
      </c>
      <c r="S59" s="4">
        <v>0.26647999999999999</v>
      </c>
      <c r="T59" s="4">
        <v>0</v>
      </c>
      <c r="U59" s="4">
        <v>7.3150000000000003E-3</v>
      </c>
      <c r="V59" s="10"/>
      <c r="W59" s="11" t="s">
        <v>381</v>
      </c>
      <c r="Y59" s="1" t="b">
        <v>0</v>
      </c>
    </row>
    <row r="60" spans="1:25" ht="64" x14ac:dyDescent="0.2">
      <c r="A60" s="1" t="s">
        <v>272</v>
      </c>
      <c r="B60" s="1" t="s">
        <v>18</v>
      </c>
      <c r="C60" s="2" t="s">
        <v>19</v>
      </c>
      <c r="D60" s="4">
        <v>0.2</v>
      </c>
      <c r="E60" s="1" t="s">
        <v>42</v>
      </c>
      <c r="G60" s="1" t="s">
        <v>258</v>
      </c>
      <c r="I60" s="2" t="s">
        <v>306</v>
      </c>
      <c r="J60" s="2" t="s">
        <v>296</v>
      </c>
      <c r="K60" s="1" t="b">
        <v>1</v>
      </c>
      <c r="L60" s="2" t="s">
        <v>125</v>
      </c>
      <c r="M60" s="2" t="str">
        <f t="shared" si="4"/>
        <v>EVQLVESGGGLVQPGGSLRLSCAASGFNVSSSYIHWVRQAPGKGLEWVASISSYYGYTYYADSVKGRFTISADTSKNTAYLQMNSLRAEDTAVYYCARYYGTYYGSSYWGQGTLVTVSSGGGSGGGSGGGSGGGSDIQMTQSPSSLSASVGDRVTITCRASQSVSSAVAWYQQKPGKAPKLLIYSASSLYSGVPSRFSGSRSGTDFTLTISSLQPEDFATYYCQQYKYVPVTFGQGTKVEIK</v>
      </c>
      <c r="N60" s="4">
        <f t="shared" si="5"/>
        <v>242</v>
      </c>
      <c r="O60" s="1" t="b">
        <f t="shared" si="6"/>
        <v>1</v>
      </c>
      <c r="P60" s="1" t="b">
        <v>0</v>
      </c>
      <c r="Q60" s="1" t="b">
        <f>TRUE()</f>
        <v>1</v>
      </c>
      <c r="R60" s="4">
        <v>0</v>
      </c>
      <c r="S60" s="4">
        <v>1.0189999999999999E-2</v>
      </c>
      <c r="T60" s="4">
        <v>0.15906799999999999</v>
      </c>
      <c r="U60" s="4">
        <v>0.268154</v>
      </c>
      <c r="V60" s="10"/>
      <c r="W60" s="11" t="s">
        <v>381</v>
      </c>
      <c r="Y60" s="1" t="b">
        <v>1</v>
      </c>
    </row>
    <row r="61" spans="1:25" ht="64" x14ac:dyDescent="0.2">
      <c r="A61" s="1" t="s">
        <v>273</v>
      </c>
      <c r="B61" s="1" t="s">
        <v>18</v>
      </c>
      <c r="C61" s="2" t="s">
        <v>19</v>
      </c>
      <c r="D61" s="4">
        <v>0.5</v>
      </c>
      <c r="E61" s="1" t="s">
        <v>42</v>
      </c>
      <c r="G61" s="1" t="s">
        <v>258</v>
      </c>
      <c r="I61" s="2" t="s">
        <v>307</v>
      </c>
      <c r="J61" s="2" t="s">
        <v>308</v>
      </c>
      <c r="K61" s="1" t="b">
        <v>1</v>
      </c>
      <c r="L61" s="2" t="s">
        <v>125</v>
      </c>
      <c r="M61" s="2" t="str">
        <f t="shared" si="4"/>
        <v>QMQLVQSGAEVKKPGESLKISCKGSGYSFTSYWIGWVRQMPGKGLEWMGIIYPGDSDTRYSPSFQGQVTISADKSISTAYLQWSSLKASDTAIYYCARHYYGGQYFDYWGQGTLVTVSSGGGSGGGSGGGSGGGSDIQMTQSPSSLSASVGDRVTITCRASQGIRNDLGWYQQKPGKAPKLLIYAASSLQSGVPSRFSGSGSGTDFTLTISSLQPEDFATYYCQQSYSTPYTFGQGTKLEIK</v>
      </c>
      <c r="N61" s="4">
        <f t="shared" si="5"/>
        <v>242</v>
      </c>
      <c r="O61" s="1" t="b">
        <f t="shared" si="6"/>
        <v>1</v>
      </c>
      <c r="P61" s="1" t="b">
        <v>0</v>
      </c>
      <c r="Q61" s="1" t="b">
        <f>TRUE()</f>
        <v>1</v>
      </c>
      <c r="R61" s="4">
        <v>0</v>
      </c>
      <c r="S61" s="4">
        <v>5.0220000000000004E-3</v>
      </c>
      <c r="T61" s="4">
        <v>5.0899999999999999E-3</v>
      </c>
      <c r="U61" s="4">
        <v>5.1970000000000002E-2</v>
      </c>
      <c r="V61" s="10">
        <v>45973</v>
      </c>
      <c r="W61" s="2" t="s">
        <v>349</v>
      </c>
      <c r="X61" s="4">
        <v>0</v>
      </c>
      <c r="Y61" s="1" t="b">
        <v>1</v>
      </c>
    </row>
    <row r="62" spans="1:25" ht="64" x14ac:dyDescent="0.2">
      <c r="A62" s="1" t="s">
        <v>274</v>
      </c>
      <c r="B62" s="1" t="s">
        <v>18</v>
      </c>
      <c r="C62" s="2" t="s">
        <v>19</v>
      </c>
      <c r="D62" s="4">
        <v>0.5</v>
      </c>
      <c r="E62" s="1" t="s">
        <v>42</v>
      </c>
      <c r="G62" s="1" t="s">
        <v>258</v>
      </c>
      <c r="I62" s="2" t="s">
        <v>309</v>
      </c>
      <c r="J62" s="2" t="s">
        <v>24</v>
      </c>
      <c r="K62" s="1" t="b">
        <v>1</v>
      </c>
      <c r="L62" s="2" t="s">
        <v>125</v>
      </c>
      <c r="M62" s="2" t="str">
        <f t="shared" si="4"/>
        <v>QVQLVQSGAEVKKPGSSVKVSCKASGGTFSSYAISWVRQAPGQGLEWMGGIIPIFGTANYAQKFQGRVTITADESTSTAYMELSSLRSEDTAVYYCARWYDGYFVYWGQGTLVTVSSGGGSGGGSGGGSGGGSDIQMTQSPSSLSASVGDRVTITCRASQSISSYLNWYQQKPGKAPKLLIYAASSLQSGVPSRFSGSGSGTDFTLTISSLQPEDFATYYCQQSYSTPYTFGQGTKVEIK</v>
      </c>
      <c r="N62" s="4">
        <f t="shared" si="5"/>
        <v>240</v>
      </c>
      <c r="O62" s="1" t="b">
        <f t="shared" si="6"/>
        <v>1</v>
      </c>
      <c r="P62" s="1" t="b">
        <v>0</v>
      </c>
      <c r="Q62" s="1" t="b">
        <f>TRUE()</f>
        <v>1</v>
      </c>
      <c r="R62" s="4">
        <v>0</v>
      </c>
      <c r="S62" s="4">
        <v>1.2418E-2</v>
      </c>
      <c r="T62" s="4">
        <v>0</v>
      </c>
      <c r="U62" s="4">
        <v>6.2989999999999999E-3</v>
      </c>
      <c r="V62" s="10">
        <v>45973</v>
      </c>
      <c r="W62" s="2" t="s">
        <v>348</v>
      </c>
      <c r="X62" s="4">
        <v>5.9379999999999997E-3</v>
      </c>
      <c r="Y62" s="1" t="b">
        <v>0</v>
      </c>
    </row>
    <row r="63" spans="1:25" ht="64" x14ac:dyDescent="0.2">
      <c r="A63" s="1" t="s">
        <v>275</v>
      </c>
      <c r="B63" s="1" t="s">
        <v>18</v>
      </c>
      <c r="C63" s="2" t="s">
        <v>19</v>
      </c>
      <c r="D63" s="4">
        <v>0.5</v>
      </c>
      <c r="E63" s="1" t="s">
        <v>42</v>
      </c>
      <c r="G63" s="1" t="s">
        <v>258</v>
      </c>
      <c r="I63" s="2" t="s">
        <v>310</v>
      </c>
      <c r="J63" s="2" t="s">
        <v>296</v>
      </c>
      <c r="K63" s="1" t="b">
        <v>1</v>
      </c>
      <c r="L63" s="2" t="s">
        <v>125</v>
      </c>
      <c r="M63" s="2" t="str">
        <f t="shared" si="4"/>
        <v>EVQLVESGGGLVQPGGSLRLSCAASGFNVSSSSIHWVRQAPGKGLEWVASISSYYGYTYYADSVKGRFTISADTSKNTAYLQMNSLRAEDTAVYYCARSRQFWYSGLDYWGQGTLVTVFNGGGSGGGSGGGSGGGSDIQMTQSPSSLSASVGDRVTITCRASQSVSSAVAWYQQKPGKAPKLLIYSASSLYSGVPSRFSGSRSGTDFTLTISSLQPEDFATYYCQQYKYVPVTFGQGTKVEIK</v>
      </c>
      <c r="N63" s="4">
        <f t="shared" si="5"/>
        <v>243</v>
      </c>
      <c r="O63" s="1" t="b">
        <f t="shared" si="6"/>
        <v>1</v>
      </c>
      <c r="P63" s="1" t="b">
        <v>0</v>
      </c>
      <c r="Q63" s="1" t="b">
        <f>TRUE()</f>
        <v>1</v>
      </c>
      <c r="R63" s="4">
        <v>0.13139000000000001</v>
      </c>
      <c r="S63" s="4">
        <v>0.20833399999999999</v>
      </c>
      <c r="T63" s="4">
        <v>0</v>
      </c>
      <c r="U63" s="4">
        <v>5.1700000000000001E-3</v>
      </c>
      <c r="V63" s="10">
        <v>45973</v>
      </c>
      <c r="W63" s="2" t="s">
        <v>351</v>
      </c>
      <c r="X63" s="4">
        <v>9.3369999999999998E-3</v>
      </c>
      <c r="Y63" s="1" t="b">
        <v>1</v>
      </c>
    </row>
    <row r="64" spans="1:25" ht="64" x14ac:dyDescent="0.2">
      <c r="A64" s="1" t="s">
        <v>276</v>
      </c>
      <c r="B64" s="1" t="s">
        <v>18</v>
      </c>
      <c r="C64" s="2" t="s">
        <v>19</v>
      </c>
      <c r="D64" s="4">
        <v>0.5</v>
      </c>
      <c r="E64" s="1" t="s">
        <v>42</v>
      </c>
      <c r="G64" s="1" t="s">
        <v>258</v>
      </c>
      <c r="I64" s="2" t="s">
        <v>311</v>
      </c>
      <c r="J64" s="2" t="s">
        <v>304</v>
      </c>
      <c r="K64" s="1" t="b">
        <v>1</v>
      </c>
      <c r="L64" s="2" t="s">
        <v>125</v>
      </c>
      <c r="M64" s="2" t="str">
        <f t="shared" si="4"/>
        <v>EVQLVESGGGLVQPGGSLRLSCAASGFNISSSSIHWVRQAPGKGLEWVASIYSYYGSTYYADSVKGRFTISADTSKNTAYLQMRAEDTAVYYCARGWRSYAMDYWGQGTLVTVSSGGGSGGGSGGGSGGGSDIQMTQSPSSLSASVGDRVTITCRASQSVSSAVAWYQQKPGKAPKLLIYSASSLYSGVPSRFSGSRSGTDFTLTISSLQPEDFATYYCQQSSSSLITFGQGTKVEIK</v>
      </c>
      <c r="N64" s="4">
        <f t="shared" si="5"/>
        <v>238</v>
      </c>
      <c r="O64" s="1" t="b">
        <f t="shared" si="6"/>
        <v>1</v>
      </c>
      <c r="P64" s="1" t="b">
        <v>0</v>
      </c>
      <c r="Q64" s="1" t="b">
        <f>TRUE()</f>
        <v>1</v>
      </c>
      <c r="R64" s="4">
        <v>0</v>
      </c>
      <c r="S64" s="4">
        <v>5.0930000000000003E-3</v>
      </c>
      <c r="T64" s="4">
        <v>0</v>
      </c>
      <c r="U64" s="4">
        <v>5.5830000000000003E-3</v>
      </c>
      <c r="V64" s="10">
        <v>45974</v>
      </c>
      <c r="W64" s="2" t="s">
        <v>374</v>
      </c>
      <c r="X64" s="4">
        <v>0.29275600000000002</v>
      </c>
      <c r="Y64" s="1" t="b">
        <v>0</v>
      </c>
    </row>
    <row r="65" spans="1:25" ht="64" x14ac:dyDescent="0.2">
      <c r="A65" s="1" t="s">
        <v>277</v>
      </c>
      <c r="B65" s="1" t="s">
        <v>18</v>
      </c>
      <c r="C65" s="2" t="s">
        <v>19</v>
      </c>
      <c r="D65" s="4">
        <v>0.5</v>
      </c>
      <c r="E65" s="1" t="s">
        <v>42</v>
      </c>
      <c r="G65" s="1" t="s">
        <v>258</v>
      </c>
      <c r="I65" s="2" t="s">
        <v>312</v>
      </c>
      <c r="J65" s="2" t="s">
        <v>313</v>
      </c>
      <c r="K65" s="1" t="b">
        <v>1</v>
      </c>
      <c r="L65" s="2" t="s">
        <v>125</v>
      </c>
      <c r="M65" s="2" t="str">
        <f t="shared" si="4"/>
        <v>QVQLVQSGAEVKKPGSSVKVSCKASGGTFSSYSFIWVRQAPGQGLEWMGGIIPIFGTANYAQKFQGRVTITADESTSTAYMELSSLRSEDTAVYYCARSSYSGVYYSWYFDVWGAGTTVTVSSGGGSGGGSGGGSGGGSDIQMTQSPSSLSASVGDRVTITCRASQGISNYLAWYQQKPGKAPKLLIYAASTLQSGVPSRFSGSGSGTDFTLTISSLQPEDFATYYCQQSYSTPRTFGQGTKVEIK</v>
      </c>
      <c r="N65" s="4">
        <f t="shared" si="5"/>
        <v>246</v>
      </c>
      <c r="O65" s="1" t="b">
        <f t="shared" si="6"/>
        <v>1</v>
      </c>
      <c r="P65" s="1" t="b">
        <v>0</v>
      </c>
      <c r="Q65" s="1" t="b">
        <f>TRUE()</f>
        <v>1</v>
      </c>
      <c r="R65" s="4">
        <v>0</v>
      </c>
      <c r="S65" s="4">
        <v>0</v>
      </c>
      <c r="T65" s="4">
        <v>0</v>
      </c>
      <c r="U65" s="4">
        <v>5.169E-3</v>
      </c>
      <c r="V65" s="10">
        <v>45974</v>
      </c>
      <c r="W65" s="2" t="s">
        <v>377</v>
      </c>
      <c r="X65" s="4">
        <v>0.112092</v>
      </c>
      <c r="Y65" s="1" t="b">
        <v>0</v>
      </c>
    </row>
    <row r="66" spans="1:25" ht="64" x14ac:dyDescent="0.2">
      <c r="A66" s="1" t="s">
        <v>278</v>
      </c>
      <c r="B66" s="1" t="s">
        <v>18</v>
      </c>
      <c r="C66" s="2" t="s">
        <v>19</v>
      </c>
      <c r="D66" s="4">
        <v>0.5</v>
      </c>
      <c r="E66" s="1" t="s">
        <v>42</v>
      </c>
      <c r="G66" s="1" t="s">
        <v>258</v>
      </c>
      <c r="I66" s="2" t="s">
        <v>314</v>
      </c>
      <c r="J66" s="2" t="s">
        <v>315</v>
      </c>
      <c r="K66" s="1" t="b">
        <v>1</v>
      </c>
      <c r="L66" s="2" t="s">
        <v>125</v>
      </c>
      <c r="M66" s="2" t="str">
        <f t="shared" ref="M66:M97" si="7">_xlfn.CONCAT(I66,L66,J66)</f>
        <v>EVQLQESGPGLVKPSQTLSLTCTVSGGSISSYAAWSWIRQPPGKGLEWIGYIYSSSGSTNYNPSLKSRVTISVDTSKNQFSLKLSSVTAADTAVYYCARGDYSYSYYGLDYWGQGTLVTVSSGGGSGGGSGGGSGGGSDIQMTQSPSSLSASVGDRVTITCRASQGIRNDLGWYQQKPGKAPKLLIYAASNLQSGVPSRFSGSGSGTDFTLTISSLQPEDFATYYCQQSYSTPRYTFGQGTKVEIK</v>
      </c>
      <c r="N66" s="4">
        <f t="shared" ref="N66:N97" si="8">LEN(M66)</f>
        <v>246</v>
      </c>
      <c r="O66" s="1" t="b">
        <f t="shared" ref="O66:O97" si="9">IF(N66&lt;=250,TRUE,FALSE)</f>
        <v>1</v>
      </c>
      <c r="P66" s="1" t="b">
        <v>0</v>
      </c>
      <c r="Q66" s="1" t="b">
        <f>TRUE()</f>
        <v>1</v>
      </c>
      <c r="R66" s="4">
        <v>5.4320000000000002E-3</v>
      </c>
      <c r="S66" s="4">
        <v>3.7756999999999999E-2</v>
      </c>
      <c r="T66" s="4">
        <v>0</v>
      </c>
      <c r="U66" s="4">
        <v>5.385E-3</v>
      </c>
      <c r="V66" s="10">
        <v>45974</v>
      </c>
      <c r="W66" s="2" t="s">
        <v>375</v>
      </c>
      <c r="X66" s="4">
        <v>0.498143</v>
      </c>
      <c r="Y66" s="1" t="b">
        <v>0</v>
      </c>
    </row>
    <row r="67" spans="1:25" ht="64" x14ac:dyDescent="0.2">
      <c r="A67" s="1" t="s">
        <v>279</v>
      </c>
      <c r="B67" s="1" t="s">
        <v>18</v>
      </c>
      <c r="C67" s="2" t="s">
        <v>19</v>
      </c>
      <c r="D67" s="4">
        <v>0.5</v>
      </c>
      <c r="E67" s="1" t="s">
        <v>42</v>
      </c>
      <c r="G67" s="1" t="s">
        <v>258</v>
      </c>
      <c r="I67" s="2" t="s">
        <v>316</v>
      </c>
      <c r="J67" s="2" t="s">
        <v>317</v>
      </c>
      <c r="K67" s="1" t="b">
        <v>1</v>
      </c>
      <c r="L67" s="2" t="s">
        <v>125</v>
      </c>
      <c r="M67" s="2" t="str">
        <f t="shared" si="7"/>
        <v>EVQLQQSGPELVKPGASVKMSCKASGYTFTSYNIHWVKQTPVHGLEWIGAIVSGGDTNYNENFKDKATLTVDKSSSTAYMQLTSEDSAVYYCARGGFYGDYWGQGTSVTVSSGGGSGGGSGGGSGGGSDIVLTQSPATLSVTPGDSVSLSCRASQSVTNNIHWYQQKSHESPRLLIKYASQSISGIPSRFSGSGSGTDFTLSINSVETEDFGMYFCQQSNSWPYTFGGGTKLEIK</v>
      </c>
      <c r="N67" s="4">
        <f t="shared" si="8"/>
        <v>235</v>
      </c>
      <c r="O67" s="1" t="b">
        <f t="shared" si="9"/>
        <v>1</v>
      </c>
      <c r="P67" s="1" t="b">
        <v>0</v>
      </c>
      <c r="Q67" s="1" t="b">
        <f>TRUE()</f>
        <v>1</v>
      </c>
      <c r="R67" s="4">
        <v>0</v>
      </c>
      <c r="S67" s="4">
        <v>5.1409999999999997E-3</v>
      </c>
      <c r="T67" s="4">
        <v>0</v>
      </c>
      <c r="U67" s="4">
        <v>0</v>
      </c>
      <c r="V67" s="10">
        <v>45976</v>
      </c>
      <c r="W67" s="2" t="s">
        <v>475</v>
      </c>
      <c r="X67" s="4">
        <v>5.3290000000000004E-3</v>
      </c>
      <c r="Y67" s="1" t="b">
        <v>0</v>
      </c>
    </row>
    <row r="68" spans="1:25" ht="64" x14ac:dyDescent="0.2">
      <c r="A68" s="1" t="s">
        <v>280</v>
      </c>
      <c r="B68" s="1" t="s">
        <v>18</v>
      </c>
      <c r="C68" s="2" t="s">
        <v>19</v>
      </c>
      <c r="D68" s="4">
        <v>0.5</v>
      </c>
      <c r="E68" s="1" t="s">
        <v>42</v>
      </c>
      <c r="G68" s="1" t="s">
        <v>258</v>
      </c>
      <c r="I68" s="2" t="s">
        <v>318</v>
      </c>
      <c r="J68" s="2" t="s">
        <v>319</v>
      </c>
      <c r="K68" s="1" t="b">
        <v>1</v>
      </c>
      <c r="L68" s="2" t="s">
        <v>125</v>
      </c>
      <c r="M68" s="2" t="str">
        <f t="shared" si="7"/>
        <v>QVQLQESGPGLVKPSQTLSLTCTVSGGSISSGDYYWIRQHPGKGLEWIGYIYYSGSTYYNPSLKSRVTISVDTSKNQFSLKLSSVTAADTAVYYCARQLWLRGRFDYWGQGTLVTVSSGGGSGGGSGGGSGGGSDIQMTQSPSSLSASVGDRVTITCRASQGISSWLAWYQQKPGKAPKLLIYAASTLQSGVPSRFSGSGSGTDFTLTISSLQPEDFATYYCQQSYSTPYTFGQGTKVEIK</v>
      </c>
      <c r="N68" s="4">
        <f t="shared" si="8"/>
        <v>241</v>
      </c>
      <c r="O68" s="1" t="b">
        <f t="shared" si="9"/>
        <v>1</v>
      </c>
      <c r="P68" s="1" t="b">
        <v>0</v>
      </c>
      <c r="Q68" s="1" t="b">
        <f>TRUE()</f>
        <v>1</v>
      </c>
      <c r="R68" s="4">
        <v>5.9430000000000004E-3</v>
      </c>
      <c r="S68" s="4">
        <v>8.7933999999999998E-2</v>
      </c>
      <c r="T68" s="4">
        <v>5.1159999999999999E-3</v>
      </c>
      <c r="U68" s="4">
        <v>6.4093999999999998E-2</v>
      </c>
      <c r="V68" s="10">
        <v>45976</v>
      </c>
      <c r="W68" s="2" t="s">
        <v>476</v>
      </c>
      <c r="X68" s="4">
        <v>0.20996500000000001</v>
      </c>
      <c r="Y68" s="1" t="b">
        <v>0</v>
      </c>
    </row>
    <row r="69" spans="1:25" ht="64" x14ac:dyDescent="0.2">
      <c r="A69" s="1" t="s">
        <v>281</v>
      </c>
      <c r="B69" s="1" t="s">
        <v>18</v>
      </c>
      <c r="C69" s="2" t="s">
        <v>19</v>
      </c>
      <c r="D69" s="4">
        <v>0.5</v>
      </c>
      <c r="E69" s="1" t="s">
        <v>42</v>
      </c>
      <c r="G69" s="1" t="s">
        <v>258</v>
      </c>
      <c r="I69" s="2" t="s">
        <v>320</v>
      </c>
      <c r="J69" s="2" t="s">
        <v>296</v>
      </c>
      <c r="K69" s="1" t="b">
        <v>1</v>
      </c>
      <c r="L69" s="2" t="s">
        <v>125</v>
      </c>
      <c r="M69" s="2" t="str">
        <f t="shared" si="7"/>
        <v>EVQLVESGGGLVQPGGSLRLSCAASGFTVSSNYMSWVRQAPGKGLEWVSVIYSGGSTYYADSVKGRFTISRDNSKNTLYLQMNSLRAEDTAVYYCAREAGVWVFDYWGQGTLVTVSSGGGSGGGSGGGSGGGSDIQMTQSPSSLSASVGDRVTITCRASQSVSSAVAWYQQKPGKAPKLLIYSASSLYSGVPSRFSGSRSGTDFTLTISSLQPEDFATYYCQQYKYVPVTFGQGTKVEIK</v>
      </c>
      <c r="N69" s="4">
        <f t="shared" si="8"/>
        <v>240</v>
      </c>
      <c r="O69" s="1" t="b">
        <f t="shared" si="9"/>
        <v>1</v>
      </c>
      <c r="P69" s="1" t="b">
        <v>0</v>
      </c>
      <c r="Q69" s="1" t="b">
        <f>TRUE()</f>
        <v>1</v>
      </c>
      <c r="R69" s="4">
        <v>0</v>
      </c>
      <c r="S69" s="4">
        <v>5.2589999999999998E-3</v>
      </c>
      <c r="T69" s="4">
        <v>0</v>
      </c>
      <c r="U69" s="4">
        <v>5.4440000000000001E-3</v>
      </c>
      <c r="V69" s="10">
        <v>45977</v>
      </c>
      <c r="W69" s="2" t="s">
        <v>483</v>
      </c>
      <c r="X69" s="4">
        <v>0.293068</v>
      </c>
      <c r="Y69" s="1" t="b">
        <v>0</v>
      </c>
    </row>
    <row r="70" spans="1:25" ht="64" x14ac:dyDescent="0.2">
      <c r="A70" s="1" t="s">
        <v>282</v>
      </c>
      <c r="B70" s="1" t="s">
        <v>18</v>
      </c>
      <c r="C70" s="2" t="s">
        <v>19</v>
      </c>
      <c r="D70" s="4">
        <v>0.5</v>
      </c>
      <c r="E70" s="1" t="s">
        <v>42</v>
      </c>
      <c r="G70" s="1" t="s">
        <v>258</v>
      </c>
      <c r="I70" s="2" t="s">
        <v>321</v>
      </c>
      <c r="J70" s="2" t="s">
        <v>296</v>
      </c>
      <c r="K70" s="1" t="b">
        <v>1</v>
      </c>
      <c r="L70" s="2" t="s">
        <v>125</v>
      </c>
      <c r="M70" s="2" t="str">
        <f t="shared" si="7"/>
        <v>EVQLVESGGGLVQPGGSLRLSCAASGFNLYSSSIHWVRQAPGKGLEWVASISSYYGSTYYADSVKGRFTISADTSKNTAYLQMNSLRAEDTAVYYCARSRQFWLWFGQGTLVTVSSGGGSGGGSGGGSGGGSDIQMTQSPSSLSASVGDRVTITCRASQSVSSAVAWYQQKPGKAPKLLIYSASSLYSGVPSRFSGSRSGTDFTLTISSLQPEDFATYYCQQYKYVPVTFGQGTKVEIK</v>
      </c>
      <c r="N70" s="4">
        <f t="shared" si="8"/>
        <v>239</v>
      </c>
      <c r="O70" s="1" t="b">
        <f t="shared" si="9"/>
        <v>1</v>
      </c>
      <c r="P70" s="1" t="b">
        <v>0</v>
      </c>
      <c r="Q70" s="1" t="b">
        <f>TRUE()</f>
        <v>1</v>
      </c>
      <c r="R70" s="4">
        <v>0</v>
      </c>
      <c r="S70" s="4">
        <v>0</v>
      </c>
      <c r="T70" s="4">
        <v>0</v>
      </c>
      <c r="U70" s="4">
        <v>5.0159999999999996E-3</v>
      </c>
      <c r="V70" s="10"/>
      <c r="W70" s="11" t="s">
        <v>381</v>
      </c>
      <c r="Y70" s="1" t="b">
        <v>0</v>
      </c>
    </row>
    <row r="71" spans="1:25" ht="64" x14ac:dyDescent="0.2">
      <c r="A71" s="1" t="s">
        <v>283</v>
      </c>
      <c r="B71" s="1" t="s">
        <v>18</v>
      </c>
      <c r="C71" s="2" t="s">
        <v>19</v>
      </c>
      <c r="D71" s="4">
        <v>0.7</v>
      </c>
      <c r="E71" s="1" t="s">
        <v>42</v>
      </c>
      <c r="G71" s="1" t="s">
        <v>258</v>
      </c>
      <c r="I71" s="2" t="s">
        <v>322</v>
      </c>
      <c r="J71" s="2" t="s">
        <v>323</v>
      </c>
      <c r="K71" s="1" t="b">
        <v>1</v>
      </c>
      <c r="L71" s="2" t="s">
        <v>125</v>
      </c>
      <c r="M71" s="2" t="str">
        <f t="shared" si="7"/>
        <v>VQLVQSGAEVKKPGASVKVSCKASGYTFTTYTISWVRQAPGQGLEWMGWINNSGGTNYAQKFQGRVTMTRDTSTSTVSAYMELRSEDTAVYYCATFVYGYSAYQPLTDDYGQMDVWGQGTTVTVSSGGGSGGGSGGGSGGGSDIQMTQSPSSLSASVGDRVTITCRASQSISSYLNWFQQKPGKAPKLLIYAASSLQSGVPSRFSGSGSGTDFTLTISSLQPEDFATYYCQQSLLYPLTFGGGTKVEIK</v>
      </c>
      <c r="N71" s="4">
        <f t="shared" si="8"/>
        <v>249</v>
      </c>
      <c r="O71" s="1" t="b">
        <f t="shared" si="9"/>
        <v>1</v>
      </c>
      <c r="P71" s="1" t="b">
        <v>0</v>
      </c>
      <c r="Q71" s="1" t="b">
        <f>TRUE()</f>
        <v>1</v>
      </c>
      <c r="R71" s="4">
        <v>0</v>
      </c>
      <c r="S71" s="4">
        <v>5.0299999999999997E-3</v>
      </c>
      <c r="T71" s="4">
        <v>0</v>
      </c>
      <c r="U71" s="4">
        <v>3.0013000000000001E-2</v>
      </c>
      <c r="V71" s="10">
        <v>45973</v>
      </c>
      <c r="W71" s="2" t="s">
        <v>354</v>
      </c>
      <c r="X71" s="4">
        <v>5.2950000000000002E-3</v>
      </c>
      <c r="Y71" s="1" t="b">
        <v>0</v>
      </c>
    </row>
    <row r="72" spans="1:25" ht="64" x14ac:dyDescent="0.2">
      <c r="A72" s="1" t="s">
        <v>284</v>
      </c>
      <c r="B72" s="1" t="s">
        <v>18</v>
      </c>
      <c r="C72" s="2" t="s">
        <v>19</v>
      </c>
      <c r="D72" s="4">
        <v>0.7</v>
      </c>
      <c r="E72" s="1" t="s">
        <v>42</v>
      </c>
      <c r="G72" s="1" t="s">
        <v>258</v>
      </c>
      <c r="I72" s="2" t="s">
        <v>324</v>
      </c>
      <c r="J72" s="2" t="s">
        <v>325</v>
      </c>
      <c r="K72" s="1" t="b">
        <v>1</v>
      </c>
      <c r="L72" s="2" t="s">
        <v>125</v>
      </c>
      <c r="M72" s="2" t="str">
        <f t="shared" si="7"/>
        <v>EVQLVESGGGLVQPGGSLRLSCAASGFNISSSSIHWVRQAPGKGLEWVASIYSSSGSTYYADSVKGRFTISADTSKNTAYLQMNSLRAEDTAVYYCARHRWWAHPYWGQGTLVTVSSGGGSGGGSGGGSGGGSDIQMTQSPSSLSASVGDRVTITCRASQSVSSAVAWYQQKPGKAPKLLIYSASSLYSGVPSRFSGSRSGTDFTLTISSLQPEDFATYYCQQSYYITPYTFGQGTKVEIK</v>
      </c>
      <c r="N72" s="4">
        <f t="shared" si="8"/>
        <v>241</v>
      </c>
      <c r="O72" s="1" t="b">
        <f t="shared" si="9"/>
        <v>1</v>
      </c>
      <c r="P72" s="1" t="b">
        <v>0</v>
      </c>
      <c r="Q72" s="1" t="b">
        <f>TRUE()</f>
        <v>1</v>
      </c>
      <c r="R72" s="4">
        <v>5.0870000000000004E-3</v>
      </c>
      <c r="S72" s="4">
        <v>4.0273000000000003E-2</v>
      </c>
      <c r="T72" s="4">
        <v>0</v>
      </c>
      <c r="U72" s="4">
        <v>5.509E-3</v>
      </c>
      <c r="V72" s="10">
        <v>45973</v>
      </c>
      <c r="W72" s="2" t="s">
        <v>352</v>
      </c>
      <c r="X72" s="4">
        <v>0</v>
      </c>
      <c r="Y72" s="1" t="b">
        <v>1</v>
      </c>
    </row>
    <row r="73" spans="1:25" ht="64" x14ac:dyDescent="0.2">
      <c r="A73" s="1" t="s">
        <v>285</v>
      </c>
      <c r="B73" s="1" t="s">
        <v>18</v>
      </c>
      <c r="C73" s="2" t="s">
        <v>19</v>
      </c>
      <c r="D73" s="4">
        <v>0.7</v>
      </c>
      <c r="E73" s="1" t="s">
        <v>42</v>
      </c>
      <c r="G73" s="1" t="s">
        <v>258</v>
      </c>
      <c r="I73" s="2" t="s">
        <v>326</v>
      </c>
      <c r="J73" s="2" t="s">
        <v>327</v>
      </c>
      <c r="K73" s="1" t="b">
        <v>1</v>
      </c>
      <c r="L73" s="2" t="s">
        <v>125</v>
      </c>
      <c r="M73" s="2" t="str">
        <f t="shared" si="7"/>
        <v>EVQLVESGGGVVQPGRSLRLSCAASGFTFSSYAMHWVRQAPGKGLEWVAVIWYDGSNKYYADSVKGRFTISRDNSKNTLFLQMNSLRPEDTAVYYCARDTPMYYDVWGQGTTVTVSSGGGSGGGSGGGSGGGSDIQLTQSPSSLSASVGDRVTITCRTSQDIDNYLNWYQQKPGKAPKLLIYYTSSLHSGVPSRFSGSGSGTDFTFTISSLQPEDIATYYCQQYDNLPITFGQGTKLEIK</v>
      </c>
      <c r="N73" s="4">
        <f t="shared" si="8"/>
        <v>240</v>
      </c>
      <c r="O73" s="1" t="b">
        <f t="shared" si="9"/>
        <v>1</v>
      </c>
      <c r="P73" s="1" t="b">
        <v>0</v>
      </c>
      <c r="Q73" s="1" t="b">
        <f>TRUE()</f>
        <v>1</v>
      </c>
      <c r="R73" s="4">
        <v>0</v>
      </c>
      <c r="S73" s="4">
        <v>5.0660000000000002E-3</v>
      </c>
      <c r="T73" s="4">
        <v>0</v>
      </c>
      <c r="U73" s="4">
        <v>0</v>
      </c>
      <c r="V73" s="10">
        <v>45973</v>
      </c>
      <c r="W73" s="2" t="s">
        <v>350</v>
      </c>
      <c r="X73" s="4">
        <v>5.0549999999999996E-3</v>
      </c>
      <c r="Y73" s="1" t="b">
        <v>0</v>
      </c>
    </row>
    <row r="74" spans="1:25" ht="64" x14ac:dyDescent="0.2">
      <c r="A74" s="1" t="s">
        <v>286</v>
      </c>
      <c r="B74" s="1" t="s">
        <v>18</v>
      </c>
      <c r="C74" s="2" t="s">
        <v>19</v>
      </c>
      <c r="D74" s="4">
        <v>0.7</v>
      </c>
      <c r="E74" s="1" t="s">
        <v>42</v>
      </c>
      <c r="G74" s="1" t="s">
        <v>258</v>
      </c>
      <c r="I74" s="2" t="s">
        <v>328</v>
      </c>
      <c r="J74" s="2" t="s">
        <v>329</v>
      </c>
      <c r="K74" s="1" t="b">
        <v>1</v>
      </c>
      <c r="L74" s="2" t="s">
        <v>125</v>
      </c>
      <c r="M74" s="2" t="str">
        <f t="shared" si="7"/>
        <v>EVQLVESGGGLVQPGGSLRLSCAASGFTFSNYAMSWVRQAPGKGLEWVSAISGSGGSTYYADSVKGRFTISRDNSKNTLYLQMNSLRAEDTAVYYCARLSPYNGSMDYWGQGTLVTVSSGGGSGGGSGGGSGGGSVTQPASVSGSPGQSITISCTGTSSDIGAYNYVSWYQQHPGKAPKLMIYEVSKRPSGVSNRFSGSKSGNTASLTISGLQTEDEADYYCSSYTRSGSVVFGGGTKLTVL</v>
      </c>
      <c r="N74" s="4">
        <f t="shared" si="8"/>
        <v>242</v>
      </c>
      <c r="O74" s="1" t="b">
        <f t="shared" si="9"/>
        <v>1</v>
      </c>
      <c r="P74" s="1" t="b">
        <v>0</v>
      </c>
      <c r="Q74" s="1" t="b">
        <f>TRUE()</f>
        <v>1</v>
      </c>
      <c r="R74" s="4">
        <v>0</v>
      </c>
      <c r="S74" s="4">
        <v>0</v>
      </c>
      <c r="T74" s="4">
        <v>0.36516999999999999</v>
      </c>
      <c r="U74" s="4">
        <v>0.49659900000000001</v>
      </c>
      <c r="V74" s="10">
        <v>45974</v>
      </c>
      <c r="W74" s="2" t="s">
        <v>376</v>
      </c>
      <c r="X74" s="4">
        <v>0.17583499999999999</v>
      </c>
      <c r="Y74" s="1" t="b">
        <v>0</v>
      </c>
    </row>
    <row r="75" spans="1:25" ht="64" x14ac:dyDescent="0.2">
      <c r="A75" s="1" t="s">
        <v>287</v>
      </c>
      <c r="B75" s="1" t="s">
        <v>18</v>
      </c>
      <c r="C75" s="2" t="s">
        <v>19</v>
      </c>
      <c r="D75" s="4">
        <v>0.7</v>
      </c>
      <c r="E75" s="1" t="s">
        <v>42</v>
      </c>
      <c r="G75" s="1" t="s">
        <v>258</v>
      </c>
      <c r="I75" s="2" t="s">
        <v>330</v>
      </c>
      <c r="J75" s="2" t="s">
        <v>331</v>
      </c>
      <c r="K75" s="1" t="b">
        <v>1</v>
      </c>
      <c r="L75" s="2" t="s">
        <v>125</v>
      </c>
      <c r="M75" s="2" t="str">
        <f t="shared" si="7"/>
        <v>QVQLVQSGAEVKKPGSSVKVSCKASGGTFSSYTISWVRQAPGQGLEWMGGIIPILGIANYAQKFQGRVTITADKSTSTAYMELSSLRSEDTAVYYCARGDSSYVDSWDYWGQGTLVTVSGGGSGGGSGGGSGGGSEIVLTQSPGTLSLSPGERATLSCRASQSVSSSYLAWYQQKPGQAPRLLIYGASSRATGIPDRFSGSGSGTDFTLTISRLEPEDFAVYYCQQYGSSPWTFGQGTKVEIK</v>
      </c>
      <c r="N75" s="4">
        <f t="shared" si="8"/>
        <v>243</v>
      </c>
      <c r="O75" s="1" t="b">
        <f t="shared" si="9"/>
        <v>1</v>
      </c>
      <c r="P75" s="1" t="b">
        <v>0</v>
      </c>
      <c r="Q75" s="1" t="b">
        <f>TRUE()</f>
        <v>1</v>
      </c>
      <c r="R75" s="4">
        <v>4.8799999999999998E-3</v>
      </c>
      <c r="S75" s="4">
        <v>4.8799999999999998E-3</v>
      </c>
      <c r="T75" s="4">
        <v>0</v>
      </c>
      <c r="U75" s="4">
        <v>0</v>
      </c>
      <c r="V75" s="10">
        <v>45974</v>
      </c>
      <c r="W75" s="2" t="s">
        <v>380</v>
      </c>
      <c r="X75" s="4">
        <v>0</v>
      </c>
      <c r="Y75" s="1" t="b">
        <v>0</v>
      </c>
    </row>
    <row r="76" spans="1:25" ht="64" x14ac:dyDescent="0.2">
      <c r="A76" s="1" t="s">
        <v>288</v>
      </c>
      <c r="B76" s="1" t="s">
        <v>18</v>
      </c>
      <c r="C76" s="2" t="s">
        <v>19</v>
      </c>
      <c r="D76" s="4">
        <v>0.7</v>
      </c>
      <c r="E76" s="1" t="s">
        <v>42</v>
      </c>
      <c r="G76" s="1" t="s">
        <v>258</v>
      </c>
      <c r="I76" s="2" t="s">
        <v>332</v>
      </c>
      <c r="J76" s="2" t="s">
        <v>333</v>
      </c>
      <c r="K76" s="1" t="b">
        <v>1</v>
      </c>
      <c r="L76" s="2" t="s">
        <v>125</v>
      </c>
      <c r="M76" s="2" t="str">
        <f t="shared" si="7"/>
        <v>QVQLVESGGGVVQPGRSLRLSCAASGFTFSNYGMHWVRQAPGKGLEWVAVISDGSNKYYADSVKGRFTISRDNSKNTLYLQMRAEDTAVYYCARGSHSSRDYWGQGTLVTVSSGGGSGGGSGGGSGGGSDIQMTQSPSSLSASVGDRVTITCRASQSISSYLNWYQQKPGKAPKLLIYAASSLQSGVPSRFSGSGSGTDFTLTISSLQPEDFATYYCQQSYSTPPYTFGQGTKVEIK</v>
      </c>
      <c r="N76" s="4">
        <f t="shared" si="8"/>
        <v>237</v>
      </c>
      <c r="O76" s="1" t="b">
        <f t="shared" si="9"/>
        <v>1</v>
      </c>
      <c r="P76" s="1" t="b">
        <v>0</v>
      </c>
      <c r="Q76" s="1" t="b">
        <f>TRUE()</f>
        <v>1</v>
      </c>
      <c r="R76" s="4">
        <v>0</v>
      </c>
      <c r="S76" s="4">
        <v>5.3730000000000002E-3</v>
      </c>
      <c r="T76" s="4">
        <v>0.31373400000000001</v>
      </c>
      <c r="U76" s="4">
        <v>0.45195200000000002</v>
      </c>
      <c r="V76" s="10">
        <v>45974</v>
      </c>
      <c r="W76" s="2" t="s">
        <v>379</v>
      </c>
      <c r="X76" s="4">
        <v>5.666E-3</v>
      </c>
      <c r="Y76" s="1" t="b">
        <v>0</v>
      </c>
    </row>
    <row r="77" spans="1:25" ht="64" x14ac:dyDescent="0.2">
      <c r="A77" s="1" t="s">
        <v>289</v>
      </c>
      <c r="B77" s="1" t="s">
        <v>18</v>
      </c>
      <c r="C77" s="2" t="s">
        <v>19</v>
      </c>
      <c r="D77" s="4">
        <v>0.7</v>
      </c>
      <c r="E77" s="1" t="s">
        <v>42</v>
      </c>
      <c r="G77" s="1" t="s">
        <v>258</v>
      </c>
      <c r="I77" s="2" t="s">
        <v>334</v>
      </c>
      <c r="J77" s="2" t="s">
        <v>335</v>
      </c>
      <c r="K77" s="1" t="b">
        <v>1</v>
      </c>
      <c r="L77" s="2" t="s">
        <v>125</v>
      </c>
      <c r="M77" s="2" t="str">
        <f t="shared" si="7"/>
        <v>VQLVQSGAEVKRPGSSVKVSCKTSGGTIFSTYVFWVRQAPGQGLEWMGGFPPKAGYIYAQKFQGRVTFTADESSSTTVYMEDLRSEDTAVYFCARFPYFVYDVWGQGTTVTVSSGGGSGGGSGGGSGGGSDIQMTQSPSSLSASVGDRVTITCRASQSIGGYLAWYQQKPGKVPKLLIYAASSLQSGVPSRFSGSGSGTDFTLTISSLQPEDFATYYCQQSYSTPRTFGQGTKVEIK</v>
      </c>
      <c r="N77" s="4">
        <f t="shared" si="8"/>
        <v>237</v>
      </c>
      <c r="O77" s="1" t="b">
        <f t="shared" si="9"/>
        <v>1</v>
      </c>
      <c r="P77" s="1" t="b">
        <v>0</v>
      </c>
      <c r="Q77" s="1" t="b">
        <f>TRUE()</f>
        <v>1</v>
      </c>
      <c r="R77" s="4">
        <v>0</v>
      </c>
      <c r="S77" s="4">
        <v>0</v>
      </c>
      <c r="T77" s="4">
        <v>0</v>
      </c>
      <c r="U77" s="4">
        <v>0</v>
      </c>
      <c r="V77" s="10">
        <v>45976</v>
      </c>
      <c r="W77" s="2" t="s">
        <v>477</v>
      </c>
      <c r="X77" s="4">
        <v>0</v>
      </c>
      <c r="Y77" s="1" t="b">
        <v>0</v>
      </c>
    </row>
    <row r="78" spans="1:25" ht="64" x14ac:dyDescent="0.2">
      <c r="A78" s="1" t="s">
        <v>290</v>
      </c>
      <c r="B78" s="1" t="s">
        <v>18</v>
      </c>
      <c r="C78" s="2" t="s">
        <v>19</v>
      </c>
      <c r="D78" s="4">
        <v>0.7</v>
      </c>
      <c r="E78" s="1" t="s">
        <v>42</v>
      </c>
      <c r="G78" s="1" t="s">
        <v>258</v>
      </c>
      <c r="I78" s="2" t="s">
        <v>336</v>
      </c>
      <c r="J78" s="2" t="s">
        <v>337</v>
      </c>
      <c r="K78" s="1" t="b">
        <v>1</v>
      </c>
      <c r="L78" s="2" t="s">
        <v>126</v>
      </c>
      <c r="M78" s="2" t="str">
        <f t="shared" si="7"/>
        <v>VQLQESGPGLVKPSQSLSLTCTVTGFSIDYNIYWGWIRQPPGKGLEWIGYIYSGSDTYNPSLKSRVTISVDTSKNQFSLKVNSVTAADTAVYYCARVVDLWYDDGKYASCVKGAIDYWGQGTLVTVSSGGGSGGGSGGGSSVLTQPPSVSGAPGQRVTISCTGSSGAGYDVHWYQQLPGTAPKLLIYGNSNRPSGVPDRFSGSKSGTSASLAITGLQAEDEADYYCQSYDSSLSGWVFGGGTKLTVL</v>
      </c>
      <c r="N78" s="4">
        <f t="shared" si="8"/>
        <v>247</v>
      </c>
      <c r="O78" s="1" t="b">
        <f t="shared" si="9"/>
        <v>1</v>
      </c>
      <c r="P78" s="1" t="b">
        <v>0</v>
      </c>
      <c r="Q78" s="1" t="b">
        <f>TRUE()</f>
        <v>1</v>
      </c>
      <c r="R78" s="4">
        <v>0</v>
      </c>
      <c r="S78" s="4">
        <v>4.8869999999999999E-3</v>
      </c>
      <c r="T78" s="4">
        <v>0.387965</v>
      </c>
      <c r="U78" s="4">
        <v>0.54476199999999997</v>
      </c>
      <c r="V78" s="10">
        <v>45976</v>
      </c>
      <c r="W78" s="2" t="s">
        <v>478</v>
      </c>
      <c r="X78" s="4">
        <v>4.9170000000000004E-3</v>
      </c>
      <c r="Y78" s="1" t="b">
        <v>1</v>
      </c>
    </row>
    <row r="79" spans="1:25" ht="64" x14ac:dyDescent="0.2">
      <c r="A79" s="1" t="s">
        <v>291</v>
      </c>
      <c r="B79" s="1" t="s">
        <v>18</v>
      </c>
      <c r="C79" s="2" t="s">
        <v>19</v>
      </c>
      <c r="D79" s="4">
        <v>0.7</v>
      </c>
      <c r="E79" s="1" t="s">
        <v>42</v>
      </c>
      <c r="G79" s="1" t="s">
        <v>258</v>
      </c>
      <c r="I79" s="2" t="s">
        <v>338</v>
      </c>
      <c r="J79" s="2" t="s">
        <v>155</v>
      </c>
      <c r="K79" s="1" t="b">
        <v>1</v>
      </c>
      <c r="L79" s="2" t="s">
        <v>125</v>
      </c>
      <c r="M79" s="2" t="str">
        <f t="shared" si="7"/>
        <v>EVQLVESGGGLVQPGGSLRLSCAASGFNVVDFSLHWVRQAPGKGLEWVASIYPYDGSAYYADSVKGRFTISADTSKNTAYLQMNSLRAEDTAVYYCARWGYWPGEGWLGKYWGQGTLVTVSGGGSGGGSGGGSGGGSDIQMTQSPSSLSASVGDRVTITCRASQSVSSAVAWYQQKPGKAPKLLIYSASSLYSGVPSRFSGSRSGTDFTLTISSLQPEDFATYYCQQYKYVPVTFGQGTKVEI</v>
      </c>
      <c r="N79" s="4">
        <f t="shared" si="8"/>
        <v>243</v>
      </c>
      <c r="O79" s="1" t="b">
        <f t="shared" si="9"/>
        <v>1</v>
      </c>
      <c r="P79" s="1" t="b">
        <v>0</v>
      </c>
      <c r="Q79" s="1" t="b">
        <f>TRUE()</f>
        <v>1</v>
      </c>
      <c r="R79" s="4">
        <v>8.0009999999999994E-3</v>
      </c>
      <c r="S79" s="4">
        <v>0.10431</v>
      </c>
      <c r="T79" s="4">
        <v>0</v>
      </c>
      <c r="U79" s="4">
        <v>5.1640000000000002E-3</v>
      </c>
      <c r="V79" s="10">
        <v>45977</v>
      </c>
      <c r="W79" s="2" t="s">
        <v>491</v>
      </c>
      <c r="X79" s="4">
        <v>0</v>
      </c>
      <c r="Y79" s="1" t="b">
        <v>0</v>
      </c>
    </row>
    <row r="80" spans="1:25" ht="64" x14ac:dyDescent="0.2">
      <c r="A80" s="1" t="s">
        <v>292</v>
      </c>
      <c r="B80" s="1" t="s">
        <v>18</v>
      </c>
      <c r="C80" s="2" t="s">
        <v>19</v>
      </c>
      <c r="D80" s="4">
        <v>0.7</v>
      </c>
      <c r="E80" s="1" t="s">
        <v>42</v>
      </c>
      <c r="G80" s="1" t="s">
        <v>258</v>
      </c>
      <c r="I80" s="2" t="s">
        <v>339</v>
      </c>
      <c r="J80" s="2" t="s">
        <v>340</v>
      </c>
      <c r="K80" s="1" t="b">
        <v>1</v>
      </c>
      <c r="L80" s="2" t="s">
        <v>125</v>
      </c>
      <c r="M80" s="2" t="str">
        <f t="shared" si="7"/>
        <v>EVQLVESGGGLVQPGGSLRLSCAASGFNISSSSIHWVRQAPGKGLEWVASISSSYGSTYYADSVKGRFTISADTSKNTAYLQMNSLRAEDTAVYYCARWEGYRGDLWGQGTLVTVSSGGGSGGGSGGGSGGGSDIQMTQSPSSLSASVGDRVTITCRASQSVSSAVAWYQQKPGKAPKLLIYSASSLYSGVPSRFSGSRSGTDFTLTISSLQPEDFATYYCQQYYEWLRTFGQGTKVEIK</v>
      </c>
      <c r="N80" s="4">
        <f t="shared" si="8"/>
        <v>240</v>
      </c>
      <c r="O80" s="1" t="b">
        <f t="shared" si="9"/>
        <v>1</v>
      </c>
      <c r="P80" s="1" t="b">
        <v>0</v>
      </c>
      <c r="Q80" s="1" t="b">
        <f>TRUE()</f>
        <v>1</v>
      </c>
      <c r="R80" s="4">
        <v>0.26539499999999999</v>
      </c>
      <c r="S80" s="4">
        <v>0.41420200000000001</v>
      </c>
      <c r="T80" s="4">
        <v>8.3640000000000006E-2</v>
      </c>
      <c r="U80" s="4">
        <v>0.13513700000000001</v>
      </c>
      <c r="V80" s="10">
        <v>45977</v>
      </c>
      <c r="W80" s="2" t="s">
        <v>484</v>
      </c>
      <c r="X80" s="4">
        <v>0.33998800000000001</v>
      </c>
      <c r="Y80" s="1" t="b">
        <v>0</v>
      </c>
    </row>
    <row r="81" spans="1:25" ht="64" x14ac:dyDescent="0.2">
      <c r="A81" s="1" t="s">
        <v>341</v>
      </c>
      <c r="B81" s="1" t="s">
        <v>18</v>
      </c>
      <c r="C81" s="2" t="s">
        <v>19</v>
      </c>
      <c r="D81" s="4">
        <v>0.2</v>
      </c>
      <c r="E81" s="1" t="s">
        <v>49</v>
      </c>
      <c r="F81" s="1" t="s">
        <v>263</v>
      </c>
      <c r="G81" s="1" t="s">
        <v>258</v>
      </c>
      <c r="H81" s="1">
        <v>3</v>
      </c>
      <c r="I81" s="2" t="s">
        <v>343</v>
      </c>
      <c r="J81" s="2" t="s">
        <v>344</v>
      </c>
      <c r="K81" s="1" t="b">
        <v>1</v>
      </c>
      <c r="L81" s="2" t="s">
        <v>125</v>
      </c>
      <c r="M81" s="2" t="str">
        <f t="shared" si="7"/>
        <v>QVQLQESGPGLVKPSQTLSLTCTVSGGSVSSGSYYWSWIRQPPGKGLEWIGYIYYSGSTNYNPSLKSRVTISVDTSKNQFSLKLSSVTAADTAVYYCARVDSFYYGMDVWGQGTTVTVSSGGGSGGGSGGGSGGGSDIQMTQSPSSLSASVGDRVTITCRASSGSSYDNGWYQQKPGKAPKLLIYAASSLQSGVPSRFSGSGSGTDFTLTISSLQPEDFATYYLQDSNYTPRTFGQGTKVEIK</v>
      </c>
      <c r="N81" s="4">
        <f t="shared" si="8"/>
        <v>243</v>
      </c>
      <c r="O81" s="1" t="b">
        <f t="shared" si="9"/>
        <v>1</v>
      </c>
      <c r="P81" s="1" t="b">
        <v>0</v>
      </c>
      <c r="Q81" s="1" t="b">
        <f>TRUE()</f>
        <v>1</v>
      </c>
      <c r="R81" s="4">
        <v>0.22428600000000001</v>
      </c>
      <c r="S81" s="4">
        <v>0.32534800000000003</v>
      </c>
      <c r="T81" s="4">
        <v>0.35263</v>
      </c>
      <c r="U81" s="4">
        <v>0.46911599999999998</v>
      </c>
      <c r="V81" s="10">
        <v>45973</v>
      </c>
      <c r="W81" s="2" t="s">
        <v>353</v>
      </c>
      <c r="X81" s="4">
        <v>0.204621</v>
      </c>
      <c r="Y81" s="1" t="b">
        <v>0</v>
      </c>
    </row>
    <row r="82" spans="1:25" ht="64" x14ac:dyDescent="0.2">
      <c r="A82" s="1" t="s">
        <v>369</v>
      </c>
      <c r="B82" s="1" t="s">
        <v>18</v>
      </c>
      <c r="C82" s="2" t="s">
        <v>19</v>
      </c>
      <c r="D82" s="4">
        <v>0.5</v>
      </c>
      <c r="E82" s="1" t="s">
        <v>49</v>
      </c>
      <c r="F82" s="1" t="s">
        <v>274</v>
      </c>
      <c r="G82" s="1" t="s">
        <v>258</v>
      </c>
      <c r="H82" s="1">
        <v>3</v>
      </c>
      <c r="I82" s="2" t="s">
        <v>370</v>
      </c>
      <c r="J82" s="2" t="s">
        <v>371</v>
      </c>
      <c r="K82" s="1" t="b">
        <v>1</v>
      </c>
      <c r="L82" s="2" t="s">
        <v>125</v>
      </c>
      <c r="M82" s="2" t="str">
        <f t="shared" si="7"/>
        <v>QVQLVQSGAEVKKPGSSVKVSCKASGGTFSSYTISWVRQAPGQGLEWMGRIIPIFGTANYAQKFQGRVTITADKSTSTAYMELSSLRSEDTAVYYCARYYDSYFDYWGQGTLVTVSSGGGSGGGSGGGSGGGSDIQMTQSPSSLSASVGDRVTITCRASQGISSWLAWYQQKPGKAPKLLIYAASSLQSGVPSRFSGSGSGTDFTLTISSLQPEDFATYYCQCGNSFPWTFGGGTKLEIK</v>
      </c>
      <c r="N82" s="4">
        <f t="shared" si="8"/>
        <v>240</v>
      </c>
      <c r="O82" s="1" t="b">
        <f t="shared" si="9"/>
        <v>1</v>
      </c>
      <c r="P82" s="1" t="b">
        <v>0</v>
      </c>
      <c r="Q82" s="1" t="b">
        <f>TRUE()</f>
        <v>1</v>
      </c>
      <c r="R82" s="4">
        <v>0</v>
      </c>
      <c r="S82" s="4">
        <v>5.3290000000000004E-3</v>
      </c>
      <c r="T82" s="4">
        <v>0.39901900000000001</v>
      </c>
      <c r="U82" s="4">
        <v>0.51660399999999995</v>
      </c>
      <c r="V82" s="10">
        <v>45974</v>
      </c>
      <c r="W82" s="2" t="s">
        <v>378</v>
      </c>
      <c r="X82" s="4">
        <v>0.53450500000000001</v>
      </c>
      <c r="Y82" s="1" t="b">
        <v>0</v>
      </c>
    </row>
    <row r="83" spans="1:25" ht="64" x14ac:dyDescent="0.2">
      <c r="A83" s="1" t="s">
        <v>385</v>
      </c>
      <c r="B83" s="1" t="s">
        <v>35</v>
      </c>
      <c r="C83" s="2" t="s">
        <v>382</v>
      </c>
      <c r="D83" s="4">
        <v>0.7</v>
      </c>
      <c r="E83" s="1" t="s">
        <v>42</v>
      </c>
      <c r="G83" s="1" t="s">
        <v>258</v>
      </c>
      <c r="I83" s="2" t="s">
        <v>383</v>
      </c>
      <c r="J83" s="2" t="s">
        <v>384</v>
      </c>
      <c r="K83" s="1" t="b">
        <v>1</v>
      </c>
      <c r="L83" s="2" t="s">
        <v>125</v>
      </c>
      <c r="M83" s="2" t="str">
        <f t="shared" si="7"/>
        <v>DVQLQESGPGLVKPSQTLSLTCTVSGYSITSDYYWNWIRQFPGNKLEWMGYISYDGSSNYNPSLKNRISITRDNSKNQFFLQLNSVTTEDTATYYCARSCSRRGYAMDYWGQGTSVTVSSGGGSGGGSGGGSGGGSQIVLTQSPAIMSASLGEKVTLTCSASSSVSYMHWYQQKPGTSPKLLIYSCNLLSGVPDRFSGSGSGTDFTLSISNVETEDAATYYCYQYRIRFGGGTKLTVLQ</v>
      </c>
      <c r="N83" s="4">
        <f t="shared" si="8"/>
        <v>239</v>
      </c>
      <c r="O83" s="1" t="b">
        <f t="shared" si="9"/>
        <v>1</v>
      </c>
      <c r="P83" s="1" t="b">
        <v>0</v>
      </c>
      <c r="Q83" s="1" t="b">
        <f>TRUE()</f>
        <v>1</v>
      </c>
      <c r="R83" s="4">
        <v>0</v>
      </c>
      <c r="S83" s="4">
        <v>5.1529999999999996E-3</v>
      </c>
      <c r="T83" s="4">
        <v>0</v>
      </c>
      <c r="U83" s="4">
        <v>5.4860000000000004E-3</v>
      </c>
      <c r="V83" s="10">
        <v>45976</v>
      </c>
      <c r="W83" s="2" t="s">
        <v>479</v>
      </c>
      <c r="X83" s="4">
        <v>5.4400000000000004E-3</v>
      </c>
      <c r="Y83" s="1" t="b">
        <v>1</v>
      </c>
    </row>
    <row r="84" spans="1:25" ht="64" x14ac:dyDescent="0.2">
      <c r="A84" s="1" t="s">
        <v>386</v>
      </c>
      <c r="B84" s="1" t="s">
        <v>35</v>
      </c>
      <c r="C84" s="2" t="s">
        <v>382</v>
      </c>
      <c r="D84" s="4">
        <v>0.1</v>
      </c>
      <c r="E84" s="1" t="s">
        <v>42</v>
      </c>
      <c r="G84" s="1" t="s">
        <v>258</v>
      </c>
      <c r="I84" s="2" t="s">
        <v>388</v>
      </c>
      <c r="J84" s="2" t="s">
        <v>389</v>
      </c>
      <c r="K84" s="1" t="b">
        <v>1</v>
      </c>
      <c r="L84" s="2" t="s">
        <v>125</v>
      </c>
      <c r="M84" s="2" t="str">
        <f t="shared" si="7"/>
        <v>EVQLVESGGGLVQPGGSLRLSCAASGFTFSSYAMSWVRQAPGKGLEWVSSISRSGGSTYYADSVKGRFTISRDNAKNSLYLQMNSLRAEDTAVYYCARSCSSRGYFDYWGQGTLVTVSSGGGSGGGSGGGSGGGSDIVMTQSPDSLAVSLGERATINCRASQSVSSYLAWYQQKPGQSPKLLIYSCNLQSGVPDRFSGSGSGTDFTLTISSLQPEDFATYYCQPYIRFGGGGTKLEIK</v>
      </c>
      <c r="N84" s="4">
        <f t="shared" si="8"/>
        <v>238</v>
      </c>
      <c r="O84" s="1" t="b">
        <f t="shared" si="9"/>
        <v>1</v>
      </c>
      <c r="P84" s="1" t="b">
        <v>0</v>
      </c>
      <c r="Q84" s="1" t="b">
        <f>TRUE()</f>
        <v>1</v>
      </c>
      <c r="R84" s="4">
        <v>0</v>
      </c>
      <c r="S84" s="4">
        <v>5.2469999999999999E-3</v>
      </c>
      <c r="T84" s="4">
        <v>0</v>
      </c>
      <c r="U84" s="4">
        <v>0</v>
      </c>
      <c r="V84" s="10">
        <v>45976</v>
      </c>
      <c r="W84" s="2" t="s">
        <v>480</v>
      </c>
      <c r="X84" s="4">
        <v>0</v>
      </c>
      <c r="Y84" s="1" t="b">
        <v>1</v>
      </c>
    </row>
    <row r="85" spans="1:25" ht="64" x14ac:dyDescent="0.2">
      <c r="A85" s="1" t="s">
        <v>387</v>
      </c>
      <c r="B85" s="1" t="s">
        <v>35</v>
      </c>
      <c r="C85" s="2" t="s">
        <v>382</v>
      </c>
      <c r="D85" s="4">
        <v>0.9</v>
      </c>
      <c r="E85" s="1" t="s">
        <v>42</v>
      </c>
      <c r="G85" s="1" t="s">
        <v>258</v>
      </c>
      <c r="I85" s="2" t="s">
        <v>390</v>
      </c>
      <c r="J85" s="2" t="s">
        <v>389</v>
      </c>
      <c r="K85" s="1" t="b">
        <v>1</v>
      </c>
      <c r="L85" s="2" t="s">
        <v>125</v>
      </c>
      <c r="M85" s="2" t="str">
        <f t="shared" si="7"/>
        <v>QVQLQESGPGLVKPSQTLSLTCTVSGFSFSSYAMSWVRQAPGKGLEWVSSISRSGGSTYYADSVKGRFTISRDNAKNSLYLQMNSLRAEDTAVYYCARSCSSRGYLFDYWGQGTLVTVSSGGGSGGGSGGGSGGGSDIVMTQSPDSLAVSLGERATINCRASQSVSSYLAWYQQKPGQSPKLLIYSCNLQSGVPDRFSGSGSGTDFTLTISSLQPEDFATYYCQPYIRFGGGGTKLEIK</v>
      </c>
      <c r="N85" s="4">
        <f t="shared" si="8"/>
        <v>239</v>
      </c>
      <c r="O85" s="1" t="b">
        <f t="shared" si="9"/>
        <v>1</v>
      </c>
      <c r="P85" s="1" t="b">
        <v>0</v>
      </c>
      <c r="Q85" s="1" t="b">
        <f>TRUE()</f>
        <v>1</v>
      </c>
      <c r="R85" s="4">
        <v>0</v>
      </c>
      <c r="S85" s="4">
        <v>5.4089999999999997E-3</v>
      </c>
      <c r="T85" s="4">
        <v>0.24510999999999999</v>
      </c>
      <c r="U85" s="4">
        <v>0.360954</v>
      </c>
      <c r="V85" s="10">
        <v>45976</v>
      </c>
      <c r="W85" s="2" t="s">
        <v>482</v>
      </c>
      <c r="X85" s="4">
        <v>0</v>
      </c>
      <c r="Y85" s="1" t="b">
        <v>0</v>
      </c>
    </row>
    <row r="86" spans="1:25" ht="64" x14ac:dyDescent="0.2">
      <c r="A86" s="1" t="s">
        <v>392</v>
      </c>
      <c r="B86" s="1" t="s">
        <v>393</v>
      </c>
      <c r="C86" s="2" t="s">
        <v>391</v>
      </c>
      <c r="D86" s="4">
        <v>0.2</v>
      </c>
      <c r="E86" s="1" t="s">
        <v>49</v>
      </c>
      <c r="F86" s="1" t="s">
        <v>385</v>
      </c>
      <c r="G86" s="1" t="s">
        <v>258</v>
      </c>
      <c r="I86" s="2" t="s">
        <v>395</v>
      </c>
      <c r="J86" s="2" t="s">
        <v>394</v>
      </c>
      <c r="K86" s="1" t="b">
        <v>1</v>
      </c>
      <c r="L86" s="2" t="s">
        <v>125</v>
      </c>
      <c r="M86" s="2" t="str">
        <f t="shared" si="7"/>
        <v>SIKLTESGPTSVAPGSTLNLTCTVTGDNITSSGWYWWVKQAPDNKLTWIGGIDKNGNTWLNVAYIDRATLTRDPAANTVYLSIRNVTSSDTATYYCAKSSDDNGSYLDVWGQGLKVTVSGGGGSGGGSGGGSGGGSQVKLTQSPKEVTAKIGDTVTLTCTASQPVSTVSWYMQKPGQPPQLLISNNKLVEGVPERFSASGSGTEFTLTIKDVQKEDEAIYYCEVNGQVFGQGTKLTVLE</v>
      </c>
      <c r="N86" s="4">
        <f t="shared" si="8"/>
        <v>239</v>
      </c>
      <c r="O86" s="1" t="b">
        <f t="shared" si="9"/>
        <v>1</v>
      </c>
      <c r="P86" s="1" t="b">
        <v>0</v>
      </c>
      <c r="Q86" s="1" t="b">
        <f>TRUE()</f>
        <v>1</v>
      </c>
      <c r="R86" s="4">
        <v>0.169797</v>
      </c>
      <c r="S86" s="4">
        <v>0.25293399999999999</v>
      </c>
      <c r="T86" s="4">
        <v>0</v>
      </c>
      <c r="U86" s="4">
        <v>5.1929999999999997E-3</v>
      </c>
      <c r="V86" s="10">
        <v>45976</v>
      </c>
      <c r="W86" s="2" t="s">
        <v>481</v>
      </c>
      <c r="X86" s="4">
        <v>0</v>
      </c>
      <c r="Y86" s="1" t="b">
        <v>0</v>
      </c>
    </row>
    <row r="87" spans="1:25" ht="64" x14ac:dyDescent="0.2">
      <c r="A87" s="1" t="s">
        <v>396</v>
      </c>
      <c r="B87" s="1" t="s">
        <v>18</v>
      </c>
      <c r="C87" s="2" t="s">
        <v>19</v>
      </c>
      <c r="D87" s="4">
        <v>0.1</v>
      </c>
      <c r="E87" s="1" t="s">
        <v>42</v>
      </c>
      <c r="G87" s="1" t="s">
        <v>258</v>
      </c>
      <c r="I87" s="2" t="s">
        <v>426</v>
      </c>
      <c r="J87" s="2" t="s">
        <v>296</v>
      </c>
      <c r="K87" s="1" t="b">
        <v>1</v>
      </c>
      <c r="L87" s="2" t="s">
        <v>125</v>
      </c>
      <c r="M87" s="2" t="str">
        <f t="shared" si="7"/>
        <v>EVQLVESGGGLVQPGGSLRLSCAASGFNVSYSSIHWVRQAPGKGLEWVASIYSYSGYTYYADSVKGRFTISADTSKNTAYLQMNSLRAEDTAVYYCARGWYSYFDYWGQGTLVTVSSGGGSGGGSGGGSGGGSDIQMTQSPSSLSASVGDRVTITCRASQSVSSAVAWYQQKPGKAPKLLIYSASSLYSGVPSRFSGSRSGTDFTLTISSLQPEDFATYYCQQYKYVPVTFGQGTKVEIK</v>
      </c>
      <c r="N87" s="4">
        <f t="shared" si="8"/>
        <v>240</v>
      </c>
      <c r="O87" s="1" t="b">
        <f t="shared" si="9"/>
        <v>1</v>
      </c>
      <c r="P87" s="1" t="b">
        <v>0</v>
      </c>
      <c r="Q87" s="1" t="b">
        <f>TRUE()</f>
        <v>1</v>
      </c>
      <c r="R87" s="4">
        <v>0</v>
      </c>
      <c r="S87" s="4">
        <v>5.3860000000000002E-3</v>
      </c>
      <c r="T87" s="4">
        <v>5.5250000000000004E-3</v>
      </c>
      <c r="U87" s="4">
        <v>4.4499999999999998E-2</v>
      </c>
      <c r="V87" s="10"/>
      <c r="W87" s="11" t="s">
        <v>381</v>
      </c>
      <c r="Y87" s="1" t="b">
        <v>0</v>
      </c>
    </row>
    <row r="88" spans="1:25" ht="64" x14ac:dyDescent="0.2">
      <c r="A88" s="1" t="s">
        <v>397</v>
      </c>
      <c r="B88" s="1" t="s">
        <v>18</v>
      </c>
      <c r="C88" s="2" t="s">
        <v>19</v>
      </c>
      <c r="D88" s="4">
        <v>0.1</v>
      </c>
      <c r="E88" s="1" t="s">
        <v>42</v>
      </c>
      <c r="G88" s="1" t="s">
        <v>258</v>
      </c>
      <c r="I88" s="2" t="s">
        <v>427</v>
      </c>
      <c r="J88" s="2" t="s">
        <v>428</v>
      </c>
      <c r="K88" s="1" t="b">
        <v>1</v>
      </c>
      <c r="L88" s="2" t="s">
        <v>125</v>
      </c>
      <c r="M88" s="2" t="str">
        <f t="shared" si="7"/>
        <v>QVQLVQSGAEVKKPGSSVKVSCKASGGTFSSYAISWVRQAPGQGLEWMGGIIIFGTANYAQKFQGRVTITADKSTSTAYMELRSEDTAVYYCAREGTTGWDYWGQGTLVTVSSGGGSGGGSGGGSGGGSEIVLTQSPGTLSLSPGERATLSCRASQSVSSSYLAWYQQKPGQAPRLLIYGASSRATGIPDRFSGSGSGTDFTLTISRLEPEDFAVYYCQQYGSSPRTFGQGTKVEIK</v>
      </c>
      <c r="N88" s="4">
        <f t="shared" si="8"/>
        <v>237</v>
      </c>
      <c r="O88" s="1" t="b">
        <f t="shared" si="9"/>
        <v>1</v>
      </c>
      <c r="P88" s="1" t="b">
        <v>0</v>
      </c>
      <c r="Q88" s="1" t="b">
        <f>TRUE()</f>
        <v>1</v>
      </c>
      <c r="R88" s="4">
        <v>0</v>
      </c>
      <c r="S88" s="4">
        <v>5.1520000000000003E-3</v>
      </c>
      <c r="T88" s="4">
        <v>5.2729999999999999E-3</v>
      </c>
      <c r="U88" s="4">
        <v>0.137435</v>
      </c>
      <c r="V88" s="10">
        <v>45977</v>
      </c>
      <c r="W88" s="2" t="s">
        <v>487</v>
      </c>
      <c r="X88" s="4">
        <v>9.7619999999999998E-3</v>
      </c>
      <c r="Y88" s="1" t="b">
        <v>0</v>
      </c>
    </row>
    <row r="89" spans="1:25" ht="64" x14ac:dyDescent="0.2">
      <c r="A89" s="1" t="s">
        <v>398</v>
      </c>
      <c r="B89" s="1" t="s">
        <v>18</v>
      </c>
      <c r="C89" s="2" t="s">
        <v>19</v>
      </c>
      <c r="D89" s="4">
        <v>0.1</v>
      </c>
      <c r="E89" s="1" t="s">
        <v>42</v>
      </c>
      <c r="G89" s="1" t="s">
        <v>258</v>
      </c>
      <c r="I89" s="2" t="s">
        <v>429</v>
      </c>
      <c r="J89" s="2" t="s">
        <v>296</v>
      </c>
      <c r="K89" s="1" t="b">
        <v>1</v>
      </c>
      <c r="L89" s="2" t="s">
        <v>125</v>
      </c>
      <c r="M89" s="2" t="str">
        <f t="shared" si="7"/>
        <v>EVQLVESGGGLVQPGGSLRLSCAASGFNVSYYSIHWVRQAPGKGLEWVASIYSYSGYTSYADSVKGRFTISADTSKNTAYLQMNSLRAEDTAVYYCARYYVYYGAMDYWGQGTLVTVSSGGGSGGGSGGGSGGGSDIQMTQSPSSLSASVGDRVTITCRASQSVSSAVAWYQQKPGKAPKLLIYSASSLYSGVPSRFSGSRSGTDFTLTISSLQPEDFATYYCQQYKYVPVTFGQGTKVEIK</v>
      </c>
      <c r="N89" s="4">
        <f t="shared" si="8"/>
        <v>242</v>
      </c>
      <c r="O89" s="1" t="b">
        <f t="shared" si="9"/>
        <v>1</v>
      </c>
      <c r="P89" s="1" t="b">
        <v>0</v>
      </c>
      <c r="Q89" s="1" t="b">
        <f>TRUE()</f>
        <v>1</v>
      </c>
      <c r="R89" s="4">
        <v>0</v>
      </c>
      <c r="S89" s="4">
        <v>5.2599999999999999E-3</v>
      </c>
      <c r="T89" s="4">
        <v>0.19143199999999999</v>
      </c>
      <c r="U89" s="4">
        <v>0.33597900000000003</v>
      </c>
      <c r="V89" s="10">
        <v>45977</v>
      </c>
      <c r="W89" s="11" t="s">
        <v>381</v>
      </c>
      <c r="Y89" s="1" t="b">
        <v>0</v>
      </c>
    </row>
    <row r="90" spans="1:25" ht="64" x14ac:dyDescent="0.2">
      <c r="A90" s="1" t="s">
        <v>399</v>
      </c>
      <c r="B90" s="1" t="s">
        <v>18</v>
      </c>
      <c r="C90" s="2" t="s">
        <v>19</v>
      </c>
      <c r="D90" s="4">
        <v>0.1</v>
      </c>
      <c r="E90" s="1" t="s">
        <v>42</v>
      </c>
      <c r="G90" s="1" t="s">
        <v>258</v>
      </c>
      <c r="I90" s="2" t="s">
        <v>430</v>
      </c>
      <c r="J90" s="2" t="s">
        <v>296</v>
      </c>
      <c r="K90" s="1" t="b">
        <v>1</v>
      </c>
      <c r="L90" s="2" t="s">
        <v>125</v>
      </c>
      <c r="M90" s="2" t="str">
        <f t="shared" si="7"/>
        <v>EVQLVESGGGLVQPGGSLRLSCAASGFNVSYSSIHWVRQAPGKGLEWVASIYSYSGYTYYADSVKGRFTISADTSKNTAYLQMNSLRAEDTAVYYCARGWVRGSSYWGQGTLVTVSSGGGSGGGSGGGSGGGSDIQMTQSPSSLSASVGDRVTITCRASQSVSSAVAWYQQKPGKAPKLLIYSASSLYSGVPSRFSGSRSGTDFTLTISSLQPEDFATYYCQQYKYVPVTFGQGTKVEIK</v>
      </c>
      <c r="N90" s="4">
        <f t="shared" si="8"/>
        <v>240</v>
      </c>
      <c r="O90" s="1" t="b">
        <f t="shared" si="9"/>
        <v>1</v>
      </c>
      <c r="P90" s="1" t="b">
        <v>0</v>
      </c>
      <c r="Q90" s="1" t="b">
        <f>TRUE()</f>
        <v>1</v>
      </c>
      <c r="R90" s="4">
        <v>0.25166500000000003</v>
      </c>
      <c r="S90" s="4">
        <v>0.40871299999999999</v>
      </c>
      <c r="T90" s="4">
        <v>0.18263699999999999</v>
      </c>
      <c r="U90" s="4">
        <v>0.32111899999999999</v>
      </c>
      <c r="V90" s="10">
        <v>45977</v>
      </c>
      <c r="W90" s="2" t="s">
        <v>486</v>
      </c>
      <c r="X90" s="4">
        <v>0.218168</v>
      </c>
      <c r="Y90" s="1" t="b">
        <v>0</v>
      </c>
    </row>
    <row r="91" spans="1:25" ht="64" x14ac:dyDescent="0.2">
      <c r="A91" s="1" t="s">
        <v>400</v>
      </c>
      <c r="B91" s="1" t="s">
        <v>18</v>
      </c>
      <c r="C91" s="2" t="s">
        <v>19</v>
      </c>
      <c r="D91" s="4">
        <v>0.1</v>
      </c>
      <c r="E91" s="1" t="s">
        <v>42</v>
      </c>
      <c r="G91" s="1" t="s">
        <v>258</v>
      </c>
      <c r="I91" s="2" t="s">
        <v>431</v>
      </c>
      <c r="J91" s="2" t="s">
        <v>296</v>
      </c>
      <c r="K91" s="1" t="b">
        <v>1</v>
      </c>
      <c r="L91" s="2" t="s">
        <v>125</v>
      </c>
      <c r="M91" s="2" t="str">
        <f t="shared" si="7"/>
        <v>EVQLVESGGGLVQPGGSLRLSCAASGFNVSYSSIHWVRQAPGKGLEWVASIYSYSGYTNYADSVKGRFTISADTSKNTAYLQMNSLRAEDTAVYYCARYYGGYGGYFDYWGQGTLVTVSSGGGSGGGSGGGSGGGSDIQMTQSPSSLSASVGDRVTITCRASQSVSSAVAWYQQKPGKAPKLLIYSASSLYSGVPSRFSGSRSGTDFTLTISSLQPEDFATYYCQQYKYVPVTFGQGTKVEIK</v>
      </c>
      <c r="N91" s="4">
        <f t="shared" si="8"/>
        <v>243</v>
      </c>
      <c r="O91" s="1" t="b">
        <f t="shared" si="9"/>
        <v>1</v>
      </c>
      <c r="P91" s="1" t="b">
        <v>0</v>
      </c>
      <c r="Q91" s="1" t="b">
        <f>TRUE()</f>
        <v>1</v>
      </c>
      <c r="R91" s="4">
        <v>0</v>
      </c>
      <c r="S91" s="4">
        <v>4.888E-3</v>
      </c>
      <c r="T91" s="4">
        <v>0</v>
      </c>
      <c r="U91" s="4">
        <v>5.4879999999999998E-3</v>
      </c>
      <c r="V91" s="10"/>
      <c r="W91" s="11" t="s">
        <v>381</v>
      </c>
      <c r="Y91" s="1" t="b">
        <v>0</v>
      </c>
    </row>
    <row r="92" spans="1:25" ht="64" x14ac:dyDescent="0.2">
      <c r="A92" s="1" t="s">
        <v>401</v>
      </c>
      <c r="B92" s="1" t="s">
        <v>18</v>
      </c>
      <c r="C92" s="2" t="s">
        <v>19</v>
      </c>
      <c r="D92" s="4">
        <v>0.1</v>
      </c>
      <c r="E92" s="1" t="s">
        <v>42</v>
      </c>
      <c r="G92" s="1" t="s">
        <v>258</v>
      </c>
      <c r="I92" s="2" t="s">
        <v>432</v>
      </c>
      <c r="J92" s="2" t="s">
        <v>296</v>
      </c>
      <c r="K92" s="1" t="b">
        <v>1</v>
      </c>
      <c r="L92" s="2" t="s">
        <v>125</v>
      </c>
      <c r="M92" s="2" t="str">
        <f t="shared" si="7"/>
        <v>EVQLVESGGGLVQPGGSLRLSCAASGFNVSYYSIHWVRQAPGKGLEWVASIYPYSGYTNYADSVKGRFTISADTSKNTAYLQMNSLRAEDTAVYYCARYYGYWYFDYWGQGTLVTVSSGGGSGGGSGGGSGGGSDIQMTQSPSSLSASVGDRVTITCRASQSVSSAVAWYQQKPGKAPKLLIYSASSLYSGVPSRFSGSRSGTDFTLTISSLQPEDFATYYCQQYKYVPVTFGQGTKVEIK</v>
      </c>
      <c r="N92" s="4">
        <f t="shared" si="8"/>
        <v>241</v>
      </c>
      <c r="O92" s="1" t="b">
        <f t="shared" si="9"/>
        <v>1</v>
      </c>
      <c r="P92" s="1" t="b">
        <v>0</v>
      </c>
      <c r="Q92" s="1" t="b">
        <f>TRUE()</f>
        <v>1</v>
      </c>
      <c r="R92" s="4">
        <v>0</v>
      </c>
      <c r="S92" s="4">
        <v>5.4039999999999999E-3</v>
      </c>
      <c r="T92" s="4">
        <v>0.15790899999999999</v>
      </c>
      <c r="U92" s="4">
        <v>0.27579799999999999</v>
      </c>
      <c r="V92" s="10"/>
      <c r="W92" s="11" t="s">
        <v>381</v>
      </c>
      <c r="Y92" s="1" t="b">
        <v>1</v>
      </c>
    </row>
    <row r="93" spans="1:25" ht="64" x14ac:dyDescent="0.2">
      <c r="A93" s="1" t="s">
        <v>402</v>
      </c>
      <c r="B93" s="1" t="s">
        <v>18</v>
      </c>
      <c r="C93" s="2" t="s">
        <v>19</v>
      </c>
      <c r="D93" s="4">
        <v>0.1</v>
      </c>
      <c r="E93" s="1" t="s">
        <v>42</v>
      </c>
      <c r="G93" s="1" t="s">
        <v>258</v>
      </c>
      <c r="I93" s="2" t="s">
        <v>433</v>
      </c>
      <c r="J93" s="2" t="s">
        <v>296</v>
      </c>
      <c r="K93" s="1" t="b">
        <v>1</v>
      </c>
      <c r="L93" s="2" t="s">
        <v>125</v>
      </c>
      <c r="M93" s="2" t="str">
        <f t="shared" si="7"/>
        <v>EVQLVESGGGLVQPGGSLRLSCAASGFNVSYSSIHWVRQAPGKGLEWVASIYSYSGYTSYADSVKGRFTISADTSKNTAYLQMNSLRAEDTAVYYCARYYGGYGGWYFDYWGQGTLVTVSSGGGSGGGSGGGSGGGSDIQMTQSPSSLSASVGDRVTITCRASQSVSSAVAWYQQKPGKAPKLLIYSASSLYSGVPSRFSGSRSGTDFTLTISSLQPEDFATYYCQQYKYVPVTFGQGTKVEIK</v>
      </c>
      <c r="N93" s="4">
        <f t="shared" si="8"/>
        <v>244</v>
      </c>
      <c r="O93" s="1" t="b">
        <f t="shared" si="9"/>
        <v>1</v>
      </c>
      <c r="P93" s="1" t="b">
        <v>0</v>
      </c>
      <c r="Q93" s="1" t="b">
        <f>TRUE()</f>
        <v>1</v>
      </c>
      <c r="R93" s="4">
        <v>4.7809999999999997E-3</v>
      </c>
      <c r="S93" s="4">
        <v>1.0769000000000001E-2</v>
      </c>
      <c r="T93" s="4">
        <v>0.46681299999999998</v>
      </c>
      <c r="U93" s="4">
        <v>0.57323199999999996</v>
      </c>
      <c r="V93" s="10"/>
      <c r="W93" s="11" t="s">
        <v>381</v>
      </c>
      <c r="Y93" s="1" t="b">
        <v>0</v>
      </c>
    </row>
    <row r="94" spans="1:25" ht="64" x14ac:dyDescent="0.2">
      <c r="A94" s="1" t="s">
        <v>403</v>
      </c>
      <c r="B94" s="1" t="s">
        <v>18</v>
      </c>
      <c r="C94" s="2" t="s">
        <v>19</v>
      </c>
      <c r="D94" s="4">
        <v>0.1</v>
      </c>
      <c r="E94" s="1" t="s">
        <v>42</v>
      </c>
      <c r="G94" s="1" t="s">
        <v>258</v>
      </c>
      <c r="I94" s="2" t="s">
        <v>434</v>
      </c>
      <c r="J94" s="2" t="s">
        <v>296</v>
      </c>
      <c r="K94" s="1" t="b">
        <v>1</v>
      </c>
      <c r="L94" s="2" t="s">
        <v>125</v>
      </c>
      <c r="M94" s="2" t="str">
        <f t="shared" si="7"/>
        <v>EVQLVESGGGLVQPGGSLRLSCAASGFNVSYYSIHWVRQAPGKGLEWVASISSYYGYTYYADSVKGRFTISADTSKNTAYLQMNSLRAEDTAVYYCARYYGYWYFDYWGQGTLVTVSSGGGSGGGSGGGSGGGSDIQMTQSPSSLSASVGDRVTITCRASQSVSSAVAWYQQKPGKAPKLLIYSASSLYSGVPSRFSGSRSGTDFTLTISSLQPEDFATYYCQQYKYVPVTFGQGTKVEIK</v>
      </c>
      <c r="N94" s="4">
        <f t="shared" si="8"/>
        <v>241</v>
      </c>
      <c r="O94" s="1" t="b">
        <f t="shared" si="9"/>
        <v>1</v>
      </c>
      <c r="P94" s="1" t="b">
        <v>0</v>
      </c>
      <c r="Q94" s="1" t="b">
        <f>TRUE()</f>
        <v>1</v>
      </c>
      <c r="R94" s="4">
        <v>0</v>
      </c>
      <c r="S94" s="4">
        <v>5.1809999999999998E-3</v>
      </c>
      <c r="T94" s="4">
        <v>0.117975</v>
      </c>
      <c r="U94" s="4">
        <v>0.23105999999999999</v>
      </c>
      <c r="V94" s="10"/>
      <c r="W94" s="11" t="s">
        <v>381</v>
      </c>
      <c r="Y94" s="1" t="b">
        <v>1</v>
      </c>
    </row>
    <row r="95" spans="1:25" ht="64" x14ac:dyDescent="0.2">
      <c r="A95" s="1" t="s">
        <v>404</v>
      </c>
      <c r="B95" s="1" t="s">
        <v>18</v>
      </c>
      <c r="C95" s="2" t="s">
        <v>19</v>
      </c>
      <c r="D95" s="4">
        <v>0.1</v>
      </c>
      <c r="E95" s="1" t="s">
        <v>42</v>
      </c>
      <c r="G95" s="1" t="s">
        <v>258</v>
      </c>
      <c r="I95" s="2" t="s">
        <v>435</v>
      </c>
      <c r="J95" s="2" t="s">
        <v>296</v>
      </c>
      <c r="K95" s="1" t="b">
        <v>1</v>
      </c>
      <c r="L95" s="2" t="s">
        <v>125</v>
      </c>
      <c r="M95" s="2" t="str">
        <f t="shared" si="7"/>
        <v>EVQLVESGGGLVQPGGSLRLSCAASGFNVSYYSIHWVRQAPGKGLEWVASISSYYGYTYYADSVKGRFTISADTSKNTAYLQMNSLRAEDTAVYYCARYYGTYYGHSYWGQGTLVTVSSGGGSGGGSGGGSGGGSDIQMTQSPSSLSASVGDRVTITCRASQSVSSAVAWYQQKPGKAPKLLIYSASSLYSGVPSRFSGSRSGTDFTLTISSLQPEDFATYYCQQYKYVPVTFGQGTKVEIK</v>
      </c>
      <c r="N95" s="4">
        <f t="shared" si="8"/>
        <v>242</v>
      </c>
      <c r="O95" s="1" t="b">
        <f t="shared" si="9"/>
        <v>1</v>
      </c>
      <c r="P95" s="1" t="b">
        <v>0</v>
      </c>
      <c r="Q95" s="1" t="b">
        <f>TRUE()</f>
        <v>1</v>
      </c>
      <c r="R95" s="4">
        <v>0</v>
      </c>
      <c r="S95" s="4">
        <v>5.0010000000000002E-3</v>
      </c>
      <c r="T95" s="4">
        <v>0</v>
      </c>
      <c r="U95" s="4">
        <v>5.6280000000000002E-3</v>
      </c>
      <c r="V95" s="10"/>
      <c r="W95" s="11" t="s">
        <v>381</v>
      </c>
      <c r="Y95" s="1" t="b">
        <v>0</v>
      </c>
    </row>
    <row r="96" spans="1:25" ht="64" x14ac:dyDescent="0.2">
      <c r="A96" s="1" t="s">
        <v>405</v>
      </c>
      <c r="B96" s="1" t="s">
        <v>18</v>
      </c>
      <c r="C96" s="2" t="s">
        <v>19</v>
      </c>
      <c r="D96" s="4">
        <v>0.1</v>
      </c>
      <c r="E96" s="1" t="s">
        <v>42</v>
      </c>
      <c r="G96" s="1" t="s">
        <v>258</v>
      </c>
      <c r="I96" s="2" t="s">
        <v>436</v>
      </c>
      <c r="J96" s="2" t="s">
        <v>296</v>
      </c>
      <c r="K96" s="1" t="b">
        <v>1</v>
      </c>
      <c r="L96" s="2" t="s">
        <v>125</v>
      </c>
      <c r="M96" s="2" t="str">
        <f t="shared" si="7"/>
        <v>EVQLVESGGGLVQPGGSLRLSCAASGFNVSYSSIHWVRQAPGKGLEWVASIYSYSGYTNYADSVKGRFTISADTSKNTAYLQMNSLRAEDTAVYYCARYWYFGYFDYWGQGTLVTVSSGGGSGGGSGGGSGGGSDIQMTQSPSSLSASVGDRVTITCRASQSVSSAVAWYQQKPGKAPKLLIYSASSLYSGVPSRFSGSRSGTDFTLTISSLQPEDFATYYCQQYKYVPVTFGQGTKVEIK</v>
      </c>
      <c r="N96" s="4">
        <f t="shared" si="8"/>
        <v>241</v>
      </c>
      <c r="O96" s="1" t="b">
        <f t="shared" si="9"/>
        <v>1</v>
      </c>
      <c r="P96" s="1" t="b">
        <v>0</v>
      </c>
      <c r="Q96" s="1" t="b">
        <f>TRUE()</f>
        <v>1</v>
      </c>
      <c r="R96" s="4">
        <v>5.2069999999999998E-3</v>
      </c>
      <c r="S96" s="4">
        <v>3.3148999999999998E-2</v>
      </c>
      <c r="T96" s="4">
        <v>0</v>
      </c>
      <c r="U96" s="4">
        <v>5.5160000000000001E-3</v>
      </c>
      <c r="V96" s="10"/>
      <c r="W96" s="11" t="s">
        <v>381</v>
      </c>
      <c r="Y96" s="1" t="b">
        <v>0</v>
      </c>
    </row>
    <row r="97" spans="1:25" ht="64" x14ac:dyDescent="0.2">
      <c r="A97" s="1" t="s">
        <v>406</v>
      </c>
      <c r="B97" s="1" t="s">
        <v>18</v>
      </c>
      <c r="C97" s="2" t="s">
        <v>19</v>
      </c>
      <c r="D97" s="4">
        <v>0.6</v>
      </c>
      <c r="E97" s="1" t="s">
        <v>42</v>
      </c>
      <c r="G97" s="1" t="s">
        <v>258</v>
      </c>
      <c r="I97" s="2" t="s">
        <v>437</v>
      </c>
      <c r="J97" s="2" t="s">
        <v>438</v>
      </c>
      <c r="K97" s="1" t="b">
        <v>1</v>
      </c>
      <c r="L97" s="2" t="s">
        <v>125</v>
      </c>
      <c r="M97" s="2" t="str">
        <f t="shared" si="7"/>
        <v>EVQLVESGGGLVKPGGSLRLSCAASGFTFRNYAMSWVRQAPGKGLEWVSSISSKSKSTSYADSVKGRFTISRDNAKNSLYLQMNSLRAEDTAVYYCARESGSFSYEGVWGQGTLVTVSSGGGSGGGSGGGSGGGSSVLTQPPSVSGAPGQRVTISCTGSSSNIGAGYDVHWYQQLPGTAPKLLIYDNNKRPSGVPDRFSGSKSGTSASLAITGLQAEDEADYYCQSYDSSLSGLVFGGGTKLTVL</v>
      </c>
      <c r="N97" s="4">
        <f t="shared" si="8"/>
        <v>245</v>
      </c>
      <c r="O97" s="1" t="b">
        <f t="shared" si="9"/>
        <v>1</v>
      </c>
      <c r="P97" s="1" t="b">
        <v>0</v>
      </c>
      <c r="Q97" s="1" t="b">
        <f>TRUE()</f>
        <v>1</v>
      </c>
      <c r="R97" s="4">
        <v>0</v>
      </c>
      <c r="S97" s="4">
        <v>4.9690000000000003E-3</v>
      </c>
      <c r="T97" s="4">
        <v>0</v>
      </c>
      <c r="U97" s="4">
        <v>0</v>
      </c>
      <c r="V97" s="10">
        <v>45977</v>
      </c>
      <c r="W97" s="2" t="s">
        <v>485</v>
      </c>
      <c r="X97" s="4">
        <v>4.9849999999999998E-3</v>
      </c>
      <c r="Y97" s="1" t="b">
        <v>0</v>
      </c>
    </row>
    <row r="98" spans="1:25" ht="64" x14ac:dyDescent="0.2">
      <c r="A98" s="1" t="s">
        <v>407</v>
      </c>
      <c r="B98" s="1" t="s">
        <v>18</v>
      </c>
      <c r="C98" s="2" t="s">
        <v>19</v>
      </c>
      <c r="D98" s="4">
        <v>0.6</v>
      </c>
      <c r="E98" s="1" t="s">
        <v>42</v>
      </c>
      <c r="G98" s="1" t="s">
        <v>258</v>
      </c>
      <c r="I98" s="2" t="s">
        <v>439</v>
      </c>
      <c r="J98" s="2" t="s">
        <v>304</v>
      </c>
      <c r="K98" s="1" t="b">
        <v>1</v>
      </c>
      <c r="L98" s="2" t="s">
        <v>125</v>
      </c>
      <c r="M98" s="2" t="str">
        <f t="shared" ref="M98:M129" si="10">_xlfn.CONCAT(I98,L98,J98)</f>
        <v>EVQLVESGGGLVQPGGSLRLSCAASGFNISSSSIHWVRQAPGKGLEWVASIYYSSGYTHYADSVKGRFTISADTSKNTAYLQMNSLRAEDTAVYYCARWGYWPGQVWLWFAYWGQGTLVTVSGGGSGGGSGGGSGGGSDIQMTQSPSSLSASVGDRVTITCRASQSVSSAVAWYQQKPGKAPKLLIYSASSLYSGVPSRFSGSRSGTDFTLTISSLQPEDFATYYCQQSSSSLITFGQGTKVEIK</v>
      </c>
      <c r="N98" s="4">
        <f t="shared" ref="N98:N129" si="11">LEN(M98)</f>
        <v>245</v>
      </c>
      <c r="O98" s="1" t="b">
        <f t="shared" ref="O98:O129" si="12">IF(N98&lt;=250,TRUE,FALSE)</f>
        <v>1</v>
      </c>
      <c r="P98" s="1" t="b">
        <v>0</v>
      </c>
      <c r="Q98" s="1" t="b">
        <f>TRUE()</f>
        <v>1</v>
      </c>
      <c r="R98" s="4">
        <v>0.307058</v>
      </c>
      <c r="S98" s="4">
        <v>0.42117900000000003</v>
      </c>
      <c r="T98" s="4">
        <v>2.3158999999999999E-2</v>
      </c>
      <c r="U98" s="4">
        <v>0.107353</v>
      </c>
      <c r="V98" s="10">
        <v>45977</v>
      </c>
      <c r="W98" s="2" t="s">
        <v>490</v>
      </c>
      <c r="X98" s="4">
        <v>0.12482500000000001</v>
      </c>
      <c r="Y98" s="1" t="b">
        <v>1</v>
      </c>
    </row>
    <row r="99" spans="1:25" ht="64" x14ac:dyDescent="0.2">
      <c r="A99" s="1" t="s">
        <v>408</v>
      </c>
      <c r="B99" s="1" t="s">
        <v>18</v>
      </c>
      <c r="C99" s="2" t="s">
        <v>19</v>
      </c>
      <c r="D99" s="4">
        <v>0.6</v>
      </c>
      <c r="E99" s="1" t="s">
        <v>42</v>
      </c>
      <c r="G99" s="1" t="s">
        <v>258</v>
      </c>
      <c r="I99" s="2" t="s">
        <v>440</v>
      </c>
      <c r="J99" s="2" t="s">
        <v>441</v>
      </c>
      <c r="K99" s="1" t="b">
        <v>1</v>
      </c>
      <c r="L99" s="2" t="s">
        <v>125</v>
      </c>
      <c r="M99" s="2" t="str">
        <f t="shared" si="10"/>
        <v>QVQLVQSGAEVKKPGSSVKVSCKSSGGTSNNYAISWVRQAPGQGLEWMGGIIPILGIANYAQKFQGRVTITADKSTSTAYMELSSLRSEDTAVYYCAREDAVVDYWGQGTLVTVSSGGGSGGGSGGGSGGGSDIQMTQSPSTLSASVGDRVTITCRASQGISSWLAWYQQKPGKAPKLLIYKASSLESGVPSRFSGSGSGTEFTLTISSLQPDDFATYYCQQYNSYPLTFGQGTKVQVK</v>
      </c>
      <c r="N99" s="4">
        <f t="shared" si="11"/>
        <v>239</v>
      </c>
      <c r="O99" s="1" t="b">
        <f t="shared" si="12"/>
        <v>1</v>
      </c>
      <c r="P99" s="1" t="b">
        <v>0</v>
      </c>
      <c r="Q99" s="1" t="b">
        <f>TRUE()</f>
        <v>1</v>
      </c>
      <c r="R99" s="4">
        <v>5.2290000000000001E-3</v>
      </c>
      <c r="S99" s="4">
        <v>6.1022E-2</v>
      </c>
      <c r="T99" s="4">
        <v>0.13461999999999999</v>
      </c>
      <c r="U99" s="4">
        <v>0.210697</v>
      </c>
      <c r="V99" s="10">
        <v>45978</v>
      </c>
      <c r="W99" s="2" t="s">
        <v>492</v>
      </c>
      <c r="X99" s="4">
        <v>0.119756</v>
      </c>
      <c r="Y99" s="1" t="b">
        <v>0</v>
      </c>
    </row>
    <row r="100" spans="1:25" ht="64" x14ac:dyDescent="0.2">
      <c r="A100" s="1" t="s">
        <v>409</v>
      </c>
      <c r="B100" s="1" t="s">
        <v>18</v>
      </c>
      <c r="C100" s="2" t="s">
        <v>19</v>
      </c>
      <c r="D100" s="4">
        <v>0.6</v>
      </c>
      <c r="E100" s="1" t="s">
        <v>42</v>
      </c>
      <c r="G100" s="1" t="s">
        <v>258</v>
      </c>
      <c r="I100" s="2" t="s">
        <v>442</v>
      </c>
      <c r="J100" s="2" t="s">
        <v>296</v>
      </c>
      <c r="K100" s="1" t="b">
        <v>1</v>
      </c>
      <c r="L100" s="2" t="s">
        <v>125</v>
      </c>
      <c r="M100" s="2" t="str">
        <f t="shared" si="10"/>
        <v>EVQLVESGGGLVQPGGSLRLSCAASGFNVSSSSIHWVRQAPGKGLEWVASISSYYGYTYYADSVKGRFTISADTSKNTAYLQMNSLRAEDTAVYYCARHWGYCSWFAYWGQGTLVTVSSGGGSGGGSGGGSGGGSDIQMTQSPSSLSASVGDRVTITCRASQSVSSAVAWYQQKPGKAPKLLIYSASSLYSGVPSRFSGSRSGTDFTLTISSLQPEDFATYYCQQYKYVPVTFGQGTKVEIK</v>
      </c>
      <c r="N100" s="4">
        <f t="shared" si="11"/>
        <v>242</v>
      </c>
      <c r="O100" s="1" t="b">
        <f t="shared" si="12"/>
        <v>1</v>
      </c>
      <c r="P100" s="1" t="b">
        <v>0</v>
      </c>
      <c r="Q100" s="1" t="b">
        <f>TRUE()</f>
        <v>1</v>
      </c>
      <c r="R100" s="4">
        <v>0</v>
      </c>
      <c r="S100" s="4">
        <v>5.176E-3</v>
      </c>
      <c r="T100" s="4">
        <v>0</v>
      </c>
      <c r="U100" s="4">
        <v>5.2370000000000003E-3</v>
      </c>
      <c r="V100" s="10"/>
      <c r="W100" s="11" t="s">
        <v>381</v>
      </c>
      <c r="Y100" s="1" t="b">
        <v>1</v>
      </c>
    </row>
    <row r="101" spans="1:25" ht="64" x14ac:dyDescent="0.2">
      <c r="A101" s="1" t="s">
        <v>410</v>
      </c>
      <c r="B101" s="1" t="s">
        <v>18</v>
      </c>
      <c r="C101" s="2" t="s">
        <v>19</v>
      </c>
      <c r="D101" s="4">
        <v>0.6</v>
      </c>
      <c r="E101" s="1" t="s">
        <v>42</v>
      </c>
      <c r="G101" s="1" t="s">
        <v>258</v>
      </c>
      <c r="I101" s="2" t="s">
        <v>443</v>
      </c>
      <c r="J101" s="2" t="s">
        <v>304</v>
      </c>
      <c r="K101" s="1" t="b">
        <v>1</v>
      </c>
      <c r="L101" s="2" t="s">
        <v>125</v>
      </c>
      <c r="M101" s="2" t="str">
        <f t="shared" si="10"/>
        <v>EVQLVESGGGLVQPGGSLRLSCAASGFNISSSSIHWVRQAPGKGLEWVASIYSYSGYTSYADSVKGRFTISADTSKNTAYLQMNSLRAEDTAVYYCARGSHYFGYFDYWGQGTLVTVSSGGGSGGGSGGGSGGGSDIQMTQSPSSLSASVGDRVTITCRASQSVSSAVAWYQQKPGKAPKLLIYSASSLYSGVPSRFSGSRSGTDFTLTISSLQPEDFATYYCQQSSSSLITFGQGTKVEIK</v>
      </c>
      <c r="N101" s="4">
        <f t="shared" si="11"/>
        <v>242</v>
      </c>
      <c r="O101" s="1" t="b">
        <f t="shared" si="12"/>
        <v>1</v>
      </c>
      <c r="P101" s="1" t="b">
        <v>0</v>
      </c>
      <c r="Q101" s="1" t="b">
        <f>TRUE()</f>
        <v>1</v>
      </c>
      <c r="R101" s="4">
        <v>0</v>
      </c>
      <c r="S101" s="4">
        <v>5.4390000000000003E-3</v>
      </c>
      <c r="T101" s="4">
        <v>0.41967900000000002</v>
      </c>
      <c r="U101" s="4">
        <v>0.54871800000000004</v>
      </c>
      <c r="V101" s="10"/>
      <c r="W101" s="11" t="s">
        <v>381</v>
      </c>
      <c r="Y101" s="1" t="b">
        <v>0</v>
      </c>
    </row>
    <row r="102" spans="1:25" ht="64" x14ac:dyDescent="0.2">
      <c r="A102" s="1" t="s">
        <v>411</v>
      </c>
      <c r="B102" s="1" t="s">
        <v>18</v>
      </c>
      <c r="C102" s="2" t="s">
        <v>19</v>
      </c>
      <c r="D102" s="4">
        <v>0.6</v>
      </c>
      <c r="E102" s="1" t="s">
        <v>42</v>
      </c>
      <c r="G102" s="1" t="s">
        <v>258</v>
      </c>
      <c r="I102" s="2" t="s">
        <v>444</v>
      </c>
      <c r="J102" s="2" t="s">
        <v>445</v>
      </c>
      <c r="K102" s="1" t="b">
        <v>1</v>
      </c>
      <c r="L102" s="2" t="s">
        <v>125</v>
      </c>
      <c r="M102" s="2" t="str">
        <f t="shared" si="10"/>
        <v>QVQLQESGPGLVKPSQTLSLTCTVSGGSISSGDYYWIRQHPGKGLEWIGYIYYSGSTDYNPSLKSRVTISVDTSKNQFSLKVTAADTAVYYCARTWFGSDYWGQGTLVTVSSGGGSGGGSGGGSGGGSDIQMTQSPSSLSASVGDRVTITCRASQGISNYLAWYQQKPGKAPKLLIYAASTLQSGVPSRFSGSGSGTDFTLTISSLQPEDFATYYCQQAHSFPYTFGGGTKLEIK</v>
      </c>
      <c r="N102" s="4">
        <f t="shared" si="11"/>
        <v>235</v>
      </c>
      <c r="O102" s="1" t="b">
        <f t="shared" si="12"/>
        <v>1</v>
      </c>
      <c r="P102" s="1" t="b">
        <v>0</v>
      </c>
      <c r="Q102" s="1" t="b">
        <f>TRUE()</f>
        <v>1</v>
      </c>
      <c r="R102" s="4">
        <v>0</v>
      </c>
      <c r="S102" s="4">
        <v>5.2649999999999997E-3</v>
      </c>
      <c r="T102" s="4">
        <v>5.2844000000000002E-2</v>
      </c>
      <c r="U102" s="4">
        <v>0.106228</v>
      </c>
      <c r="V102" s="10">
        <v>45978</v>
      </c>
      <c r="W102" s="2" t="s">
        <v>493</v>
      </c>
      <c r="X102" s="4">
        <v>0.25569399999999998</v>
      </c>
      <c r="Y102" s="1" t="b">
        <v>0</v>
      </c>
    </row>
    <row r="103" spans="1:25" ht="64" x14ac:dyDescent="0.2">
      <c r="A103" s="1" t="s">
        <v>412</v>
      </c>
      <c r="B103" s="1" t="s">
        <v>18</v>
      </c>
      <c r="C103" s="2" t="s">
        <v>19</v>
      </c>
      <c r="D103" s="4">
        <v>0.6</v>
      </c>
      <c r="E103" s="1" t="s">
        <v>42</v>
      </c>
      <c r="G103" s="1" t="s">
        <v>258</v>
      </c>
      <c r="I103" s="2" t="s">
        <v>446</v>
      </c>
      <c r="J103" s="2" t="s">
        <v>447</v>
      </c>
      <c r="K103" s="1" t="b">
        <v>1</v>
      </c>
      <c r="L103" s="2" t="s">
        <v>125</v>
      </c>
      <c r="M103" s="2" t="str">
        <f t="shared" si="10"/>
        <v>EVQLVESGGGLVQPGGSLRLSCAASGFTFSSYWMNWVRQAPGKGLEWVAFIRYDGGNKYYADSVKGRFTISRDNSKNTLYLQMNSLRAEDTAVYYCARWSYSGGSGSYYVYFDYWGQGTLVTVSGGGSGGGSGGGSGGGSSVLTQPPSVSGAPGQRVTISCTGSSSNIGAGYDVHWYQQLPGTAPKLLIYGNSNRPSGVPDRFSGSKSGTSASLAITGLQAEDEADYYCQSYDSSLSGSVFGGGTKLTVL</v>
      </c>
      <c r="N103" s="4">
        <f t="shared" si="11"/>
        <v>250</v>
      </c>
      <c r="O103" s="1" t="b">
        <f t="shared" si="12"/>
        <v>1</v>
      </c>
      <c r="P103" s="1" t="b">
        <v>0</v>
      </c>
      <c r="Q103" s="1" t="b">
        <f>TRUE()</f>
        <v>1</v>
      </c>
      <c r="R103" s="4">
        <v>0</v>
      </c>
      <c r="S103" s="4">
        <v>5.385E-3</v>
      </c>
      <c r="T103" s="4">
        <v>0.20178599999999999</v>
      </c>
      <c r="U103" s="4">
        <v>0.31110399999999999</v>
      </c>
      <c r="V103" s="10">
        <v>45978</v>
      </c>
      <c r="W103" s="2" t="s">
        <v>514</v>
      </c>
      <c r="X103" s="4">
        <v>0.225609</v>
      </c>
      <c r="Y103" s="1" t="b">
        <v>0</v>
      </c>
    </row>
    <row r="104" spans="1:25" ht="64" x14ac:dyDescent="0.2">
      <c r="A104" s="1" t="s">
        <v>413</v>
      </c>
      <c r="B104" s="1" t="s">
        <v>18</v>
      </c>
      <c r="C104" s="2" t="s">
        <v>19</v>
      </c>
      <c r="D104" s="4">
        <v>0.6</v>
      </c>
      <c r="E104" s="1" t="s">
        <v>42</v>
      </c>
      <c r="G104" s="1" t="s">
        <v>258</v>
      </c>
      <c r="I104" s="2" t="s">
        <v>448</v>
      </c>
      <c r="J104" s="2" t="s">
        <v>449</v>
      </c>
      <c r="K104" s="1" t="b">
        <v>1</v>
      </c>
      <c r="L104" s="2" t="s">
        <v>125</v>
      </c>
      <c r="M104" s="2" t="str">
        <f t="shared" si="10"/>
        <v>QVQLVQSGAEVKKPGASVKVSCKASGYTFTNYYIHWVRQAPGQGLEWMGWIYPGGNTNYAQKFQGRVTMTRDTSISTAYMELSRLRSDDTAVYYCARVRTEFDYWGQGTLVTVSSGGGSGGGSGGGSGGGSDIVMTQSPSSLAMSAGAETITCRSSQSVHSNGYLNWYQQKPGQPPKLLIYWASTRESGVPDRFTGSGSGTDFTLTITNVQSEDLAEYFCQQYSSYPLTFGAGTKLELR</v>
      </c>
      <c r="N104" s="4">
        <f t="shared" si="11"/>
        <v>239</v>
      </c>
      <c r="O104" s="1" t="b">
        <f t="shared" si="12"/>
        <v>1</v>
      </c>
      <c r="P104" s="1" t="b">
        <v>0</v>
      </c>
      <c r="Q104" s="1" t="b">
        <f>TRUE()</f>
        <v>1</v>
      </c>
      <c r="R104" s="4">
        <v>0</v>
      </c>
      <c r="S104" s="4">
        <v>5.3680000000000004E-3</v>
      </c>
      <c r="T104" s="4">
        <v>0</v>
      </c>
      <c r="U104" s="4">
        <v>4.8450000000000003E-3</v>
      </c>
      <c r="V104" s="10">
        <v>45978</v>
      </c>
      <c r="W104" s="2" t="s">
        <v>495</v>
      </c>
      <c r="X104" s="4">
        <v>0</v>
      </c>
      <c r="Y104" s="1" t="b">
        <v>0</v>
      </c>
    </row>
    <row r="105" spans="1:25" ht="64" x14ac:dyDescent="0.2">
      <c r="A105" s="1" t="s">
        <v>414</v>
      </c>
      <c r="B105" s="1" t="s">
        <v>18</v>
      </c>
      <c r="C105" s="2" t="s">
        <v>19</v>
      </c>
      <c r="D105" s="4">
        <v>0.6</v>
      </c>
      <c r="E105" s="1" t="s">
        <v>42</v>
      </c>
      <c r="G105" s="1" t="s">
        <v>258</v>
      </c>
      <c r="I105" s="2" t="s">
        <v>450</v>
      </c>
      <c r="J105" s="2" t="s">
        <v>451</v>
      </c>
      <c r="K105" s="1" t="b">
        <v>1</v>
      </c>
      <c r="L105" s="2" t="s">
        <v>125</v>
      </c>
      <c r="M105" s="2" t="str">
        <f t="shared" si="10"/>
        <v>QVQLQESGPGLVKPSETLSLTCTVSGGSVSSGGYFWSWIRQPPGKGLEWIGYVSGSGSTNYNPSLKSRVTISVDTSKNQFSLKLSSVTAADTAVYYCARWDVWISDYWGQGTLVTVSSGGGSGGGSGGGSGGGSEIVLTQSPATLSLSPGERATLSCRASQSVSSYLAWYQQKPGQAPRLLIYDASNRATGIPARFSGSGSGTDFTLTISSLEPEDFAVYYCQHSWDQPPWTFGQGTKVEIK</v>
      </c>
      <c r="N105" s="4">
        <f t="shared" si="11"/>
        <v>242</v>
      </c>
      <c r="O105" s="1" t="b">
        <f t="shared" si="12"/>
        <v>1</v>
      </c>
      <c r="P105" s="1" t="b">
        <v>0</v>
      </c>
      <c r="Q105" s="1" t="b">
        <f>TRUE()</f>
        <v>1</v>
      </c>
      <c r="R105" s="4">
        <v>0</v>
      </c>
      <c r="S105" s="4">
        <v>1.5878E-2</v>
      </c>
      <c r="T105" s="4">
        <v>0</v>
      </c>
      <c r="U105" s="4">
        <v>3.3703999999999998E-2</v>
      </c>
      <c r="V105" s="10">
        <v>45978</v>
      </c>
      <c r="W105" s="2" t="s">
        <v>496</v>
      </c>
      <c r="X105" s="4">
        <v>5.1900000000000002E-3</v>
      </c>
      <c r="Y105" s="1" t="b">
        <v>0</v>
      </c>
    </row>
    <row r="106" spans="1:25" ht="64" x14ac:dyDescent="0.2">
      <c r="A106" s="1" t="s">
        <v>415</v>
      </c>
      <c r="B106" s="1" t="s">
        <v>18</v>
      </c>
      <c r="C106" s="2" t="s">
        <v>19</v>
      </c>
      <c r="D106" s="4">
        <v>0.6</v>
      </c>
      <c r="E106" s="1" t="s">
        <v>42</v>
      </c>
      <c r="G106" s="1" t="s">
        <v>258</v>
      </c>
      <c r="I106" s="2" t="s">
        <v>452</v>
      </c>
      <c r="J106" s="2" t="s">
        <v>453</v>
      </c>
      <c r="K106" s="1" t="b">
        <v>1</v>
      </c>
      <c r="L106" s="2" t="s">
        <v>125</v>
      </c>
      <c r="M106" s="2" t="str">
        <f t="shared" si="10"/>
        <v>QVQLQESGPGLVKPSQTLSLTCTVTGSSITSGYWNWIRQFPGNKLEWMGYISYSGTITYNPSLKSRISITRDTSKNQFFLQLNSVTTEDTATYYCARVYDGFYDYWGQGTLVTVSSGGGSGGGSGGGSGGGSDIVMTQSPSSLSASVGDRVTITCRASQGISSWLAWYQQKPGKAPKLLIYKASSLESGVPSRFSGSGSGTEFTLTISSLQPDDFATYYCQQYNSYPLTFGGGTKVEIK</v>
      </c>
      <c r="N106" s="4">
        <f t="shared" si="11"/>
        <v>239</v>
      </c>
      <c r="O106" s="1" t="b">
        <f t="shared" si="12"/>
        <v>1</v>
      </c>
      <c r="P106" s="1" t="b">
        <v>0</v>
      </c>
      <c r="Q106" s="1" t="b">
        <f>TRUE()</f>
        <v>1</v>
      </c>
      <c r="R106" s="4">
        <v>0</v>
      </c>
      <c r="S106" s="4">
        <v>0</v>
      </c>
      <c r="T106" s="4">
        <v>0</v>
      </c>
      <c r="U106" s="4">
        <v>4.9810000000000002E-3</v>
      </c>
      <c r="V106" s="10">
        <v>45978</v>
      </c>
      <c r="W106" s="2" t="s">
        <v>494</v>
      </c>
      <c r="X106" s="4">
        <v>0</v>
      </c>
      <c r="Y106" s="1" t="b">
        <v>1</v>
      </c>
    </row>
    <row r="107" spans="1:25" ht="64" x14ac:dyDescent="0.2">
      <c r="A107" s="1" t="s">
        <v>416</v>
      </c>
      <c r="B107" s="1" t="s">
        <v>18</v>
      </c>
      <c r="C107" s="2" t="s">
        <v>19</v>
      </c>
      <c r="D107" s="4">
        <v>0.9</v>
      </c>
      <c r="E107" s="1" t="s">
        <v>42</v>
      </c>
      <c r="G107" s="1" t="s">
        <v>258</v>
      </c>
      <c r="I107" s="2" t="s">
        <v>454</v>
      </c>
      <c r="J107" s="2" t="s">
        <v>455</v>
      </c>
      <c r="K107" s="1" t="b">
        <v>1</v>
      </c>
      <c r="L107" s="2" t="s">
        <v>125</v>
      </c>
      <c r="M107" s="2" t="str">
        <f t="shared" si="10"/>
        <v>QVQLVESGGGVVQPGRSLRLSCAASGFTFSNYAMHWVRQAPGKGLEWVAVISYNSGNPYADSVKGRFTISRDNSKNTLYLQMRVEDTAVYYCSRTTIGYGGDIWGNMFDYWGQGTLVTVSSGGGSGGGSGGGSGGGSDIVMTQSPATLSVSPGDRATLSCRASQSISTNLAWYQQKPGQAPRLLIYTASTLESGVPSRFSGSGSGTEFTLTISNLQSEDFATYFCQQYSAPLTFGGGTKVEIK</v>
      </c>
      <c r="N107" s="4">
        <f t="shared" si="11"/>
        <v>243</v>
      </c>
      <c r="O107" s="1" t="b">
        <f t="shared" si="12"/>
        <v>1</v>
      </c>
      <c r="P107" s="1" t="b">
        <v>0</v>
      </c>
      <c r="Q107" s="1" t="b">
        <f>TRUE()</f>
        <v>1</v>
      </c>
      <c r="R107" s="4">
        <v>0</v>
      </c>
      <c r="S107" s="4">
        <v>5.5960000000000003E-3</v>
      </c>
      <c r="T107" s="4">
        <v>0</v>
      </c>
      <c r="U107" s="4">
        <v>8.8760000000000002E-3</v>
      </c>
      <c r="V107" s="10">
        <v>45977</v>
      </c>
      <c r="W107" s="2" t="s">
        <v>489</v>
      </c>
      <c r="X107" s="4">
        <v>6.4222000000000001E-2</v>
      </c>
      <c r="Y107" s="1" t="b">
        <v>0</v>
      </c>
    </row>
    <row r="108" spans="1:25" ht="64" x14ac:dyDescent="0.2">
      <c r="A108" s="1" t="s">
        <v>417</v>
      </c>
      <c r="B108" s="1" t="s">
        <v>18</v>
      </c>
      <c r="C108" s="2" t="s">
        <v>19</v>
      </c>
      <c r="D108" s="4">
        <v>0.9</v>
      </c>
      <c r="E108" s="1" t="s">
        <v>42</v>
      </c>
      <c r="G108" s="1" t="s">
        <v>258</v>
      </c>
      <c r="I108" s="2" t="s">
        <v>456</v>
      </c>
      <c r="J108" s="2" t="s">
        <v>457</v>
      </c>
      <c r="K108" s="1" t="b">
        <v>1</v>
      </c>
      <c r="L108" s="2" t="s">
        <v>126</v>
      </c>
      <c r="M108" s="2" t="str">
        <f t="shared" si="10"/>
        <v>EVQLVESGGGLVQPGGSLRLSCAASGFASSSSNYVHWVRQAPGKGLEWVATIYPYSSSEYAASVQGRFTISRDDSKNTLYLQMNSLRGEDTAVYYCARYGYYSSRSGYGYYFNYWGQGTLVTVSSGGGSGGGSGGGSDIVMTQSPASLAVSLGQRATISCRASESVDSYGNSFLAWYQQKPGQPPKLLIYWASTRQSGVPARFSGSGSGTDFTLNIHPVEEEDAATYYCQQHNYPLTFGAGTKLEIK</v>
      </c>
      <c r="N108" s="4">
        <f t="shared" si="11"/>
        <v>247</v>
      </c>
      <c r="O108" s="1" t="b">
        <f t="shared" si="12"/>
        <v>1</v>
      </c>
      <c r="P108" s="1" t="b">
        <v>0</v>
      </c>
      <c r="Q108" s="1" t="b">
        <f>TRUE()</f>
        <v>1</v>
      </c>
      <c r="R108" s="4">
        <v>0.51522000000000001</v>
      </c>
      <c r="S108" s="4">
        <v>0.575318</v>
      </c>
      <c r="T108" s="4">
        <v>0.17435200000000001</v>
      </c>
      <c r="U108" s="4">
        <v>0.27768900000000002</v>
      </c>
      <c r="V108" s="10">
        <v>45977</v>
      </c>
      <c r="W108" s="2" t="s">
        <v>488</v>
      </c>
      <c r="X108" s="4">
        <v>0.136903</v>
      </c>
      <c r="Y108" s="1" t="b">
        <v>0</v>
      </c>
    </row>
    <row r="109" spans="1:25" ht="64" x14ac:dyDescent="0.2">
      <c r="A109" s="1" t="s">
        <v>418</v>
      </c>
      <c r="B109" s="1" t="s">
        <v>18</v>
      </c>
      <c r="C109" s="2" t="s">
        <v>19</v>
      </c>
      <c r="D109" s="4">
        <v>0.9</v>
      </c>
      <c r="E109" s="1" t="s">
        <v>42</v>
      </c>
      <c r="G109" s="1" t="s">
        <v>258</v>
      </c>
      <c r="I109" s="2" t="s">
        <v>458</v>
      </c>
      <c r="J109" s="2" t="s">
        <v>459</v>
      </c>
      <c r="K109" s="1" t="b">
        <v>1</v>
      </c>
      <c r="L109" s="2" t="s">
        <v>125</v>
      </c>
      <c r="M109" s="2" t="str">
        <f t="shared" si="10"/>
        <v>EVQLVESGAEVKKPGSSVKVSCKASGGPFTSYVISWVRQAPGQGLEWMGRIIPIRGTTYAQKFQGRVTITADKSTSTAYMELRSEDTAVYYCARGSHVFGYYDYWGQGTLVTVSSGGGSGGGSGGGSGGGSEIVLTQSPGTLSLSPGERATLSCRASQSISGNYLAWYQQKPGQAPRLLIYGASIRAAGIPDRFSGSGSGTDFTLTISRLEPEDFAVYYCQQYGSSPRTFGQGTKVEIK</v>
      </c>
      <c r="N109" s="4">
        <f t="shared" si="11"/>
        <v>239</v>
      </c>
      <c r="O109" s="1" t="b">
        <f t="shared" si="12"/>
        <v>1</v>
      </c>
      <c r="P109" s="1" t="b">
        <v>0</v>
      </c>
      <c r="Q109" s="1" t="b">
        <f>TRUE()</f>
        <v>1</v>
      </c>
      <c r="R109" s="4">
        <v>0</v>
      </c>
      <c r="S109" s="4">
        <v>0</v>
      </c>
      <c r="T109" s="4">
        <v>5.156E-3</v>
      </c>
      <c r="U109" s="4">
        <v>5.5950000000000001E-3</v>
      </c>
      <c r="V109" s="10">
        <v>45978</v>
      </c>
      <c r="W109" s="2" t="s">
        <v>498</v>
      </c>
      <c r="X109" s="4">
        <v>5.313E-3</v>
      </c>
      <c r="Y109" s="1" t="b">
        <v>0</v>
      </c>
    </row>
    <row r="110" spans="1:25" ht="64" x14ac:dyDescent="0.2">
      <c r="A110" s="1" t="s">
        <v>419</v>
      </c>
      <c r="B110" s="1" t="s">
        <v>18</v>
      </c>
      <c r="C110" s="2" t="s">
        <v>19</v>
      </c>
      <c r="D110" s="4">
        <v>0.9</v>
      </c>
      <c r="E110" s="1" t="s">
        <v>42</v>
      </c>
      <c r="G110" s="1" t="s">
        <v>258</v>
      </c>
      <c r="I110" s="2" t="s">
        <v>460</v>
      </c>
      <c r="J110" s="2" t="s">
        <v>461</v>
      </c>
      <c r="K110" s="1" t="b">
        <v>1</v>
      </c>
      <c r="L110" s="2" t="s">
        <v>125</v>
      </c>
      <c r="M110" s="2" t="str">
        <f t="shared" si="10"/>
        <v>EVQLVETGGGLVQPGGSLKLSCRASGYTFTDYAMHWVRQAPLGLGLYTGGVNYARHFMKSRISITRDNSKNTLYLQMTKVDDTATYFCARRGLFDSDYWGQGTLVTVSSGGGSGGGSGGGSGGGSSVTQPPSVSGSTSVGDRVTTCRASQSISSNWLAWYQQFPGTAPKLLIYENSSRPSGVPDRFSGSGSGTDFTLKISRVEAEDVGVYYCLQALSPRFTFGSGTKLEIK</v>
      </c>
      <c r="N110" s="4">
        <f t="shared" si="11"/>
        <v>231</v>
      </c>
      <c r="O110" s="1" t="b">
        <f t="shared" si="12"/>
        <v>1</v>
      </c>
      <c r="P110" s="1" t="b">
        <v>0</v>
      </c>
      <c r="Q110" s="1" t="b">
        <f>TRUE()</f>
        <v>1</v>
      </c>
      <c r="R110" s="4">
        <v>0</v>
      </c>
      <c r="S110" s="4">
        <v>0</v>
      </c>
      <c r="T110" s="4">
        <v>0</v>
      </c>
      <c r="U110" s="4">
        <v>3.1406999999999997E-2</v>
      </c>
      <c r="V110" s="10">
        <v>45978</v>
      </c>
      <c r="W110" s="2" t="s">
        <v>497</v>
      </c>
      <c r="X110" s="4">
        <v>0</v>
      </c>
      <c r="Y110" s="1" t="b">
        <v>0</v>
      </c>
    </row>
    <row r="111" spans="1:25" ht="64" x14ac:dyDescent="0.2">
      <c r="A111" s="1" t="s">
        <v>420</v>
      </c>
      <c r="B111" s="1" t="s">
        <v>18</v>
      </c>
      <c r="C111" s="2" t="s">
        <v>19</v>
      </c>
      <c r="D111" s="4">
        <v>0.9</v>
      </c>
      <c r="E111" s="1" t="s">
        <v>42</v>
      </c>
      <c r="G111" s="1" t="s">
        <v>258</v>
      </c>
      <c r="I111" s="2" t="s">
        <v>462</v>
      </c>
      <c r="J111" s="2" t="s">
        <v>463</v>
      </c>
      <c r="K111" s="1" t="b">
        <v>1</v>
      </c>
      <c r="L111" s="2" t="s">
        <v>125</v>
      </c>
      <c r="M111" s="2" t="str">
        <f t="shared" si="10"/>
        <v>QVQLVQSGAEVKKPGSSVKVSCKASGGTFSNYGISWVRQAPGQGLEWMGGIIPILGIANYAQKFQGRVTITADKSTSTAYMELRSLRSDDTAVYYCAREGHAYFHNGLDYWGQGTLVTVSSGGGSGGGSGGGSGGGSEIVLTQSPGTLSLSPGERATLSCRASQSVSSSYFAWYQQKPGQAPRLLIYGASSRATGIPDRFSGSGSGTDFTLTISRLEPEDFAVYYCQQYGSSPPATFGQGTKVEIK</v>
      </c>
      <c r="N111" s="4">
        <f t="shared" si="11"/>
        <v>246</v>
      </c>
      <c r="O111" s="1" t="b">
        <f t="shared" si="12"/>
        <v>1</v>
      </c>
      <c r="P111" s="1" t="b">
        <v>0</v>
      </c>
      <c r="Q111" s="1" t="b">
        <f>TRUE()</f>
        <v>1</v>
      </c>
      <c r="R111" s="4">
        <v>5.1460000000000004E-3</v>
      </c>
      <c r="S111" s="4">
        <v>2.6327E-2</v>
      </c>
      <c r="T111" s="4">
        <v>5.1370000000000001E-3</v>
      </c>
      <c r="U111" s="4">
        <v>3.1036000000000001E-2</v>
      </c>
      <c r="V111" s="10">
        <v>45978</v>
      </c>
      <c r="W111" s="2" t="s">
        <v>499</v>
      </c>
      <c r="X111" s="4">
        <v>0.274924</v>
      </c>
      <c r="Y111" s="1" t="b">
        <v>0</v>
      </c>
    </row>
    <row r="112" spans="1:25" ht="64" x14ac:dyDescent="0.2">
      <c r="A112" s="1" t="s">
        <v>421</v>
      </c>
      <c r="B112" s="1" t="s">
        <v>18</v>
      </c>
      <c r="C112" s="2" t="s">
        <v>19</v>
      </c>
      <c r="D112" s="4">
        <v>0.9</v>
      </c>
      <c r="E112" s="1" t="s">
        <v>42</v>
      </c>
      <c r="G112" s="1" t="s">
        <v>258</v>
      </c>
      <c r="I112" s="2" t="s">
        <v>464</v>
      </c>
      <c r="J112" s="2" t="s">
        <v>465</v>
      </c>
      <c r="K112" s="1" t="b">
        <v>1</v>
      </c>
      <c r="L112" s="2" t="s">
        <v>125</v>
      </c>
      <c r="M112" s="2" t="str">
        <f t="shared" si="10"/>
        <v>QVQLVESGGGVVQPGRSLRLSCAASGFTFSSFGMHWVRQAPGKGLEWVAIIWDGSNKYYADSVKGRFTISRDNSKNTLYLQMRAEDTAVYYCALDGGSFDDYWGQGTLVTVSSGGGSGGGSGGGSGGGSDIQMTQSPSTLSTSVGDRVTITCRASQSISSWLAWYQQKPGKAPKLLIYKASTLESGVPSRFSGSGSGTEFTLTISSLQPDDFATYYCQHFYGTPITFGPGTKVD</v>
      </c>
      <c r="N112" s="4">
        <f t="shared" si="11"/>
        <v>234</v>
      </c>
      <c r="O112" s="1" t="b">
        <f t="shared" si="12"/>
        <v>1</v>
      </c>
      <c r="P112" s="1" t="b">
        <v>0</v>
      </c>
      <c r="Q112" s="1" t="b">
        <f>TRUE()</f>
        <v>1</v>
      </c>
      <c r="R112" s="4">
        <v>0.15404200000000001</v>
      </c>
      <c r="S112" s="4">
        <v>0.23156599999999999</v>
      </c>
      <c r="T112" s="4">
        <v>0.21313499999999999</v>
      </c>
      <c r="U112" s="4">
        <v>0.346024</v>
      </c>
      <c r="V112" s="10">
        <v>45978</v>
      </c>
      <c r="W112" s="2" t="s">
        <v>500</v>
      </c>
      <c r="X112" s="4">
        <v>0.27380900000000002</v>
      </c>
      <c r="Y112" s="1" t="b">
        <v>0</v>
      </c>
    </row>
    <row r="113" spans="1:25" ht="64" x14ac:dyDescent="0.2">
      <c r="A113" s="1" t="s">
        <v>422</v>
      </c>
      <c r="B113" s="1" t="s">
        <v>18</v>
      </c>
      <c r="C113" s="2" t="s">
        <v>19</v>
      </c>
      <c r="D113" s="4">
        <v>0.9</v>
      </c>
      <c r="E113" s="1" t="s">
        <v>42</v>
      </c>
      <c r="G113" s="1" t="s">
        <v>258</v>
      </c>
      <c r="I113" s="2" t="s">
        <v>466</v>
      </c>
      <c r="J113" s="2" t="s">
        <v>467</v>
      </c>
      <c r="K113" s="1" t="b">
        <v>1</v>
      </c>
      <c r="L113" s="2" t="s">
        <v>125</v>
      </c>
      <c r="M113" s="2" t="str">
        <f t="shared" si="10"/>
        <v>EVQLVESGGGLVKPGGSLKVSCAASGFTFSDYSMNWVRQAPGKGLEWVSSITSGYTSIYYADSVKGRFTISRDNAKNSLYLQMNSLRAGDTAVYYCARVSDNFDYWGQGTAVTVSSGGGSGGGSGGGSGGGSDIQMTQSPSSLSASVGDRVTITCQASQDIRFYLNWYQQKPGKAPKLLISAASTLQSGVPSRFSGSGSGTDFTLTITSLQPEDFATYYCAGYVPSYTFGPGTKVDIK</v>
      </c>
      <c r="N113" s="4">
        <f t="shared" si="11"/>
        <v>238</v>
      </c>
      <c r="O113" s="1" t="b">
        <f t="shared" si="12"/>
        <v>1</v>
      </c>
      <c r="P113" s="1" t="b">
        <v>0</v>
      </c>
      <c r="Q113" s="1" t="b">
        <f>TRUE()</f>
        <v>1</v>
      </c>
      <c r="R113" s="4">
        <v>0</v>
      </c>
      <c r="S113" s="4">
        <v>0</v>
      </c>
      <c r="T113" s="4">
        <v>0</v>
      </c>
      <c r="U113" s="4">
        <v>0</v>
      </c>
      <c r="V113" s="10">
        <v>45979</v>
      </c>
      <c r="W113" s="2" t="s">
        <v>508</v>
      </c>
      <c r="X113" s="4">
        <v>0.61102100000000004</v>
      </c>
      <c r="Y113" s="1" t="b">
        <v>0</v>
      </c>
    </row>
    <row r="114" spans="1:25" ht="64" x14ac:dyDescent="0.2">
      <c r="A114" s="1" t="s">
        <v>423</v>
      </c>
      <c r="B114" s="1" t="s">
        <v>18</v>
      </c>
      <c r="C114" s="2" t="s">
        <v>19</v>
      </c>
      <c r="D114" s="4">
        <v>0.9</v>
      </c>
      <c r="E114" s="1" t="s">
        <v>42</v>
      </c>
      <c r="G114" s="1" t="s">
        <v>258</v>
      </c>
      <c r="I114" s="2" t="s">
        <v>468</v>
      </c>
      <c r="J114" s="2" t="s">
        <v>469</v>
      </c>
      <c r="K114" s="1" t="b">
        <v>1</v>
      </c>
      <c r="L114" s="2" t="s">
        <v>125</v>
      </c>
      <c r="M114" s="2" t="str">
        <f t="shared" si="10"/>
        <v>EVQLQQSGAELVKPGASVKLSCKASGYTFLDYYMYWVKQRPEQGLEWIGRIDPANGNTIYAPKFQDKATLTLTTDTTSSNTAYMQLSSLTSEDSAVYYCAREGNYGYRDLAWFAYWGQGTLVTVSSGGGSGGGSGGGSGGGSAIRMTQSPSSLSASVGDTVTITCRASQSISSYLNWYQQKPGKAPKLLIYTASNLESGVPSRFSGSGSGTDYTLTISSLQPEDIATYYCQQYDNPPLTFGGGTKVEIK</v>
      </c>
      <c r="N114" s="4">
        <f t="shared" si="11"/>
        <v>249</v>
      </c>
      <c r="O114" s="1" t="b">
        <f t="shared" si="12"/>
        <v>1</v>
      </c>
      <c r="P114" s="1" t="b">
        <v>0</v>
      </c>
      <c r="Q114" s="1" t="b">
        <f>TRUE()</f>
        <v>1</v>
      </c>
      <c r="R114" s="4">
        <v>5.705E-3</v>
      </c>
      <c r="S114" s="4">
        <v>4.4477999999999997E-2</v>
      </c>
      <c r="T114" s="4">
        <v>0</v>
      </c>
      <c r="U114" s="4">
        <v>5.2859999999999999E-3</v>
      </c>
      <c r="V114" s="10">
        <v>45979</v>
      </c>
      <c r="W114" s="2" t="s">
        <v>510</v>
      </c>
      <c r="X114" s="4">
        <v>8.9335999999999999E-2</v>
      </c>
      <c r="Y114" s="1" t="b">
        <v>0</v>
      </c>
    </row>
    <row r="115" spans="1:25" ht="64" x14ac:dyDescent="0.2">
      <c r="A115" s="1" t="s">
        <v>424</v>
      </c>
      <c r="B115" s="1" t="s">
        <v>18</v>
      </c>
      <c r="C115" s="2" t="s">
        <v>19</v>
      </c>
      <c r="D115" s="4">
        <v>0.9</v>
      </c>
      <c r="E115" s="1" t="s">
        <v>42</v>
      </c>
      <c r="G115" s="1" t="s">
        <v>258</v>
      </c>
      <c r="I115" s="2" t="s">
        <v>470</v>
      </c>
      <c r="J115" s="2" t="s">
        <v>471</v>
      </c>
      <c r="K115" s="1" t="b">
        <v>1</v>
      </c>
      <c r="L115" s="2" t="s">
        <v>125</v>
      </c>
      <c r="M115" s="2" t="str">
        <f t="shared" si="10"/>
        <v>QVQLQESGPGLVKPSETLSLTCTVSGGSVSSGGYFWSWIRQRPGKGLEWIGHIYYSGTTNYNPSLRSRVTISRDTSKSQFSLKMDSLTSEDTALYYCARQLGLRFDIWGQGTMVTVSSGGGSGGGSGGGSGGGSDIQMTQSPSSLSASVGDRVTITCRASQSISSYLNWYQQKPGKAPKLLIYAASSLQSGVPSRFSGSGSGTDFTLTISSLQPEDFATYYCQQSYTTPPTFGQGTKVEIK</v>
      </c>
      <c r="N115" s="4">
        <f t="shared" si="11"/>
        <v>241</v>
      </c>
      <c r="O115" s="1" t="b">
        <f t="shared" si="12"/>
        <v>1</v>
      </c>
      <c r="P115" s="1" t="b">
        <v>0</v>
      </c>
      <c r="Q115" s="1" t="b">
        <f>TRUE()</f>
        <v>1</v>
      </c>
      <c r="R115" s="4">
        <v>0</v>
      </c>
      <c r="S115" s="4">
        <v>0</v>
      </c>
      <c r="T115" s="4">
        <v>0</v>
      </c>
      <c r="U115" s="4">
        <v>0</v>
      </c>
      <c r="V115" s="10">
        <v>45979</v>
      </c>
      <c r="W115" s="2" t="s">
        <v>511</v>
      </c>
      <c r="X115" s="4">
        <v>5.3220000000000003E-3</v>
      </c>
      <c r="Y115" s="1" t="b">
        <v>1</v>
      </c>
    </row>
    <row r="116" spans="1:25" ht="64" x14ac:dyDescent="0.2">
      <c r="A116" s="1" t="s">
        <v>425</v>
      </c>
      <c r="B116" s="1" t="s">
        <v>18</v>
      </c>
      <c r="C116" s="2" t="s">
        <v>19</v>
      </c>
      <c r="D116" s="4">
        <v>0.9</v>
      </c>
      <c r="E116" s="1" t="s">
        <v>42</v>
      </c>
      <c r="G116" s="1" t="s">
        <v>258</v>
      </c>
      <c r="I116" s="2" t="s">
        <v>472</v>
      </c>
      <c r="J116" s="2" t="s">
        <v>473</v>
      </c>
      <c r="K116" s="1" t="b">
        <v>1</v>
      </c>
      <c r="L116" s="2" t="s">
        <v>125</v>
      </c>
      <c r="M116" s="2" t="str">
        <f t="shared" si="10"/>
        <v>QVQLVESGGGLVQPGGSLRLSCAASGFNLYSSSIHWVRQAPGKGLEWVARIYPSGATYYADSVKGRFTISADTSKNTAYLQMRAEDTAVYYCARSYYGDDYWGQGTLVTVSSGGGSGGGSGGGSGGGSDIQMTQSPSSLSASVGDRVTITCRASQSVSSAVAWYQQKPGKAPKLLIYSASFLYSGVPSRFSGSRSGTDFTLTISSLQPEDFATYYCQQYSYYPFTFGQGTKVEIK</v>
      </c>
      <c r="N116" s="4">
        <f t="shared" si="11"/>
        <v>235</v>
      </c>
      <c r="O116" s="1" t="b">
        <f t="shared" si="12"/>
        <v>1</v>
      </c>
      <c r="P116" s="1" t="b">
        <v>0</v>
      </c>
      <c r="Q116" s="1" t="b">
        <f>TRUE()</f>
        <v>1</v>
      </c>
      <c r="R116" s="4">
        <v>0</v>
      </c>
      <c r="S116" s="4">
        <v>2.3538E-2</v>
      </c>
      <c r="T116" s="4">
        <v>0</v>
      </c>
      <c r="U116" s="4">
        <v>5.0179999999999999E-3</v>
      </c>
      <c r="V116" s="10">
        <v>45979</v>
      </c>
      <c r="W116" s="2" t="s">
        <v>509</v>
      </c>
      <c r="X116" s="4">
        <v>0</v>
      </c>
      <c r="Y116" s="1" t="b">
        <v>0</v>
      </c>
    </row>
    <row r="117" spans="1:25" ht="64" x14ac:dyDescent="0.2">
      <c r="A117" s="1" t="s">
        <v>502</v>
      </c>
      <c r="B117" s="1" t="s">
        <v>18</v>
      </c>
      <c r="C117" s="2" t="s">
        <v>505</v>
      </c>
      <c r="D117" s="4">
        <v>0.7</v>
      </c>
      <c r="E117" s="1" t="s">
        <v>49</v>
      </c>
      <c r="F117" s="1" t="s">
        <v>292</v>
      </c>
      <c r="G117" s="1" t="s">
        <v>258</v>
      </c>
      <c r="I117" s="2" t="s">
        <v>506</v>
      </c>
      <c r="J117" s="2" t="s">
        <v>507</v>
      </c>
      <c r="K117" s="1" t="b">
        <v>1</v>
      </c>
      <c r="L117" s="2" t="s">
        <v>125</v>
      </c>
      <c r="M117" s="2" t="str">
        <f t="shared" si="10"/>
        <v>EVQLLESGGGLVQPGGSLRLSCAASGFTFSSYAMSWVRQAPGKGLEWVSYISSSSSTIYYADSVKGRFTISRDNAKNSLYLQMNSLRAEDTAVYYCAKYSSYDYDYWGRGTMVTVSSGGGSGGGSGGGSGGGSDIQLTQSPSSLSASVGDRVTITCRASQGISSYLNWYQQKPGKAPKLLIYDASSLQSGVPSRFSGSGSGTDFTLTISSLQPEDFATYYCQQFYEWLRTFGQGTRLEIK</v>
      </c>
      <c r="N117" s="4">
        <f t="shared" si="11"/>
        <v>240</v>
      </c>
      <c r="O117" s="1" t="b">
        <f t="shared" si="12"/>
        <v>1</v>
      </c>
      <c r="P117" s="1" t="b">
        <v>0</v>
      </c>
      <c r="Q117" s="1" t="b">
        <f>TRUE()</f>
        <v>1</v>
      </c>
      <c r="R117" s="4">
        <v>0</v>
      </c>
      <c r="S117" s="4">
        <v>0</v>
      </c>
      <c r="T117" s="4">
        <v>0.22622700000000001</v>
      </c>
      <c r="U117" s="4">
        <v>0.35278199999999998</v>
      </c>
      <c r="V117" s="10">
        <v>45979</v>
      </c>
      <c r="W117" s="2" t="s">
        <v>512</v>
      </c>
      <c r="X117" s="4">
        <v>0.1542</v>
      </c>
      <c r="Y117" s="1" t="b">
        <v>1</v>
      </c>
    </row>
    <row r="118" spans="1:25" ht="64" x14ac:dyDescent="0.2">
      <c r="A118" s="1" t="s">
        <v>503</v>
      </c>
      <c r="B118" s="1" t="s">
        <v>18</v>
      </c>
      <c r="C118" s="2" t="s">
        <v>505</v>
      </c>
      <c r="D118" s="4">
        <v>0.9</v>
      </c>
      <c r="E118" s="1" t="s">
        <v>49</v>
      </c>
      <c r="F118" s="1" t="s">
        <v>417</v>
      </c>
      <c r="G118" s="1" t="s">
        <v>258</v>
      </c>
      <c r="I118" s="2" t="s">
        <v>501</v>
      </c>
      <c r="J118" s="2" t="s">
        <v>504</v>
      </c>
      <c r="K118" s="1" t="b">
        <v>1</v>
      </c>
      <c r="L118" s="2" t="s">
        <v>126</v>
      </c>
      <c r="M118" s="2" t="str">
        <f t="shared" si="10"/>
        <v>EVQLVESGGGLVQPGGSLRLSCAASGFATVSSNYMSWVRQAPGKGLEWVSVIYSCGSTYYADSVKGRFTISRDNSKNTLYLQMNSLRAEDTAVYYCARYYYDSSRSGYYYYFDYWGQGTLVTVSSGGGSGGGSGGGSDIVLTQSPASLAVSLGQRATISCKASQSVDYDGDSYMHWYQQKPGQPPKLLIYRASNLESGIPARFSGSGSRTDFTLTINPVEADDVATYYCQQSNYPLTFGSGTKVEIK</v>
      </c>
      <c r="N118" s="4">
        <f t="shared" si="11"/>
        <v>247</v>
      </c>
      <c r="O118" s="1" t="b">
        <f t="shared" si="12"/>
        <v>1</v>
      </c>
      <c r="P118" s="1" t="b">
        <v>0</v>
      </c>
      <c r="Q118" s="1" t="b">
        <f>TRUE()</f>
        <v>1</v>
      </c>
      <c r="R118" s="4">
        <v>0</v>
      </c>
      <c r="S118" s="4">
        <v>5.1120000000000002E-3</v>
      </c>
      <c r="T118" s="4">
        <v>0.328266</v>
      </c>
      <c r="U118" s="4">
        <v>0.44527299999999997</v>
      </c>
      <c r="V118" s="10">
        <v>45979</v>
      </c>
      <c r="W118" s="2" t="s">
        <v>513</v>
      </c>
      <c r="X118" s="4">
        <v>0</v>
      </c>
      <c r="Y118" s="1" t="b">
        <v>1</v>
      </c>
    </row>
    <row r="119" spans="1:25" ht="64" x14ac:dyDescent="0.2">
      <c r="A119" s="1" t="s">
        <v>516</v>
      </c>
      <c r="B119" s="1" t="s">
        <v>515</v>
      </c>
      <c r="C119" s="2" t="s">
        <v>526</v>
      </c>
      <c r="D119" s="4">
        <v>0.2</v>
      </c>
      <c r="E119" s="1" t="s">
        <v>49</v>
      </c>
      <c r="F119" s="1" t="s">
        <v>266</v>
      </c>
      <c r="G119" s="1" t="s">
        <v>258</v>
      </c>
      <c r="I119" s="2" t="s">
        <v>527</v>
      </c>
      <c r="J119" s="2" t="s">
        <v>296</v>
      </c>
      <c r="K119" s="1" t="b">
        <v>1</v>
      </c>
      <c r="L119" s="2" t="s">
        <v>126</v>
      </c>
      <c r="M119" s="2" t="str">
        <f t="shared" si="10"/>
        <v>EVQLVESGGGLVQPGGSLRLSCAASGFNISDSSIHWVRQAPGKGLEWVASISSYSGYTYYADSVKGRFTISADTSKNTAYLQMNSLRAEDTAVYYCARGGRDLFGLDALDYWGQGTLVTVSSGGGSGGGSGGGSDIQMTQSPSSLSASVGDRVTITCRASQSVSSAVAWYQQKPGKAPKLLIYSASSLYSGVPSRFSGSRSGTDFTLTISSLQPEDFATYYCQQYKYVPVTFGQGTKVEIK</v>
      </c>
      <c r="N119" s="4">
        <f t="shared" si="11"/>
        <v>241</v>
      </c>
      <c r="O119" s="1" t="b">
        <f t="shared" si="12"/>
        <v>1</v>
      </c>
      <c r="P119" s="1" t="b">
        <v>0</v>
      </c>
      <c r="Q119" s="1" t="b">
        <f>TRUE()</f>
        <v>1</v>
      </c>
      <c r="R119" s="4">
        <v>0</v>
      </c>
      <c r="S119" s="4">
        <v>0</v>
      </c>
      <c r="T119" s="4">
        <v>0.60797800000000002</v>
      </c>
      <c r="U119" s="4">
        <v>0.69888600000000001</v>
      </c>
      <c r="V119" s="10">
        <v>45983</v>
      </c>
      <c r="W119" s="2" t="s">
        <v>537</v>
      </c>
      <c r="X119" s="4">
        <v>0.69</v>
      </c>
      <c r="Y119" s="1" t="b">
        <v>0</v>
      </c>
    </row>
    <row r="120" spans="1:25" ht="64" x14ac:dyDescent="0.2">
      <c r="A120" s="1" t="s">
        <v>517</v>
      </c>
      <c r="B120" s="1" t="s">
        <v>515</v>
      </c>
      <c r="C120" s="2" t="s">
        <v>526</v>
      </c>
      <c r="D120" s="4">
        <v>0.2</v>
      </c>
      <c r="E120" s="1" t="s">
        <v>49</v>
      </c>
      <c r="F120" s="1" t="s">
        <v>266</v>
      </c>
      <c r="G120" s="1" t="s">
        <v>258</v>
      </c>
      <c r="I120" s="2" t="s">
        <v>528</v>
      </c>
      <c r="J120" s="2" t="s">
        <v>296</v>
      </c>
      <c r="K120" s="1" t="b">
        <v>1</v>
      </c>
      <c r="L120" s="2" t="s">
        <v>126</v>
      </c>
      <c r="M120" s="2" t="str">
        <f t="shared" si="10"/>
        <v>EVQLVESGGGLVQPGGSLRLSCAASGFNISSSSIHWVRQAPGKGLEWVASIYSYSGLTYYADSVKGRFTISADTSKNTAYLQMNSLRAEDTAVYYCARGGYYLDGLYALDYWGQGTLVTVSSGGGSGGGSGGGSDIQMTQSPSSLSASVGDRVTITCRASQSVSSAVAWYQQKPGKAPKLLIYSASSLYSGVPSRFSGSRSGTDFTLTISSLQPEDFATYYCQQYKYVPVTFGQGTKVEIK</v>
      </c>
      <c r="N120" s="4">
        <f t="shared" si="11"/>
        <v>241</v>
      </c>
      <c r="O120" s="1" t="b">
        <f t="shared" si="12"/>
        <v>1</v>
      </c>
      <c r="P120" s="1" t="b">
        <v>0</v>
      </c>
      <c r="Q120" s="1" t="b">
        <f>TRUE()</f>
        <v>1</v>
      </c>
      <c r="R120" s="4">
        <v>0</v>
      </c>
      <c r="S120" s="4">
        <v>5.5250000000000004E-3</v>
      </c>
      <c r="T120" s="4">
        <v>0</v>
      </c>
      <c r="U120" s="4">
        <v>0</v>
      </c>
      <c r="V120" s="10">
        <v>45983</v>
      </c>
      <c r="W120" s="2" t="s">
        <v>538</v>
      </c>
      <c r="X120" s="4">
        <v>0</v>
      </c>
      <c r="Y120" s="1" t="b">
        <v>0</v>
      </c>
    </row>
    <row r="121" spans="1:25" ht="64" x14ac:dyDescent="0.2">
      <c r="A121" s="1" t="s">
        <v>518</v>
      </c>
      <c r="B121" s="1" t="s">
        <v>515</v>
      </c>
      <c r="C121" s="2" t="s">
        <v>526</v>
      </c>
      <c r="D121" s="4">
        <v>0.2</v>
      </c>
      <c r="E121" s="1" t="s">
        <v>49</v>
      </c>
      <c r="F121" s="1" t="s">
        <v>266</v>
      </c>
      <c r="G121" s="1" t="s">
        <v>258</v>
      </c>
      <c r="I121" s="2" t="s">
        <v>529</v>
      </c>
      <c r="J121" s="2" t="s">
        <v>296</v>
      </c>
      <c r="K121" s="1" t="b">
        <v>1</v>
      </c>
      <c r="L121" s="2" t="s">
        <v>126</v>
      </c>
      <c r="M121" s="2" t="str">
        <f t="shared" si="10"/>
        <v>EVQLVESGGGLVQPGGSLRLSCAASGFNISSSSIHWVRQAPGKGLEWVASIYSYSGATYYADSVKGRFTISADTSKNTAYLQMNSLRAEDTAVYYCARGGNHLDGLYALDYWGQGTLVTVSSGGGSGGGSGGGSDIQMTQSPSSLSASVGDRVTITCRASQSVSSAVAWYQQKPGKAPKLLIYSASSLYSGVPSRFSGSRSGTDFTLTISSLQPEDFATYYCQQYKYVPVTFGQGTKVEIK</v>
      </c>
      <c r="N121" s="4">
        <f t="shared" si="11"/>
        <v>241</v>
      </c>
      <c r="O121" s="1" t="b">
        <f t="shared" si="12"/>
        <v>1</v>
      </c>
      <c r="P121" s="1" t="b">
        <v>0</v>
      </c>
      <c r="Q121" s="1" t="b">
        <f>TRUE()</f>
        <v>1</v>
      </c>
      <c r="R121" s="4">
        <v>5.3680000000000004E-3</v>
      </c>
      <c r="S121" s="4">
        <v>8.0700000000000008E-3</v>
      </c>
      <c r="T121" s="4">
        <v>5.6439999999999997E-3</v>
      </c>
      <c r="U121" s="4">
        <v>3.739E-2</v>
      </c>
      <c r="V121" s="10">
        <v>45983</v>
      </c>
      <c r="W121" s="2" t="s">
        <v>539</v>
      </c>
      <c r="X121" s="4">
        <v>0</v>
      </c>
      <c r="Y121" s="1" t="b">
        <v>0</v>
      </c>
    </row>
    <row r="122" spans="1:25" ht="64" x14ac:dyDescent="0.2">
      <c r="A122" s="1" t="s">
        <v>519</v>
      </c>
      <c r="B122" s="1" t="s">
        <v>515</v>
      </c>
      <c r="C122" s="2" t="s">
        <v>526</v>
      </c>
      <c r="D122" s="4">
        <v>0.2</v>
      </c>
      <c r="E122" s="1" t="s">
        <v>49</v>
      </c>
      <c r="F122" s="1" t="s">
        <v>266</v>
      </c>
      <c r="G122" s="1" t="s">
        <v>258</v>
      </c>
      <c r="I122" s="2" t="s">
        <v>530</v>
      </c>
      <c r="J122" s="2" t="s">
        <v>296</v>
      </c>
      <c r="K122" s="1" t="b">
        <v>1</v>
      </c>
      <c r="L122" s="2" t="s">
        <v>126</v>
      </c>
      <c r="M122" s="2" t="str">
        <f t="shared" si="10"/>
        <v>EVQLVESGGGLVQPGGSLRLSCAASGFNISSSSIHWVRQAPGKGLEWVASIYSYSGYTYYADSVKGRFTISADTSKNTAYLQMNSLRAEDTAVYYCARGGRYLDGLFALDYWGQGTLVTVSSGGGSGGGSGGGSDIQMTQSPSSLSASVGDRVTITCRASQSVSSAVAWYQQKPGKAPKLLIYSASSLYSGVPSRFSGSRSGTDFTLTISSLQPEDFATYYCQQYKYVPVTFGQGTKVEIK</v>
      </c>
      <c r="N122" s="4">
        <f t="shared" si="11"/>
        <v>241</v>
      </c>
      <c r="O122" s="1" t="b">
        <f t="shared" si="12"/>
        <v>1</v>
      </c>
      <c r="P122" s="1" t="b">
        <v>0</v>
      </c>
      <c r="Q122" s="1" t="b">
        <f>TRUE()</f>
        <v>1</v>
      </c>
      <c r="R122" s="4">
        <v>0</v>
      </c>
      <c r="S122" s="4">
        <v>5.1799999999999997E-3</v>
      </c>
      <c r="T122" s="4">
        <v>0</v>
      </c>
      <c r="U122" s="4">
        <v>0</v>
      </c>
      <c r="V122" s="10">
        <v>45983</v>
      </c>
      <c r="W122" s="2" t="s">
        <v>542</v>
      </c>
      <c r="X122" s="4">
        <v>0.02</v>
      </c>
      <c r="Y122" s="1" t="b">
        <v>1</v>
      </c>
    </row>
    <row r="123" spans="1:25" ht="64" x14ac:dyDescent="0.2">
      <c r="A123" s="1" t="s">
        <v>520</v>
      </c>
      <c r="B123" s="1" t="s">
        <v>515</v>
      </c>
      <c r="C123" s="2" t="s">
        <v>526</v>
      </c>
      <c r="D123" s="4">
        <v>0.2</v>
      </c>
      <c r="E123" s="1" t="s">
        <v>49</v>
      </c>
      <c r="F123" s="1" t="s">
        <v>266</v>
      </c>
      <c r="G123" s="1" t="s">
        <v>258</v>
      </c>
      <c r="I123" s="2" t="s">
        <v>531</v>
      </c>
      <c r="J123" s="2" t="s">
        <v>296</v>
      </c>
      <c r="K123" s="1" t="b">
        <v>1</v>
      </c>
      <c r="L123" s="2" t="s">
        <v>126</v>
      </c>
      <c r="M123" s="2" t="str">
        <f t="shared" si="10"/>
        <v>EVQLVESGGGLVQPGGSLRLSCAASGFNISSSSIHWVRQAPGKGLEWVASISSYSGYTYYADSVKGRFTISADTSKNTAYLQMNSLRAEDTAVYYCARGGSLLRGLSALDYWGQGTLVTVSSGGGSGGGSGGGSDIQMTQSPSSLSASVGDRVTITCRASQSVSSAVAWYQQKPGKAPKLLIYSASSLYSGVPSRFSGSRSGTDFTLTISSLQPEDFATYYCQQYKYVPVTFGQGTKVEIK</v>
      </c>
      <c r="N123" s="4">
        <f t="shared" si="11"/>
        <v>241</v>
      </c>
      <c r="O123" s="1" t="b">
        <f t="shared" si="12"/>
        <v>1</v>
      </c>
      <c r="P123" s="1" t="b">
        <v>0</v>
      </c>
      <c r="Q123" s="1" t="b">
        <f>TRUE()</f>
        <v>1</v>
      </c>
      <c r="R123" s="4">
        <v>0.18029500000000001</v>
      </c>
      <c r="S123" s="4">
        <v>0.30336600000000002</v>
      </c>
      <c r="T123" s="4">
        <v>0.106119</v>
      </c>
      <c r="U123" s="4">
        <v>0.18599299999999999</v>
      </c>
      <c r="V123" s="10">
        <v>45983</v>
      </c>
      <c r="W123" s="2" t="s">
        <v>540</v>
      </c>
      <c r="X123" s="4">
        <v>0.01</v>
      </c>
      <c r="Y123" s="1" t="b">
        <v>1</v>
      </c>
    </row>
    <row r="124" spans="1:25" ht="64" x14ac:dyDescent="0.2">
      <c r="A124" s="1" t="s">
        <v>521</v>
      </c>
      <c r="B124" s="1" t="s">
        <v>515</v>
      </c>
      <c r="C124" s="2" t="s">
        <v>526</v>
      </c>
      <c r="D124" s="4">
        <v>0.2</v>
      </c>
      <c r="E124" s="1" t="s">
        <v>49</v>
      </c>
      <c r="F124" s="1" t="s">
        <v>266</v>
      </c>
      <c r="G124" s="1" t="s">
        <v>258</v>
      </c>
      <c r="I124" s="2" t="s">
        <v>532</v>
      </c>
      <c r="J124" s="2" t="s">
        <v>296</v>
      </c>
      <c r="K124" s="1" t="b">
        <v>1</v>
      </c>
      <c r="L124" s="2" t="s">
        <v>126</v>
      </c>
      <c r="M124" s="2" t="str">
        <f t="shared" si="10"/>
        <v>EVQLVESGGGLVQPGGSLRLSCAASGFNISDSSIHWVRQAPGKGLEWVASISSYSGYTYYADSVKGRFTISADTSKNTAYLQMNSLRAEDTAVYYCARGGRYLDGLYALDYWGQGTLVTVSSGGGSGGGSGGGSDIQMTQSPSSLSASVGDRVTITCRASQSVSSAVAWYQQKPGKAPKLLIYSASSLYSGVPSRFSGSRSGTDFTLTISSLQPEDFATYYCQQYKYVPVTFGQGTKVEIK</v>
      </c>
      <c r="N124" s="4">
        <f t="shared" si="11"/>
        <v>241</v>
      </c>
      <c r="O124" s="1" t="b">
        <f t="shared" si="12"/>
        <v>1</v>
      </c>
      <c r="P124" s="1" t="b">
        <v>0</v>
      </c>
      <c r="Q124" s="1" t="b">
        <f>TRUE()</f>
        <v>1</v>
      </c>
      <c r="R124" s="4">
        <v>7.4260000000000003E-3</v>
      </c>
      <c r="S124" s="4">
        <v>8.3528000000000005E-2</v>
      </c>
      <c r="T124" s="4">
        <v>3.4564999999999999E-2</v>
      </c>
      <c r="U124" s="4">
        <v>0.12295</v>
      </c>
      <c r="V124" s="10">
        <v>45983</v>
      </c>
      <c r="W124" s="2" t="s">
        <v>541</v>
      </c>
      <c r="X124" s="4">
        <v>0.31</v>
      </c>
      <c r="Y124" s="1" t="b">
        <v>0</v>
      </c>
    </row>
    <row r="125" spans="1:25" ht="64" x14ac:dyDescent="0.2">
      <c r="A125" s="1" t="s">
        <v>522</v>
      </c>
      <c r="B125" s="1" t="s">
        <v>515</v>
      </c>
      <c r="C125" s="2" t="s">
        <v>526</v>
      </c>
      <c r="D125" s="4">
        <v>0.2</v>
      </c>
      <c r="E125" s="1" t="s">
        <v>49</v>
      </c>
      <c r="F125" s="1" t="s">
        <v>266</v>
      </c>
      <c r="G125" s="1" t="s">
        <v>258</v>
      </c>
      <c r="I125" s="2" t="s">
        <v>533</v>
      </c>
      <c r="J125" s="2" t="s">
        <v>296</v>
      </c>
      <c r="K125" s="1" t="b">
        <v>1</v>
      </c>
      <c r="L125" s="2" t="s">
        <v>126</v>
      </c>
      <c r="M125" s="2" t="str">
        <f t="shared" si="10"/>
        <v>EVQLVESGGGLVQPGGSLRLSCAASGFNISSSSIHWVRQAPGKGLEWVASISSYSGYTYYADSVKGRFTISADTSKNTAYLQMNSLRAEDTAVYYCARGGSYLDGLSALDYWGQGTLVTVSSGGGSGGGSGGGSDIQMTQSPSSLSASVGDRVTITCRASQSVSSAVAWYQQKPGKAPKLLIYSASSLYSGVPSRFSGSRSGTDFTLTISSLQPEDFATYYCQQYKYVPVTFGQGTKVEIK</v>
      </c>
      <c r="N125" s="4">
        <f t="shared" si="11"/>
        <v>241</v>
      </c>
      <c r="O125" s="1" t="b">
        <f t="shared" si="12"/>
        <v>1</v>
      </c>
      <c r="P125" s="1" t="b">
        <v>0</v>
      </c>
      <c r="Q125" s="1" t="b">
        <f>TRUE()</f>
        <v>1</v>
      </c>
      <c r="R125" s="4">
        <v>0.17149800000000001</v>
      </c>
      <c r="S125" s="4">
        <v>0.26701000000000003</v>
      </c>
      <c r="T125" s="4">
        <v>0</v>
      </c>
      <c r="U125" s="4">
        <v>5.4609999999999997E-3</v>
      </c>
      <c r="V125" s="10">
        <v>45983</v>
      </c>
      <c r="W125" s="2" t="s">
        <v>546</v>
      </c>
      <c r="X125" s="4">
        <v>0.01</v>
      </c>
      <c r="Y125" s="1" t="b">
        <v>1</v>
      </c>
    </row>
    <row r="126" spans="1:25" ht="64" x14ac:dyDescent="0.2">
      <c r="A126" s="1" t="s">
        <v>523</v>
      </c>
      <c r="B126" s="1" t="s">
        <v>515</v>
      </c>
      <c r="C126" s="2" t="s">
        <v>526</v>
      </c>
      <c r="D126" s="4">
        <v>0.2</v>
      </c>
      <c r="E126" s="1" t="s">
        <v>49</v>
      </c>
      <c r="F126" s="1" t="s">
        <v>266</v>
      </c>
      <c r="G126" s="1" t="s">
        <v>258</v>
      </c>
      <c r="I126" s="2" t="s">
        <v>534</v>
      </c>
      <c r="J126" s="2" t="s">
        <v>296</v>
      </c>
      <c r="K126" s="1" t="b">
        <v>1</v>
      </c>
      <c r="L126" s="2" t="s">
        <v>126</v>
      </c>
      <c r="M126" s="2" t="str">
        <f t="shared" si="10"/>
        <v>EVQLVESGGGLVQPGGSLRLSCAASGFNISDSSIHWVRQAPGKGLEWVASIYNYSGYTYYADSVKGRFTISADTSKNTAYLQMNSLRAEDTAVYYCARGGYYLDGLDALDYWGQGTLVTVSSGGGSGGGSGGGSDIQMTQSPSSLSASVGDRVTITCRASQSVSSAVAWYQQKPGKAPKLLIYSASSLYSGVPSRFSGSRSGTDFTLTISSLQPEDFATYYCQQYKYVPVTFGQGTKVEIK</v>
      </c>
      <c r="N126" s="4">
        <f t="shared" si="11"/>
        <v>241</v>
      </c>
      <c r="O126" s="1" t="b">
        <f t="shared" si="12"/>
        <v>1</v>
      </c>
      <c r="P126" s="1" t="b">
        <v>0</v>
      </c>
      <c r="Q126" s="1" t="b">
        <f>TRUE()</f>
        <v>1</v>
      </c>
      <c r="R126" s="4">
        <v>0</v>
      </c>
      <c r="S126" s="4">
        <v>0</v>
      </c>
      <c r="T126" s="4">
        <v>0.23750499999999999</v>
      </c>
      <c r="U126" s="4">
        <v>0.31801499999999999</v>
      </c>
      <c r="V126" s="10">
        <v>45983</v>
      </c>
      <c r="W126" s="2" t="s">
        <v>543</v>
      </c>
      <c r="X126" s="4">
        <v>0.47</v>
      </c>
      <c r="Y126" s="1" t="b">
        <v>0</v>
      </c>
    </row>
    <row r="127" spans="1:25" ht="64" x14ac:dyDescent="0.2">
      <c r="A127" s="1" t="s">
        <v>524</v>
      </c>
      <c r="B127" s="1" t="s">
        <v>515</v>
      </c>
      <c r="C127" s="2" t="s">
        <v>526</v>
      </c>
      <c r="D127" s="4">
        <v>0.2</v>
      </c>
      <c r="E127" s="1" t="s">
        <v>49</v>
      </c>
      <c r="F127" s="1" t="s">
        <v>266</v>
      </c>
      <c r="G127" s="1" t="s">
        <v>258</v>
      </c>
      <c r="I127" s="2" t="s">
        <v>535</v>
      </c>
      <c r="J127" s="2" t="s">
        <v>296</v>
      </c>
      <c r="K127" s="1" t="b">
        <v>1</v>
      </c>
      <c r="L127" s="2" t="s">
        <v>126</v>
      </c>
      <c r="M127" s="2" t="str">
        <f t="shared" si="10"/>
        <v>EVQLVESGGGLVQPGGSLRLSCAASGFNISDYSIHWVRQAPGKGLEWVASIYNRSGYTYYADSVKGRFTISADTSKNTAYLQMNSLRAEDTAVYYCARGGYYLDGLYALDYWGQGTLVTVSSGGGSGGGSGGGSDIQMTQSPSSLSASVGDRVTITCRASQSVSSAVAWYQQKPGKAPKLLIYSASSLYSGVPSRFSGSRSGTDFTLTISSLQPEDFATYYCQQYKYVPVTFGQGTKVEIK</v>
      </c>
      <c r="N127" s="4">
        <f t="shared" si="11"/>
        <v>241</v>
      </c>
      <c r="O127" s="1" t="b">
        <f t="shared" si="12"/>
        <v>1</v>
      </c>
      <c r="P127" s="1" t="b">
        <v>0</v>
      </c>
      <c r="Q127" s="1" t="b">
        <f>TRUE()</f>
        <v>1</v>
      </c>
      <c r="R127" s="4">
        <v>2.2391000000000001E-2</v>
      </c>
      <c r="S127" s="4">
        <v>0.1115</v>
      </c>
      <c r="T127" s="4">
        <v>5.3889999999999997E-3</v>
      </c>
      <c r="U127" s="4">
        <v>6.0082999999999998E-2</v>
      </c>
      <c r="V127" s="10">
        <v>45983</v>
      </c>
      <c r="W127" s="2" t="s">
        <v>545</v>
      </c>
      <c r="X127" s="4">
        <v>0.01</v>
      </c>
      <c r="Y127" s="1" t="b">
        <v>1</v>
      </c>
    </row>
    <row r="128" spans="1:25" ht="64" x14ac:dyDescent="0.2">
      <c r="A128" s="1" t="s">
        <v>525</v>
      </c>
      <c r="B128" s="1" t="s">
        <v>515</v>
      </c>
      <c r="C128" s="2" t="s">
        <v>526</v>
      </c>
      <c r="D128" s="4">
        <v>0.2</v>
      </c>
      <c r="E128" s="1" t="s">
        <v>49</v>
      </c>
      <c r="F128" s="1" t="s">
        <v>266</v>
      </c>
      <c r="G128" s="1" t="s">
        <v>258</v>
      </c>
      <c r="I128" s="2" t="s">
        <v>536</v>
      </c>
      <c r="J128" s="2" t="s">
        <v>296</v>
      </c>
      <c r="K128" s="1" t="b">
        <v>1</v>
      </c>
      <c r="L128" s="2" t="s">
        <v>126</v>
      </c>
      <c r="M128" s="2" t="str">
        <f t="shared" si="10"/>
        <v>EVQLVESGGGLVQPGGSLRLSCAASGFNISSSSIHWVRQAPGKGLEWVASISSYSGYTYYADSVKGRFTISADTSKNTAYLQMNSLRAEDTAVYYCARGGHDLDGLYALDYWGQGTLVTVSSGGGSGGGSGGGSDIQMTQSPSSLSASVGDRVTITCRASQSVSSAVAWYQQKPGKAPKLLIYSASSLYSGVPSRFSGSRSGTDFTLTISSLQPEDFATYYCQQYKYVPVTFGQGTKVEIK</v>
      </c>
      <c r="N128" s="4">
        <f t="shared" si="11"/>
        <v>241</v>
      </c>
      <c r="O128" s="1" t="b">
        <f t="shared" si="12"/>
        <v>1</v>
      </c>
      <c r="P128" s="1" t="b">
        <v>0</v>
      </c>
      <c r="Q128" s="1" t="b">
        <f>TRUE()</f>
        <v>1</v>
      </c>
      <c r="R128" s="4">
        <v>0</v>
      </c>
      <c r="S128" s="4">
        <v>5.4780000000000002E-3</v>
      </c>
      <c r="T128" s="4">
        <v>4.8890000000000001E-3</v>
      </c>
      <c r="U128" s="4">
        <v>5.4359999999999999E-3</v>
      </c>
      <c r="V128" s="10">
        <v>45983</v>
      </c>
      <c r="W128" s="2" t="s">
        <v>544</v>
      </c>
      <c r="X128" s="4">
        <v>0</v>
      </c>
      <c r="Y128" s="1" t="b">
        <v>0</v>
      </c>
    </row>
    <row r="129" spans="1:25" ht="64" x14ac:dyDescent="0.2">
      <c r="A129" s="1" t="s">
        <v>547</v>
      </c>
      <c r="B129" s="1" t="s">
        <v>515</v>
      </c>
      <c r="C129" s="2" t="s">
        <v>526</v>
      </c>
      <c r="D129" s="4">
        <v>0.2</v>
      </c>
      <c r="E129" s="1" t="s">
        <v>49</v>
      </c>
      <c r="F129" s="1" t="s">
        <v>422</v>
      </c>
      <c r="G129" s="1" t="s">
        <v>258</v>
      </c>
      <c r="I129" s="2" t="s">
        <v>557</v>
      </c>
      <c r="J129" s="2" t="s">
        <v>467</v>
      </c>
      <c r="K129" s="1" t="b">
        <v>1</v>
      </c>
      <c r="L129" s="2" t="s">
        <v>126</v>
      </c>
      <c r="M129" s="2" t="str">
        <f t="shared" si="10"/>
        <v>EVQLVESGGGLVKPGGSLKVSCAASGFTFSSYAMHWVRQAPGKGLEWVSYIWSGADSIGYADSVKGRFTISRDNAKNSLYLQMNSLRAGDTAVYYCARDDDAFDYWGQGTAVTVSSGGGSGGGSGGGSDIQMTQSPSSLSASVGDRVTITCQASQDIRFYLNWYQQKPGKAPKLLISAASTLQSGVPSRFSGSGSGTDFTLTITSLQPEDFATYYCAGYVPSYTFGPGTKVDIK</v>
      </c>
      <c r="N129" s="4">
        <f t="shared" si="11"/>
        <v>234</v>
      </c>
      <c r="O129" s="1" t="b">
        <f t="shared" si="12"/>
        <v>1</v>
      </c>
      <c r="P129" s="1" t="b">
        <v>0</v>
      </c>
      <c r="Q129" s="1" t="b">
        <f>TRUE()</f>
        <v>1</v>
      </c>
      <c r="R129" s="4">
        <v>0</v>
      </c>
      <c r="S129" s="4">
        <v>5.176E-3</v>
      </c>
      <c r="T129" s="4">
        <v>0.142682</v>
      </c>
      <c r="U129" s="4">
        <v>0.20318</v>
      </c>
      <c r="V129" s="10">
        <v>45987</v>
      </c>
      <c r="W129" s="2" t="s">
        <v>575</v>
      </c>
      <c r="X129" s="4">
        <v>0.36</v>
      </c>
      <c r="Y129" s="1" t="b">
        <v>0</v>
      </c>
    </row>
    <row r="130" spans="1:25" ht="64" x14ac:dyDescent="0.2">
      <c r="A130" s="1" t="s">
        <v>548</v>
      </c>
      <c r="B130" s="1" t="s">
        <v>515</v>
      </c>
      <c r="C130" s="2" t="s">
        <v>526</v>
      </c>
      <c r="D130" s="4">
        <v>0.2</v>
      </c>
      <c r="E130" s="1" t="s">
        <v>49</v>
      </c>
      <c r="F130" s="1" t="s">
        <v>422</v>
      </c>
      <c r="G130" s="1" t="s">
        <v>258</v>
      </c>
      <c r="I130" s="2" t="s">
        <v>558</v>
      </c>
      <c r="J130" s="2" t="s">
        <v>467</v>
      </c>
      <c r="K130" s="1" t="b">
        <v>1</v>
      </c>
      <c r="L130" s="2" t="s">
        <v>126</v>
      </c>
      <c r="M130" s="2" t="str">
        <f t="shared" ref="M130:M158" si="13">_xlfn.CONCAT(I130,L130,J130)</f>
        <v>EVQLVESGGGLVKPGGSLKVSCAASGFTFSSYSMHWVRQAPGKGLEWVSSIWSGADSTGYADSVKGRFTISRDNAKNSLYLQMNSLRAGDTAVYYCARDDDAFDYWGQGTAVTVSSGGGSGGGSGGGSDIQMTQSPSSLSASVGDRVTITCQASQDIRFYLNWYQQKPGKAPKLLISAASTLQSGVPSRFSGSGSGTDFTLTITSLQPEDFATYYCAGYVPSYTFGPGTKVDIK</v>
      </c>
      <c r="N130" s="4">
        <f t="shared" ref="N130:N158" si="14">LEN(M130)</f>
        <v>234</v>
      </c>
      <c r="O130" s="1" t="b">
        <f t="shared" ref="O130:O158" si="15">IF(N130&lt;=250,TRUE,FALSE)</f>
        <v>1</v>
      </c>
      <c r="P130" s="1" t="b">
        <v>0</v>
      </c>
      <c r="Q130" s="1" t="b">
        <f>TRUE()</f>
        <v>1</v>
      </c>
      <c r="R130" s="4">
        <v>0</v>
      </c>
      <c r="S130" s="4">
        <v>5.2830000000000004E-3</v>
      </c>
      <c r="T130" s="4">
        <v>0</v>
      </c>
      <c r="U130" s="4">
        <v>0</v>
      </c>
      <c r="V130" s="10">
        <v>45987</v>
      </c>
      <c r="W130" s="2" t="s">
        <v>574</v>
      </c>
      <c r="X130" s="4">
        <v>0.04</v>
      </c>
      <c r="Y130" s="1" t="b">
        <v>0</v>
      </c>
    </row>
    <row r="131" spans="1:25" ht="64" x14ac:dyDescent="0.2">
      <c r="A131" s="1" t="s">
        <v>549</v>
      </c>
      <c r="B131" s="1" t="s">
        <v>515</v>
      </c>
      <c r="C131" s="2" t="s">
        <v>526</v>
      </c>
      <c r="D131" s="4">
        <v>0.2</v>
      </c>
      <c r="E131" s="1" t="s">
        <v>49</v>
      </c>
      <c r="F131" s="1" t="s">
        <v>422</v>
      </c>
      <c r="G131" s="1" t="s">
        <v>258</v>
      </c>
      <c r="I131" s="2" t="s">
        <v>559</v>
      </c>
      <c r="J131" s="2" t="s">
        <v>467</v>
      </c>
      <c r="K131" s="1" t="b">
        <v>1</v>
      </c>
      <c r="L131" s="2" t="s">
        <v>126</v>
      </c>
      <c r="M131" s="2" t="str">
        <f t="shared" si="13"/>
        <v>EVQLVESGGGLVKPGGSLKVSCAASGFTFSSYAMHWVRQAPGKGLEWVSRIWSGADSTGYADSVKGRFTISRDNAKNSLYLQMNSLRAGDTAVYYCARDDDAFDYWGQGTAVTVSSGGGSGGGSGGGSDIQMTQSPSSLSASVGDRVTITCQASQDIRFYLNWYQQKPGKAPKLLISAASTLQSGVPSRFSGSGSGTDFTLTITSLQPEDFATYYCAGYVPSYTFGPGTKVDIK</v>
      </c>
      <c r="N131" s="4">
        <f t="shared" si="14"/>
        <v>234</v>
      </c>
      <c r="O131" s="1" t="b">
        <f t="shared" si="15"/>
        <v>1</v>
      </c>
      <c r="P131" s="1" t="b">
        <v>0</v>
      </c>
      <c r="Q131" s="1" t="b">
        <f>TRUE()</f>
        <v>1</v>
      </c>
      <c r="R131" s="4">
        <v>0</v>
      </c>
      <c r="S131" s="4">
        <v>0</v>
      </c>
      <c r="T131" s="4">
        <v>0</v>
      </c>
      <c r="U131" s="4">
        <v>0</v>
      </c>
      <c r="V131" s="10">
        <v>45987</v>
      </c>
      <c r="W131" s="2" t="s">
        <v>573</v>
      </c>
      <c r="X131" s="4">
        <v>0.4</v>
      </c>
      <c r="Y131" s="1" t="b">
        <v>0</v>
      </c>
    </row>
    <row r="132" spans="1:25" ht="64" x14ac:dyDescent="0.2">
      <c r="A132" s="1" t="s">
        <v>550</v>
      </c>
      <c r="B132" s="1" t="s">
        <v>515</v>
      </c>
      <c r="C132" s="2" t="s">
        <v>526</v>
      </c>
      <c r="D132" s="4">
        <v>0.2</v>
      </c>
      <c r="E132" s="1" t="s">
        <v>49</v>
      </c>
      <c r="F132" s="1" t="s">
        <v>422</v>
      </c>
      <c r="G132" s="1" t="s">
        <v>258</v>
      </c>
      <c r="I132" s="2" t="s">
        <v>560</v>
      </c>
      <c r="J132" s="2" t="s">
        <v>467</v>
      </c>
      <c r="K132" s="1" t="b">
        <v>1</v>
      </c>
      <c r="L132" s="2" t="s">
        <v>126</v>
      </c>
      <c r="M132" s="2" t="str">
        <f t="shared" si="13"/>
        <v>EVQLVESGGGLVKPGGSLKVSCAASGFTFSSYAMHWVRQAPGKGLEWVSYIWSGADSIGYADSVKGRFTISRDNAKNSLYLQMNSLRAGDTAVYYCARYDDAFDYWGQGTAVTVSSGGGSGGGSGGGSDIQMTQSPSSLSASVGDRVTITCQASQDIRFYLNWYQQKPGKAPKLLISAASTLQSGVPSRFSGSGSGTDFTLTITSLQPEDFATYYCAGYVPSYTFGPGTKVDIK</v>
      </c>
      <c r="N132" s="4">
        <f t="shared" si="14"/>
        <v>234</v>
      </c>
      <c r="O132" s="1" t="b">
        <f t="shared" si="15"/>
        <v>1</v>
      </c>
      <c r="P132" s="1" t="b">
        <v>0</v>
      </c>
      <c r="Q132" s="1" t="b">
        <f>TRUE()</f>
        <v>1</v>
      </c>
      <c r="R132" s="4">
        <v>0</v>
      </c>
      <c r="S132" s="4">
        <v>4.9849999999999998E-3</v>
      </c>
      <c r="T132" s="4">
        <v>0</v>
      </c>
      <c r="U132" s="4">
        <v>5.025E-3</v>
      </c>
      <c r="V132" s="10"/>
      <c r="W132" s="11" t="s">
        <v>381</v>
      </c>
      <c r="Y132" s="1" t="b">
        <v>0</v>
      </c>
    </row>
    <row r="133" spans="1:25" ht="64" x14ac:dyDescent="0.2">
      <c r="A133" s="1" t="s">
        <v>551</v>
      </c>
      <c r="B133" s="1" t="s">
        <v>515</v>
      </c>
      <c r="C133" s="2" t="s">
        <v>526</v>
      </c>
      <c r="D133" s="4">
        <v>0.2</v>
      </c>
      <c r="E133" s="1" t="s">
        <v>49</v>
      </c>
      <c r="F133" s="1" t="s">
        <v>422</v>
      </c>
      <c r="G133" s="1" t="s">
        <v>258</v>
      </c>
      <c r="I133" s="2" t="s">
        <v>561</v>
      </c>
      <c r="J133" s="2" t="s">
        <v>467</v>
      </c>
      <c r="K133" s="1" t="b">
        <v>1</v>
      </c>
      <c r="L133" s="2" t="s">
        <v>126</v>
      </c>
      <c r="M133" s="2" t="str">
        <f t="shared" si="13"/>
        <v>EVQLVESGGGLVKPGGSLKVSCAASGFTFSSYSMHWVRQAPGKGLEWVSRIWSGTDSIGYADSVKGRFTISRDNAKNSLYLQMNSLRAGDTAVYYCARDDDAFDYWGQGTAVTVSSGGGSGGGSGGGSDIQMTQSPSSLSASVGDRVTITCQASQDIRFYLNWYQQKPGKAPKLLISAASTLQSGVPSRFSGSGSGTDFTLTITSLQPEDFATYYCAGYVPSYTFGPGTKVDIK</v>
      </c>
      <c r="N133" s="4">
        <f t="shared" si="14"/>
        <v>234</v>
      </c>
      <c r="O133" s="1" t="b">
        <f t="shared" si="15"/>
        <v>1</v>
      </c>
      <c r="P133" s="1" t="b">
        <v>0</v>
      </c>
      <c r="Q133" s="1" t="b">
        <f>TRUE()</f>
        <v>1</v>
      </c>
      <c r="R133" s="4">
        <v>0</v>
      </c>
      <c r="S133" s="4">
        <v>0</v>
      </c>
      <c r="T133" s="4">
        <v>0.172879</v>
      </c>
      <c r="U133" s="4">
        <v>0.23088800000000001</v>
      </c>
      <c r="V133" s="10">
        <v>45987</v>
      </c>
      <c r="W133" s="2" t="s">
        <v>571</v>
      </c>
      <c r="X133" s="4">
        <v>0</v>
      </c>
      <c r="Y133" s="1" t="b">
        <v>0</v>
      </c>
    </row>
    <row r="134" spans="1:25" ht="64" x14ac:dyDescent="0.2">
      <c r="A134" s="1" t="s">
        <v>552</v>
      </c>
      <c r="B134" s="1" t="s">
        <v>515</v>
      </c>
      <c r="C134" s="2" t="s">
        <v>526</v>
      </c>
      <c r="D134" s="4">
        <v>0.2</v>
      </c>
      <c r="E134" s="1" t="s">
        <v>49</v>
      </c>
      <c r="F134" s="1" t="s">
        <v>422</v>
      </c>
      <c r="G134" s="1" t="s">
        <v>258</v>
      </c>
      <c r="I134" s="2" t="s">
        <v>562</v>
      </c>
      <c r="J134" s="2" t="s">
        <v>467</v>
      </c>
      <c r="K134" s="1" t="b">
        <v>1</v>
      </c>
      <c r="L134" s="2" t="s">
        <v>126</v>
      </c>
      <c r="M134" s="2" t="str">
        <f t="shared" si="13"/>
        <v>EVQLVESGGGLVKPGGSLKVSCAASGFTFSSYAMHWVRQAPGKGLEWVSYIWSGVDSIGYADSVKGRFTISRDNAKNSLYLQMNSLRAGDTAVYYCARDDDAFDYWGQGTAVTVSSGGGSGGGSGGGSDIQMTQSPSSLSASVGDRVTITCQASQDIRFYLNWYQQKPGKAPKLLISAASTLQSGVPSRFSGSGSGTDFTLTITSLQPEDFATYYCAGYVPSYTFGPGTKVDIK</v>
      </c>
      <c r="N134" s="4">
        <f t="shared" si="14"/>
        <v>234</v>
      </c>
      <c r="O134" s="1" t="b">
        <f t="shared" si="15"/>
        <v>1</v>
      </c>
      <c r="P134" s="1" t="b">
        <v>0</v>
      </c>
      <c r="Q134" s="1" t="b">
        <f>TRUE()</f>
        <v>1</v>
      </c>
      <c r="R134" s="4">
        <v>0.34179700000000002</v>
      </c>
      <c r="S134" s="4">
        <v>0.49543900000000002</v>
      </c>
      <c r="T134" s="4">
        <v>0.24937000000000001</v>
      </c>
      <c r="U134" s="4">
        <v>0.38214999999999999</v>
      </c>
      <c r="V134" s="10"/>
      <c r="W134" s="11" t="s">
        <v>381</v>
      </c>
      <c r="Y134" s="1" t="b">
        <v>0</v>
      </c>
    </row>
    <row r="135" spans="1:25" ht="64" x14ac:dyDescent="0.2">
      <c r="A135" s="1" t="s">
        <v>553</v>
      </c>
      <c r="B135" s="1" t="s">
        <v>515</v>
      </c>
      <c r="C135" s="2" t="s">
        <v>526</v>
      </c>
      <c r="D135" s="4">
        <v>0.2</v>
      </c>
      <c r="E135" s="1" t="s">
        <v>49</v>
      </c>
      <c r="F135" s="1" t="s">
        <v>422</v>
      </c>
      <c r="G135" s="1" t="s">
        <v>258</v>
      </c>
      <c r="I135" s="2" t="s">
        <v>563</v>
      </c>
      <c r="J135" s="2" t="s">
        <v>467</v>
      </c>
      <c r="K135" s="1" t="b">
        <v>1</v>
      </c>
      <c r="L135" s="2" t="s">
        <v>126</v>
      </c>
      <c r="M135" s="2" t="str">
        <f t="shared" si="13"/>
        <v>EVQLVESGGGLVKPGGSLKVSCAASGFTFSSFAMHWVRQAPGKGLEWVSYIWSGADSTGYADSVKGRFTISRDNAKNSLYLQMNSLRAGDTAVYYCARDDDAFDYWGQGTAVTVSSGGGSGGGSGGGSDIQMTQSPSSLSASVGDRVTITCQASQDIRFYLNWYQQKPGKAPKLLISAASTLQSGVPSRFSGSGSGTDFTLTITSLQPEDFATYYCAGYVPSYTFGPGTKVDIK</v>
      </c>
      <c r="N135" s="4">
        <f t="shared" si="14"/>
        <v>234</v>
      </c>
      <c r="O135" s="1" t="b">
        <f t="shared" si="15"/>
        <v>1</v>
      </c>
      <c r="P135" s="1" t="b">
        <v>0</v>
      </c>
      <c r="Q135" s="1" t="b">
        <f>TRUE()</f>
        <v>1</v>
      </c>
      <c r="R135" s="4">
        <v>0</v>
      </c>
      <c r="S135" s="4">
        <v>0</v>
      </c>
      <c r="T135" s="4">
        <v>0.41361399999999998</v>
      </c>
      <c r="U135" s="4">
        <v>0.52491299999999996</v>
      </c>
      <c r="V135" s="10">
        <v>45987</v>
      </c>
      <c r="W135" s="2" t="s">
        <v>572</v>
      </c>
      <c r="X135" s="4">
        <v>0.01</v>
      </c>
      <c r="Y135" s="1" t="b">
        <v>0</v>
      </c>
    </row>
    <row r="136" spans="1:25" ht="64" x14ac:dyDescent="0.2">
      <c r="A136" s="1" t="s">
        <v>554</v>
      </c>
      <c r="B136" s="1" t="s">
        <v>515</v>
      </c>
      <c r="C136" s="2" t="s">
        <v>526</v>
      </c>
      <c r="D136" s="4">
        <v>0.2</v>
      </c>
      <c r="E136" s="1" t="s">
        <v>49</v>
      </c>
      <c r="F136" s="1" t="s">
        <v>422</v>
      </c>
      <c r="G136" s="1" t="s">
        <v>258</v>
      </c>
      <c r="I136" s="2" t="s">
        <v>560</v>
      </c>
      <c r="J136" s="2" t="s">
        <v>467</v>
      </c>
      <c r="K136" s="1" t="b">
        <v>1</v>
      </c>
      <c r="L136" s="2" t="s">
        <v>126</v>
      </c>
      <c r="M136" s="2" t="str">
        <f t="shared" si="13"/>
        <v>EVQLVESGGGLVKPGGSLKVSCAASGFTFSSYAMHWVRQAPGKGLEWVSYIWSGADSIGYADSVKGRFTISRDNAKNSLYLQMNSLRAGDTAVYYCARYDDAFDYWGQGTAVTVSSGGGSGGGSGGGSDIQMTQSPSSLSASVGDRVTITCQASQDIRFYLNWYQQKPGKAPKLLISAASTLQSGVPSRFSGSGSGTDFTLTITSLQPEDFATYYCAGYVPSYTFGPGTKVDIK</v>
      </c>
      <c r="N136" s="4">
        <f t="shared" si="14"/>
        <v>234</v>
      </c>
      <c r="O136" s="1" t="b">
        <f t="shared" si="15"/>
        <v>1</v>
      </c>
      <c r="P136" s="1" t="b">
        <v>0</v>
      </c>
      <c r="Q136" s="1" t="b">
        <f>TRUE()</f>
        <v>1</v>
      </c>
      <c r="R136" s="4">
        <v>0.19351199999999999</v>
      </c>
      <c r="S136" s="4">
        <v>0.28335399999999999</v>
      </c>
      <c r="T136" s="4">
        <v>0</v>
      </c>
      <c r="U136" s="4">
        <v>2.4022000000000002E-2</v>
      </c>
      <c r="V136" s="10"/>
      <c r="W136" s="11" t="s">
        <v>381</v>
      </c>
      <c r="Y136" s="1" t="b">
        <v>1</v>
      </c>
    </row>
    <row r="137" spans="1:25" ht="64" x14ac:dyDescent="0.2">
      <c r="A137" s="1" t="s">
        <v>555</v>
      </c>
      <c r="B137" s="1" t="s">
        <v>515</v>
      </c>
      <c r="C137" s="2" t="s">
        <v>526</v>
      </c>
      <c r="D137" s="4">
        <v>0.2</v>
      </c>
      <c r="E137" s="1" t="s">
        <v>49</v>
      </c>
      <c r="F137" s="1" t="s">
        <v>422</v>
      </c>
      <c r="G137" s="1" t="s">
        <v>258</v>
      </c>
      <c r="I137" s="2" t="s">
        <v>562</v>
      </c>
      <c r="J137" s="2" t="s">
        <v>467</v>
      </c>
      <c r="K137" s="1" t="b">
        <v>1</v>
      </c>
      <c r="L137" s="2" t="s">
        <v>126</v>
      </c>
      <c r="M137" s="2" t="str">
        <f t="shared" si="13"/>
        <v>EVQLVESGGGLVKPGGSLKVSCAASGFTFSSYAMHWVRQAPGKGLEWVSYIWSGVDSIGYADSVKGRFTISRDNAKNSLYLQMNSLRAGDTAVYYCARDDDAFDYWGQGTAVTVSSGGGSGGGSGGGSDIQMTQSPSSLSASVGDRVTITCQASQDIRFYLNWYQQKPGKAPKLLISAASTLQSGVPSRFSGSGSGTDFTLTITSLQPEDFATYYCAGYVPSYTFGPGTKVDIK</v>
      </c>
      <c r="N137" s="4">
        <f t="shared" si="14"/>
        <v>234</v>
      </c>
      <c r="O137" s="1" t="b">
        <f t="shared" si="15"/>
        <v>1</v>
      </c>
      <c r="P137" s="1" t="b">
        <v>0</v>
      </c>
      <c r="Q137" s="1" t="b">
        <f>TRUE()</f>
        <v>1</v>
      </c>
      <c r="R137" s="4">
        <v>0</v>
      </c>
      <c r="S137" s="4">
        <v>0</v>
      </c>
      <c r="T137" s="4">
        <v>0</v>
      </c>
      <c r="U137" s="4">
        <v>0</v>
      </c>
      <c r="V137" s="10"/>
      <c r="W137" s="11" t="s">
        <v>381</v>
      </c>
      <c r="Y137" s="1" t="b">
        <v>1</v>
      </c>
    </row>
    <row r="138" spans="1:25" ht="64" x14ac:dyDescent="0.2">
      <c r="A138" s="1" t="s">
        <v>556</v>
      </c>
      <c r="B138" s="1" t="s">
        <v>515</v>
      </c>
      <c r="C138" s="2" t="s">
        <v>526</v>
      </c>
      <c r="D138" s="4">
        <v>0.2</v>
      </c>
      <c r="E138" s="1" t="s">
        <v>49</v>
      </c>
      <c r="F138" s="1" t="s">
        <v>422</v>
      </c>
      <c r="G138" s="1" t="s">
        <v>258</v>
      </c>
      <c r="I138" s="2" t="s">
        <v>564</v>
      </c>
      <c r="J138" s="2" t="s">
        <v>467</v>
      </c>
      <c r="K138" s="1" t="b">
        <v>1</v>
      </c>
      <c r="L138" s="2" t="s">
        <v>126</v>
      </c>
      <c r="M138" s="2" t="str">
        <f t="shared" si="13"/>
        <v>EVQLVESGGGLVKPGGSLKVSCAASGFTFSSYSMVWVRQAPGKGLEWVSRIWSGVDSTGYADSVKGRFTISRDNAKNSLYLQMNSLRAGDTAVYYCARDDDAFDYWGQGTAVTVSSGGGSGGGSGGGSDIQMTQSPSSLSASVGDRVTITCQASQDIRFYLNWYQQKPGKAPKLLISAASTLQSGVPSRFSGSGSGTDFTLTITSLQPEDFATYYCAGYVPSYTFGPGTKVDIK</v>
      </c>
      <c r="N138" s="4">
        <f t="shared" si="14"/>
        <v>234</v>
      </c>
      <c r="O138" s="1" t="b">
        <f t="shared" si="15"/>
        <v>1</v>
      </c>
      <c r="P138" s="1" t="b">
        <v>0</v>
      </c>
      <c r="Q138" s="1" t="b">
        <f>TRUE()</f>
        <v>1</v>
      </c>
      <c r="R138" s="4">
        <v>0</v>
      </c>
      <c r="S138" s="4">
        <v>5.0699999999999999E-3</v>
      </c>
      <c r="T138" s="4">
        <v>0</v>
      </c>
      <c r="U138" s="4">
        <v>0</v>
      </c>
      <c r="V138" s="10">
        <v>45987</v>
      </c>
      <c r="W138" s="2" t="s">
        <v>570</v>
      </c>
      <c r="X138" s="4">
        <v>0</v>
      </c>
      <c r="Y138" s="1" t="b">
        <v>0</v>
      </c>
    </row>
    <row r="139" spans="1:25" ht="64" x14ac:dyDescent="0.2">
      <c r="A139" s="1" t="s">
        <v>576</v>
      </c>
      <c r="B139" s="1" t="s">
        <v>515</v>
      </c>
      <c r="C139" s="2" t="s">
        <v>526</v>
      </c>
      <c r="D139" s="4">
        <v>0.2</v>
      </c>
      <c r="E139" s="1" t="s">
        <v>49</v>
      </c>
      <c r="F139" s="1" t="s">
        <v>516</v>
      </c>
      <c r="G139" s="1" t="s">
        <v>258</v>
      </c>
      <c r="I139" s="2" t="s">
        <v>586</v>
      </c>
      <c r="J139" s="2" t="s">
        <v>587</v>
      </c>
      <c r="K139" s="1" t="b">
        <v>1</v>
      </c>
      <c r="L139" s="2" t="s">
        <v>125</v>
      </c>
      <c r="M139" s="2" t="str">
        <f t="shared" si="13"/>
        <v>EVQLVESGGGLVQPGGSLRLSCAASGFNISYSSIHWVRQAPGKGLEWVASISSYSGSTYYADSVKGRFTISADTSKNTAYLQMNSLRAEDTAVYYCARGGYVPVGWYALDYWGQGTLVTVSSGGGSGGGSGGGSGGGSDIQMTQSPSSLSASVGDRVTITCRASQSVSTAVAWYQQKPGKAPKLLIYYASDRYSGVPSRFSGSRSGTDFTLTISSLQPEDFATYYCQQHYNYPLTFGQGTKVEIK</v>
      </c>
      <c r="N139" s="4">
        <f t="shared" si="14"/>
        <v>245</v>
      </c>
      <c r="O139" s="1" t="b">
        <f t="shared" si="15"/>
        <v>1</v>
      </c>
      <c r="P139" s="1" t="b">
        <v>0</v>
      </c>
      <c r="Q139" s="1" t="b">
        <f>TRUE()</f>
        <v>1</v>
      </c>
      <c r="R139" s="4">
        <v>6.0330000000000002E-3</v>
      </c>
      <c r="S139" s="4">
        <v>5.5789999999999999E-2</v>
      </c>
      <c r="T139" s="4">
        <v>0</v>
      </c>
      <c r="U139" s="4">
        <v>4.9649999999999998E-3</v>
      </c>
      <c r="V139" s="10">
        <v>45989</v>
      </c>
      <c r="W139" s="2" t="s">
        <v>602</v>
      </c>
      <c r="X139" s="4">
        <v>0.01</v>
      </c>
      <c r="Y139" s="1" t="b">
        <v>0</v>
      </c>
    </row>
    <row r="140" spans="1:25" ht="64" x14ac:dyDescent="0.2">
      <c r="A140" s="1" t="s">
        <v>577</v>
      </c>
      <c r="B140" s="1" t="s">
        <v>515</v>
      </c>
      <c r="C140" s="2" t="s">
        <v>526</v>
      </c>
      <c r="D140" s="4">
        <v>0.2</v>
      </c>
      <c r="E140" s="1" t="s">
        <v>49</v>
      </c>
      <c r="F140" s="1" t="s">
        <v>516</v>
      </c>
      <c r="G140" s="1" t="s">
        <v>258</v>
      </c>
      <c r="I140" s="2" t="s">
        <v>589</v>
      </c>
      <c r="J140" s="2" t="s">
        <v>588</v>
      </c>
      <c r="K140" s="1" t="b">
        <v>1</v>
      </c>
      <c r="L140" s="2" t="s">
        <v>125</v>
      </c>
      <c r="M140" s="2" t="str">
        <f t="shared" si="13"/>
        <v>EVQLVESGGGLVQPGGSLRLSCAASGFNISYSSIHWVRQAPGKGLEWVASISSYSGSTYYADSVKGRFTISADTSKNTAYLQMNSLRAEDTAVYYCARGGAVPVGWYALDYWGQGTLVTVSSGGGSGGGSGGGSGGGSDIQMTQSPSSLSASVGDRVTITCRASQSVSDDVAWYQQKPGKAPKLLIYRASDRYFGVPSRFSGSRSGTDFTLTISSLQPEDFATYYCQQYYSYPITFGQGTKVEIK</v>
      </c>
      <c r="N140" s="4">
        <f t="shared" si="14"/>
        <v>245</v>
      </c>
      <c r="O140" s="1" t="b">
        <f t="shared" si="15"/>
        <v>1</v>
      </c>
      <c r="P140" s="1" t="b">
        <v>0</v>
      </c>
      <c r="Q140" s="1" t="b">
        <f>TRUE()</f>
        <v>1</v>
      </c>
      <c r="R140" s="4">
        <v>0</v>
      </c>
      <c r="S140" s="4">
        <v>0</v>
      </c>
      <c r="T140" s="4">
        <v>0</v>
      </c>
      <c r="U140" s="4">
        <v>5.1679999999999999E-3</v>
      </c>
      <c r="V140" s="10">
        <v>45989</v>
      </c>
      <c r="W140" s="2" t="s">
        <v>603</v>
      </c>
      <c r="X140" s="4">
        <v>0.01</v>
      </c>
      <c r="Y140" s="1" t="b">
        <v>1</v>
      </c>
    </row>
    <row r="141" spans="1:25" ht="64" x14ac:dyDescent="0.2">
      <c r="A141" s="1" t="s">
        <v>578</v>
      </c>
      <c r="B141" s="1" t="s">
        <v>515</v>
      </c>
      <c r="C141" s="2" t="s">
        <v>526</v>
      </c>
      <c r="D141" s="4">
        <v>0.2</v>
      </c>
      <c r="E141" s="1" t="s">
        <v>49</v>
      </c>
      <c r="F141" s="1" t="s">
        <v>516</v>
      </c>
      <c r="G141" s="1" t="s">
        <v>258</v>
      </c>
      <c r="I141" s="2" t="s">
        <v>590</v>
      </c>
      <c r="J141" s="2" t="s">
        <v>591</v>
      </c>
      <c r="K141" s="1" t="b">
        <v>1</v>
      </c>
      <c r="L141" s="2" t="s">
        <v>125</v>
      </c>
      <c r="M141" s="2" t="str">
        <f t="shared" si="13"/>
        <v>EVQLVESGGGLVQPGGSLRLSCAASGFNISYSSIHWVRQAPGKGLEWVASISSYSGSTYYADSVKGRFTISADTSKNTAYLQMNSLRAEDTAVYYCARGGDVPNGWYALDYWGQGTLVTVSSGGGSGGGSGGGSGGGSDIQMTQSPSSLSASVGDRVTITCRASQSVYTAVAWYQQKPGKAPKLLIYFASDRYSGVPSRFSGSRSGTDFTLTISSLQPEDFATYYCQQHYYYPITFGQGTKVEIK</v>
      </c>
      <c r="N141" s="4">
        <f t="shared" si="14"/>
        <v>245</v>
      </c>
      <c r="O141" s="1" t="b">
        <f t="shared" si="15"/>
        <v>1</v>
      </c>
      <c r="P141" s="1" t="b">
        <v>0</v>
      </c>
      <c r="Q141" s="1" t="b">
        <f>TRUE()</f>
        <v>1</v>
      </c>
      <c r="R141" s="4">
        <v>6.2603000000000006E-2</v>
      </c>
      <c r="S141" s="4">
        <v>0.12244099999999999</v>
      </c>
      <c r="T141" s="4">
        <v>0</v>
      </c>
      <c r="U141" s="4">
        <v>0</v>
      </c>
      <c r="V141" s="10">
        <v>45989</v>
      </c>
      <c r="W141" s="2" t="s">
        <v>606</v>
      </c>
      <c r="X141" s="4">
        <v>0.01</v>
      </c>
      <c r="Y141" s="1" t="b">
        <v>0</v>
      </c>
    </row>
    <row r="142" spans="1:25" ht="64" x14ac:dyDescent="0.2">
      <c r="A142" s="1" t="s">
        <v>579</v>
      </c>
      <c r="B142" s="1" t="s">
        <v>515</v>
      </c>
      <c r="C142" s="2" t="s">
        <v>526</v>
      </c>
      <c r="D142" s="4">
        <v>0.2</v>
      </c>
      <c r="E142" s="1" t="s">
        <v>49</v>
      </c>
      <c r="F142" s="1" t="s">
        <v>516</v>
      </c>
      <c r="G142" s="1" t="s">
        <v>258</v>
      </c>
      <c r="I142" s="2" t="s">
        <v>592</v>
      </c>
      <c r="J142" s="2" t="s">
        <v>593</v>
      </c>
      <c r="K142" s="1" t="b">
        <v>1</v>
      </c>
      <c r="L142" s="2" t="s">
        <v>125</v>
      </c>
      <c r="M142" s="2" t="str">
        <f t="shared" si="13"/>
        <v>EVQLVESGGGLVQPGGSLRLSCAASGFNISYSSIHWVRQAPGKGLEWVASISSYSGSTYYADSVKGRFTISADTSKNTAYLQMNSLRAEDTAVYYCARGGDVPVGWYALDYWGQGTLVTVSSGGGSGGGSGGGSGGGSDIQMTQSPSSLSASVGDRVTITCRASQSVSDAVAWYQQKPGKAPKLLIYYASDRYAGVPSRFSGSRSGTDFTLTISSLQPEDFATYYCQQYYSYPLTFGQGTKVEIK</v>
      </c>
      <c r="N142" s="4">
        <f t="shared" si="14"/>
        <v>245</v>
      </c>
      <c r="O142" s="1" t="b">
        <f t="shared" si="15"/>
        <v>1</v>
      </c>
      <c r="P142" s="1" t="b">
        <v>0</v>
      </c>
      <c r="Q142" s="1" t="b">
        <f>TRUE()</f>
        <v>1</v>
      </c>
      <c r="R142" s="4">
        <v>0.23727899999999999</v>
      </c>
      <c r="S142" s="4">
        <v>0.36869000000000002</v>
      </c>
      <c r="T142" s="4">
        <v>0.389683</v>
      </c>
      <c r="U142" s="4">
        <v>0.521339</v>
      </c>
      <c r="V142" s="10">
        <v>45989</v>
      </c>
      <c r="W142" s="2" t="s">
        <v>605</v>
      </c>
      <c r="X142" s="4">
        <v>0.01</v>
      </c>
      <c r="Y142" s="1" t="b">
        <v>0</v>
      </c>
    </row>
    <row r="143" spans="1:25" ht="64" x14ac:dyDescent="0.2">
      <c r="A143" s="1" t="s">
        <v>580</v>
      </c>
      <c r="B143" s="1" t="s">
        <v>515</v>
      </c>
      <c r="C143" s="2" t="s">
        <v>526</v>
      </c>
      <c r="D143" s="4">
        <v>0.2</v>
      </c>
      <c r="E143" s="1" t="s">
        <v>49</v>
      </c>
      <c r="F143" s="1" t="s">
        <v>516</v>
      </c>
      <c r="G143" s="1" t="s">
        <v>258</v>
      </c>
      <c r="I143" s="2" t="s">
        <v>601</v>
      </c>
      <c r="J143" s="2" t="s">
        <v>594</v>
      </c>
      <c r="K143" s="1" t="b">
        <v>1</v>
      </c>
      <c r="L143" s="2" t="s">
        <v>125</v>
      </c>
      <c r="M143" s="2" t="str">
        <f t="shared" si="13"/>
        <v>EVQLVESGGGLVQPGGSLRLSCAASGFNISSSSIHWVRQAPGKGLEWVASISSSSGSTYYADSVKGRFTISADTSKNTAYLQMNSLRAEDTAVYYCARGGDVPNGWYALDYWGQGTLVTVSSGGGSGGGSGGGSGGGSDIQMTQSPSSLSASVGDRVTITCRASQSVYTAVAWYQQKPGKAPKLLIYRASDRYAGVPSRFSGSRSGTDFTLTISSLQPEDFATYYCQQYYYYPLTFGQGTKVEIK</v>
      </c>
      <c r="N143" s="4">
        <f t="shared" si="14"/>
        <v>245</v>
      </c>
      <c r="O143" s="1" t="b">
        <f t="shared" si="15"/>
        <v>1</v>
      </c>
      <c r="P143" s="1" t="b">
        <v>0</v>
      </c>
      <c r="Q143" s="1" t="b">
        <f>TRUE()</f>
        <v>1</v>
      </c>
      <c r="R143" s="4">
        <v>0</v>
      </c>
      <c r="S143" s="4">
        <v>1.976E-2</v>
      </c>
      <c r="T143" s="4">
        <v>0</v>
      </c>
      <c r="U143" s="4">
        <v>5.8060000000000004E-3</v>
      </c>
      <c r="V143" s="10">
        <v>45989</v>
      </c>
      <c r="W143" s="2" t="s">
        <v>604</v>
      </c>
      <c r="X143" s="4">
        <v>0.01</v>
      </c>
      <c r="Y143" s="1" t="b">
        <v>1</v>
      </c>
    </row>
    <row r="144" spans="1:25" ht="64" x14ac:dyDescent="0.2">
      <c r="A144" s="1" t="s">
        <v>581</v>
      </c>
      <c r="B144" s="1" t="s">
        <v>515</v>
      </c>
      <c r="C144" s="2" t="s">
        <v>526</v>
      </c>
      <c r="D144" s="4">
        <v>0.2</v>
      </c>
      <c r="E144" s="1" t="s">
        <v>49</v>
      </c>
      <c r="F144" s="1" t="s">
        <v>516</v>
      </c>
      <c r="G144" s="1" t="s">
        <v>258</v>
      </c>
      <c r="I144" s="2" t="s">
        <v>600</v>
      </c>
      <c r="J144" s="2" t="s">
        <v>595</v>
      </c>
      <c r="K144" s="1" t="b">
        <v>1</v>
      </c>
      <c r="L144" s="2" t="s">
        <v>125</v>
      </c>
      <c r="M144" s="2" t="str">
        <f t="shared" si="13"/>
        <v>EVQLVESGGGLVQPGGSLRLSCAASGFNISYSSIHWVRQAPGKGLEWVASISSYSGSTYYADSVKGRFTISADTSKNTAYLQMNSLRAEDTAVYYCARGGDVPVGYYALDYWGQGTLVTVSSGGGSGGGSGGGSGGGSDIQMTQSPSSLSASVGDRVTITCRASQSVNTAVAWYQQKPGKAPKLLIYSASDRYFGVPSRFSGSRSGTDFTLTISSLQPEDFATYYCQQHYSYPLTFGQGTKVEIK</v>
      </c>
      <c r="N144" s="4">
        <f t="shared" si="14"/>
        <v>245</v>
      </c>
      <c r="O144" s="1" t="b">
        <f t="shared" si="15"/>
        <v>1</v>
      </c>
      <c r="P144" s="1" t="b">
        <v>0</v>
      </c>
      <c r="Q144" s="1" t="b">
        <f>TRUE()</f>
        <v>1</v>
      </c>
      <c r="R144" s="4">
        <v>0</v>
      </c>
      <c r="S144" s="4">
        <v>5.0769999999999999E-3</v>
      </c>
      <c r="T144" s="4">
        <v>0</v>
      </c>
      <c r="U144" s="4">
        <v>0</v>
      </c>
      <c r="V144" s="10">
        <v>45989</v>
      </c>
      <c r="W144" s="2" t="s">
        <v>607</v>
      </c>
      <c r="X144" s="4">
        <v>0.28000000000000003</v>
      </c>
      <c r="Y144" s="1" t="b">
        <v>0</v>
      </c>
    </row>
    <row r="145" spans="1:25" ht="64" x14ac:dyDescent="0.2">
      <c r="A145" s="1" t="s">
        <v>582</v>
      </c>
      <c r="B145" s="1" t="s">
        <v>515</v>
      </c>
      <c r="C145" s="2" t="s">
        <v>526</v>
      </c>
      <c r="D145" s="4">
        <v>0.2</v>
      </c>
      <c r="E145" s="1" t="s">
        <v>49</v>
      </c>
      <c r="F145" s="1" t="s">
        <v>516</v>
      </c>
      <c r="G145" s="1" t="s">
        <v>258</v>
      </c>
      <c r="I145" s="2" t="s">
        <v>590</v>
      </c>
      <c r="J145" s="2" t="s">
        <v>596</v>
      </c>
      <c r="K145" s="1" t="b">
        <v>1</v>
      </c>
      <c r="L145" s="2" t="s">
        <v>125</v>
      </c>
      <c r="M145" s="2" t="str">
        <f t="shared" si="13"/>
        <v>EVQLVESGGGLVQPGGSLRLSCAASGFNISYSSIHWVRQAPGKGLEWVASISSYSGSTYYADSVKGRFTISADTSKNTAYLQMNSLRAEDTAVYYCARGGDVPNGWYALDYWGQGTLVTVSSGGGSGGGSGGGSGGGSDIQMTQSPSSLSASVGDRVTITCRASQSVYTAVAWYQQKPGKAPKLLIYSASDRYSGVPSRFSGSRSGTDFTLTISSLQPEDFATYYCQQYASYPITFGQGTKVEIK</v>
      </c>
      <c r="N145" s="4">
        <f t="shared" si="14"/>
        <v>245</v>
      </c>
      <c r="O145" s="1" t="b">
        <f t="shared" si="15"/>
        <v>1</v>
      </c>
      <c r="P145" s="1" t="b">
        <v>0</v>
      </c>
      <c r="Q145" s="1" t="b">
        <f>TRUE()</f>
        <v>1</v>
      </c>
      <c r="R145" s="4">
        <v>0</v>
      </c>
      <c r="S145" s="4">
        <v>5.5199999999999997E-3</v>
      </c>
      <c r="T145" s="4">
        <v>0.15173700000000001</v>
      </c>
      <c r="U145" s="4">
        <v>0.19972799999999999</v>
      </c>
      <c r="V145" s="10">
        <v>45989</v>
      </c>
      <c r="W145" s="2" t="s">
        <v>608</v>
      </c>
      <c r="X145" s="4">
        <v>0</v>
      </c>
      <c r="Y145" s="1" t="b">
        <v>0</v>
      </c>
    </row>
    <row r="146" spans="1:25" ht="64" x14ac:dyDescent="0.2">
      <c r="A146" s="1" t="s">
        <v>583</v>
      </c>
      <c r="B146" s="1" t="s">
        <v>515</v>
      </c>
      <c r="C146" s="2" t="s">
        <v>526</v>
      </c>
      <c r="D146" s="4">
        <v>0.2</v>
      </c>
      <c r="E146" s="1" t="s">
        <v>49</v>
      </c>
      <c r="F146" s="1" t="s">
        <v>516</v>
      </c>
      <c r="G146" s="1" t="s">
        <v>258</v>
      </c>
      <c r="I146" s="2" t="s">
        <v>589</v>
      </c>
      <c r="J146" s="2" t="s">
        <v>597</v>
      </c>
      <c r="K146" s="1" t="b">
        <v>1</v>
      </c>
      <c r="L146" s="2" t="s">
        <v>125</v>
      </c>
      <c r="M146" s="2" t="str">
        <f t="shared" si="13"/>
        <v>EVQLVESGGGLVQPGGSLRLSCAASGFNISYSSIHWVRQAPGKGLEWVASISSYSGSTYYADSVKGRFTISADTSKNTAYLQMNSLRAEDTAVYYCARGGAVPVGWYALDYWGQGTLVTVSSGGGSGGGSGGGSGGGSDIQMTQSPSSLSASVGDRVTITCRASQSVSIAVAWYQQKPGKAPKLLIYSASDRYFGVPSRFSGSRSGTDFTLTISSLQPEDFATYYCQQYYSYPLTFGQGTKVEIK</v>
      </c>
      <c r="N146" s="4">
        <f t="shared" si="14"/>
        <v>245</v>
      </c>
      <c r="O146" s="1" t="b">
        <f t="shared" si="15"/>
        <v>1</v>
      </c>
      <c r="P146" s="1" t="b">
        <v>0</v>
      </c>
      <c r="Q146" s="1" t="b">
        <f>TRUE()</f>
        <v>1</v>
      </c>
      <c r="R146" s="4">
        <v>5.6620000000000004E-3</v>
      </c>
      <c r="S146" s="4">
        <v>9.3252000000000002E-2</v>
      </c>
      <c r="T146" s="4">
        <v>1.7468999999999998E-2</v>
      </c>
      <c r="U146" s="4">
        <v>0.11509999999999999</v>
      </c>
      <c r="V146" s="10">
        <v>45989</v>
      </c>
      <c r="W146" s="2" t="s">
        <v>609</v>
      </c>
      <c r="X146" s="4">
        <v>0.01</v>
      </c>
      <c r="Y146" s="1" t="b">
        <v>0</v>
      </c>
    </row>
    <row r="147" spans="1:25" ht="64" x14ac:dyDescent="0.2">
      <c r="A147" s="1" t="s">
        <v>584</v>
      </c>
      <c r="B147" s="1" t="s">
        <v>515</v>
      </c>
      <c r="C147" s="2" t="s">
        <v>526</v>
      </c>
      <c r="D147" s="4">
        <v>0.2</v>
      </c>
      <c r="E147" s="1" t="s">
        <v>49</v>
      </c>
      <c r="F147" s="1" t="s">
        <v>516</v>
      </c>
      <c r="G147" s="1" t="s">
        <v>258</v>
      </c>
      <c r="I147" s="2" t="s">
        <v>592</v>
      </c>
      <c r="J147" s="2" t="s">
        <v>598</v>
      </c>
      <c r="K147" s="1" t="b">
        <v>1</v>
      </c>
      <c r="L147" s="2" t="s">
        <v>125</v>
      </c>
      <c r="M147" s="2" t="str">
        <f>_xlfn.CONCAT(I147,L147,J147)</f>
        <v>EVQLVESGGGLVQPGGSLRLSCAASGFNISYSSIHWVRQAPGKGLEWVASISSYSGSTYYADSVKGRFTISADTSKNTAYLQMNSLRAEDTAVYYCARGGDVPVGWYALDYWGQGTLVTVSSGGGSGGGSGGGSGGGSDIQMTQSPSSLSASVGDRVTITCRASQSVYYAVAWYQQKPGKAPKLLIYRASDRYSGVPSRFSGSRSGTDFTLTISSLQPEDFATYYCQQYYSYPLTFGQGTKVEIK</v>
      </c>
      <c r="N147" s="4">
        <f t="shared" si="14"/>
        <v>245</v>
      </c>
      <c r="O147" s="1" t="b">
        <f t="shared" si="15"/>
        <v>1</v>
      </c>
      <c r="P147" s="1" t="b">
        <v>0</v>
      </c>
      <c r="Q147" s="1" t="b">
        <f>TRUE()</f>
        <v>1</v>
      </c>
      <c r="R147" s="4">
        <v>0.53020900000000004</v>
      </c>
      <c r="S147" s="4">
        <v>0.60767899999999997</v>
      </c>
      <c r="T147" s="4">
        <v>0</v>
      </c>
      <c r="U147" s="4">
        <v>0</v>
      </c>
      <c r="V147" s="10">
        <v>45989</v>
      </c>
      <c r="W147" s="2" t="s">
        <v>610</v>
      </c>
      <c r="X147" s="4">
        <v>0.71</v>
      </c>
      <c r="Y147" s="1" t="b">
        <v>0</v>
      </c>
    </row>
    <row r="148" spans="1:25" ht="64" x14ac:dyDescent="0.2">
      <c r="A148" s="1" t="s">
        <v>585</v>
      </c>
      <c r="B148" s="1" t="s">
        <v>515</v>
      </c>
      <c r="C148" s="2" t="s">
        <v>526</v>
      </c>
      <c r="D148" s="4">
        <v>0.2</v>
      </c>
      <c r="E148" s="1" t="s">
        <v>49</v>
      </c>
      <c r="F148" s="1" t="s">
        <v>516</v>
      </c>
      <c r="G148" s="1" t="s">
        <v>258</v>
      </c>
      <c r="I148" s="2" t="s">
        <v>586</v>
      </c>
      <c r="J148" s="2" t="s">
        <v>599</v>
      </c>
      <c r="K148" s="1" t="b">
        <v>1</v>
      </c>
      <c r="L148" s="2" t="s">
        <v>125</v>
      </c>
      <c r="M148" s="2" t="str">
        <f t="shared" si="13"/>
        <v>EVQLVESGGGLVQPGGSLRLSCAASGFNISYSSIHWVRQAPGKGLEWVASISSYSGSTYYADSVKGRFTISADTSKNTAYLQMNSLRAEDTAVYYCARGGYVPVGWYALDYWGQGTLVTVSSGGGSGGGSGGGSGGGSDIQMTQSPSSLSASVGDRVTITCRASQSVYTAVAWYQQKPGKAPKLLIYRASDRYFGVPSRFSGSRSGTDFTLTISSLQPEDFATYYCQQYYYYPLTFGQGTKVEIK</v>
      </c>
      <c r="N148" s="4">
        <f t="shared" si="14"/>
        <v>245</v>
      </c>
      <c r="O148" s="1" t="b">
        <f t="shared" si="15"/>
        <v>1</v>
      </c>
      <c r="P148" s="1" t="b">
        <v>0</v>
      </c>
      <c r="Q148" s="1" t="b">
        <f>TRUE()</f>
        <v>1</v>
      </c>
      <c r="R148" s="4">
        <v>0.18842400000000001</v>
      </c>
      <c r="S148" s="4">
        <v>0.29170499999999999</v>
      </c>
      <c r="T148" s="4">
        <v>0.15501300000000001</v>
      </c>
      <c r="U148" s="4">
        <v>0.228907</v>
      </c>
      <c r="V148" s="10">
        <v>45989</v>
      </c>
      <c r="W148" s="2" t="s">
        <v>611</v>
      </c>
      <c r="X148" s="4">
        <v>0.51</v>
      </c>
      <c r="Y148" s="1" t="b">
        <v>0</v>
      </c>
    </row>
    <row r="149" spans="1:25" ht="64" x14ac:dyDescent="0.2">
      <c r="A149" s="1" t="s">
        <v>612</v>
      </c>
      <c r="B149" s="1" t="s">
        <v>515</v>
      </c>
      <c r="C149" s="2" t="s">
        <v>526</v>
      </c>
      <c r="D149" s="4">
        <v>0.4</v>
      </c>
      <c r="E149" s="1" t="s">
        <v>49</v>
      </c>
      <c r="F149" s="1" t="s">
        <v>584</v>
      </c>
      <c r="G149" s="1" t="s">
        <v>258</v>
      </c>
      <c r="I149" s="2" t="s">
        <v>622</v>
      </c>
      <c r="J149" s="2" t="s">
        <v>637</v>
      </c>
      <c r="K149" s="1" t="b">
        <v>1</v>
      </c>
      <c r="L149" s="2" t="s">
        <v>642</v>
      </c>
      <c r="M149" s="2" t="str">
        <f t="shared" si="13"/>
        <v>EVQLVESGGGLVQPGGSLRLSCAASGFNISYSSIHWVRQAPGKGLEWVASISSYSGYTYYADSVKGRFTISADTSKNTAYLQMNSLRAEDTAVYYCARGGWRPIGSYALDYWGQGTLVTVSSGGGSGGGSGGGSGGGSGGGSDIQMTQSPSSLSASVGDRVTITCRASQDVFSAVAWYQQKPGKAPKLLIYYASFLYSGVPSRFSGSRSGTDFTLTISSLQPEDFATYYCQQHSVVPITFGQGTKVEIK</v>
      </c>
      <c r="N149" s="4">
        <f t="shared" si="14"/>
        <v>249</v>
      </c>
      <c r="O149" s="1" t="b">
        <f t="shared" si="15"/>
        <v>1</v>
      </c>
      <c r="P149" s="1" t="b">
        <v>0</v>
      </c>
      <c r="Q149" s="1" t="b">
        <f>TRUE()</f>
        <v>1</v>
      </c>
      <c r="R149" s="4">
        <v>0.19544600000000001</v>
      </c>
      <c r="S149" s="4">
        <v>0.27416499999999999</v>
      </c>
      <c r="T149" s="4">
        <v>0</v>
      </c>
      <c r="U149" s="4">
        <v>4.8437000000000001E-2</v>
      </c>
      <c r="V149" s="10">
        <v>45990</v>
      </c>
      <c r="W149" s="2" t="s">
        <v>644</v>
      </c>
      <c r="X149" s="4">
        <v>0.02</v>
      </c>
      <c r="Y149" s="1" t="b">
        <v>0</v>
      </c>
    </row>
    <row r="150" spans="1:25" ht="64" x14ac:dyDescent="0.2">
      <c r="A150" s="1" t="s">
        <v>613</v>
      </c>
      <c r="B150" s="1" t="s">
        <v>515</v>
      </c>
      <c r="C150" s="2" t="s">
        <v>526</v>
      </c>
      <c r="D150" s="4">
        <v>0.4</v>
      </c>
      <c r="E150" s="1" t="s">
        <v>49</v>
      </c>
      <c r="F150" s="1" t="s">
        <v>584</v>
      </c>
      <c r="G150" s="1" t="s">
        <v>258</v>
      </c>
      <c r="I150" s="2" t="s">
        <v>623</v>
      </c>
      <c r="J150" s="2" t="s">
        <v>639</v>
      </c>
      <c r="K150" s="1" t="b">
        <v>1</v>
      </c>
      <c r="L150" s="2" t="s">
        <v>642</v>
      </c>
      <c r="M150" s="2" t="str">
        <f t="shared" si="13"/>
        <v>EVQLVESGGGLVQPGGSLRLSCAASGFNISYSSIHWVRQAPGKGLEWVASISSYSGSTYYADSVKGRFTISADTSKNTAYLQMNSLRAEDTAVYYCARGGYRPIGNYALDYWGQGTLVTVSSGGGSGGGSGGGSGGGSGGGSDIQMTQSPSSLSASVGDRVTITCRASQDVDSAVAWYQQKPGKAPKLLIYYASFLYSGVPSRFSGSRSGTDFTLTISSLQPEDFATYYCQQHYVVPVTFGQGTKVEIK</v>
      </c>
      <c r="N150" s="4">
        <f t="shared" si="14"/>
        <v>249</v>
      </c>
      <c r="O150" s="1" t="b">
        <f t="shared" si="15"/>
        <v>1</v>
      </c>
      <c r="P150" s="1" t="b">
        <v>0</v>
      </c>
      <c r="Q150" s="1" t="b">
        <f>TRUE()</f>
        <v>1</v>
      </c>
      <c r="R150" s="4">
        <v>0</v>
      </c>
      <c r="S150" s="4">
        <v>5.4689999999999999E-3</v>
      </c>
      <c r="T150" s="4">
        <v>0</v>
      </c>
      <c r="U150" s="4">
        <v>5.2909999999999997E-3</v>
      </c>
      <c r="V150" s="10">
        <v>45990</v>
      </c>
      <c r="W150" s="2" t="s">
        <v>646</v>
      </c>
      <c r="X150" s="4">
        <v>0.01</v>
      </c>
      <c r="Y150" s="1" t="b">
        <v>0</v>
      </c>
    </row>
    <row r="151" spans="1:25" ht="64" x14ac:dyDescent="0.2">
      <c r="A151" s="1" t="s">
        <v>614</v>
      </c>
      <c r="B151" s="1" t="s">
        <v>515</v>
      </c>
      <c r="C151" s="2" t="s">
        <v>526</v>
      </c>
      <c r="D151" s="4">
        <v>0.4</v>
      </c>
      <c r="E151" s="1" t="s">
        <v>49</v>
      </c>
      <c r="F151" s="1" t="s">
        <v>584</v>
      </c>
      <c r="G151" s="1" t="s">
        <v>258</v>
      </c>
      <c r="I151" s="2" t="s">
        <v>624</v>
      </c>
      <c r="J151" s="2" t="s">
        <v>638</v>
      </c>
      <c r="K151" s="1" t="b">
        <v>1</v>
      </c>
      <c r="L151" s="2" t="s">
        <v>642</v>
      </c>
      <c r="M151" s="2" t="str">
        <f t="shared" si="13"/>
        <v>EVQLVESGGGLVQPGGSLRLSCAASGFNISYYSIHWVRQAPGKGLEWVASISSYSGYTYYADSVKGRFTISADTSKNTAYLQMNSLRAEDTAVYYCARGGDRPSGCYALDYWGQGTLVTVSSGGGSGGGSGGGSGGGSGGGSDIQMTQSPSSLSASVGDRVTITCRASQDVFSAVAWYQQKPGKAPKLLIYFASFLYSGVPSRFSGSRSGTDFTLTISSLQPEDFATYYCQQHYEVPITFGQGTKVEIK</v>
      </c>
      <c r="N151" s="4">
        <f t="shared" si="14"/>
        <v>249</v>
      </c>
      <c r="O151" s="1" t="b">
        <f t="shared" si="15"/>
        <v>1</v>
      </c>
      <c r="P151" s="1" t="b">
        <v>0</v>
      </c>
      <c r="Q151" s="1" t="b">
        <f>TRUE()</f>
        <v>1</v>
      </c>
      <c r="R151" s="4">
        <v>0</v>
      </c>
      <c r="S151" s="4">
        <v>5.169E-3</v>
      </c>
      <c r="T151" s="4">
        <v>0</v>
      </c>
      <c r="U151" s="4">
        <v>5.3870000000000003E-3</v>
      </c>
      <c r="V151" s="10">
        <v>45990</v>
      </c>
      <c r="W151" s="2" t="s">
        <v>645</v>
      </c>
      <c r="X151" s="4">
        <v>0</v>
      </c>
      <c r="Y151" s="1" t="b">
        <v>1</v>
      </c>
    </row>
    <row r="152" spans="1:25" ht="64" x14ac:dyDescent="0.2">
      <c r="A152" s="1" t="s">
        <v>615</v>
      </c>
      <c r="B152" s="1" t="s">
        <v>515</v>
      </c>
      <c r="C152" s="2" t="s">
        <v>526</v>
      </c>
      <c r="D152" s="4">
        <v>0.4</v>
      </c>
      <c r="E152" s="1" t="s">
        <v>49</v>
      </c>
      <c r="F152" s="1" t="s">
        <v>584</v>
      </c>
      <c r="G152" s="1" t="s">
        <v>258</v>
      </c>
      <c r="I152" s="2" t="s">
        <v>625</v>
      </c>
      <c r="J152" s="2" t="s">
        <v>640</v>
      </c>
      <c r="K152" s="1" t="b">
        <v>1</v>
      </c>
      <c r="L152" s="2" t="s">
        <v>642</v>
      </c>
      <c r="M152" s="2" t="str">
        <f t="shared" si="13"/>
        <v>EVQLVESGGGLVQPGGSLRLSCAASGFNISYSSIHWVRQAPGKGLEWVASISSYSGYTYYADSVKGRFTISADTSKNTAYLQMNSLRAEDTAVYYCARGGSLPTGCYALDYWGQGTLVTVSSGGGSGGGSGGGSGGGSGGGSDIQMTQSPSSLSASVGDRVTITCRASQDVDSAVAWYQQKPGKAPKLLIYFASSLYSGVPSRFSGSRSGTDFTLTISSLQPEDFATYYCQQHYDAPITFGQGTKVEIK</v>
      </c>
      <c r="N152" s="4">
        <f t="shared" si="14"/>
        <v>249</v>
      </c>
      <c r="O152" s="1" t="b">
        <f t="shared" si="15"/>
        <v>1</v>
      </c>
      <c r="P152" s="1" t="b">
        <v>0</v>
      </c>
      <c r="Q152" s="1" t="b">
        <f>TRUE()</f>
        <v>1</v>
      </c>
      <c r="R152" s="4">
        <v>0</v>
      </c>
      <c r="S152" s="4">
        <v>0</v>
      </c>
      <c r="T152" s="4">
        <v>0</v>
      </c>
      <c r="U152" s="4">
        <v>5.4920000000000004E-3</v>
      </c>
      <c r="V152" s="10">
        <v>45990</v>
      </c>
      <c r="W152" s="2" t="s">
        <v>647</v>
      </c>
      <c r="X152" s="4">
        <v>0.04</v>
      </c>
      <c r="Y152" s="1" t="b">
        <v>1</v>
      </c>
    </row>
    <row r="153" spans="1:25" ht="64" x14ac:dyDescent="0.2">
      <c r="A153" s="1" t="s">
        <v>616</v>
      </c>
      <c r="B153" s="1" t="s">
        <v>515</v>
      </c>
      <c r="C153" s="2" t="s">
        <v>526</v>
      </c>
      <c r="D153" s="4">
        <v>0.4</v>
      </c>
      <c r="E153" s="1" t="s">
        <v>49</v>
      </c>
      <c r="F153" s="1" t="s">
        <v>584</v>
      </c>
      <c r="G153" s="1" t="s">
        <v>258</v>
      </c>
      <c r="I153" s="2" t="s">
        <v>626</v>
      </c>
      <c r="J153" s="2" t="s">
        <v>641</v>
      </c>
      <c r="K153" s="1" t="b">
        <v>1</v>
      </c>
      <c r="L153" s="2" t="s">
        <v>642</v>
      </c>
      <c r="M153" s="2" t="str">
        <f t="shared" si="13"/>
        <v>EVQLVESGGGLVQPGGSLRLSCAASGFNISYSSIHWVRQAPGKGLEWVASISSYSGYTYYADSVKGRFTISADTSKNTAYLQMNSLRAEDTAVYYCARGGWYPWGCDALDYWGQGTLVTVSSGGGSGGGSGGGSGGGSGGGSDIQMTQSPSSLSASVGDRVTITCRASQDVDSAVAWYQQKPGKAPKLLIYFASFLYSGVPSRFSGSRSGTDFTLTISSLQPEDFATYYCQQHYDVPITFGQGTKVEIK</v>
      </c>
      <c r="N153" s="4">
        <f t="shared" si="14"/>
        <v>249</v>
      </c>
      <c r="O153" s="1" t="b">
        <f t="shared" si="15"/>
        <v>1</v>
      </c>
      <c r="P153" s="1" t="b">
        <v>0</v>
      </c>
      <c r="Q153" s="1" t="b">
        <f>TRUE()</f>
        <v>1</v>
      </c>
      <c r="R153" s="4">
        <v>0.572295</v>
      </c>
      <c r="S153" s="4">
        <v>0.62021400000000004</v>
      </c>
      <c r="T153" s="4">
        <v>0.186805</v>
      </c>
      <c r="U153" s="4">
        <v>0.27035199999999998</v>
      </c>
      <c r="V153" s="10">
        <v>45990</v>
      </c>
      <c r="W153" s="2" t="s">
        <v>649</v>
      </c>
      <c r="X153" s="4">
        <v>0.01</v>
      </c>
      <c r="Y153" s="1" t="b">
        <v>0</v>
      </c>
    </row>
    <row r="154" spans="1:25" ht="64" x14ac:dyDescent="0.2">
      <c r="A154" s="1" t="s">
        <v>617</v>
      </c>
      <c r="B154" s="1" t="s">
        <v>515</v>
      </c>
      <c r="C154" s="2" t="s">
        <v>526</v>
      </c>
      <c r="D154" s="4">
        <v>0.4</v>
      </c>
      <c r="E154" s="1" t="s">
        <v>49</v>
      </c>
      <c r="F154" s="1" t="s">
        <v>584</v>
      </c>
      <c r="G154" s="1" t="s">
        <v>258</v>
      </c>
      <c r="I154" s="2" t="s">
        <v>631</v>
      </c>
      <c r="J154" s="2" t="s">
        <v>636</v>
      </c>
      <c r="K154" s="1" t="b">
        <v>1</v>
      </c>
      <c r="L154" s="2" t="s">
        <v>642</v>
      </c>
      <c r="M154" s="2" t="str">
        <f t="shared" si="13"/>
        <v>EVQLVESGGGLVQPGGSLRLSCAASGFNISYSSIHWVRQAPGKGLEWVASISSYSGYTYYADSVKGRFTISADTSKNTAYLQMNSLRAEDTAVYYCARGGDRPVGCYALDYWGQGTLVTVSSGGGSGGGSGGGSGGGSGGGSDIQMTQSPSSLSASVGDRVTITCRASQDVTSAVAWYQQKPGKAPKLLIYSASFRYSGVPSRFSGSRSGTDFTLTISSLQPEDFATYYCQQHYVVPVTFGQGTKVEIK</v>
      </c>
      <c r="N154" s="4">
        <f t="shared" si="14"/>
        <v>249</v>
      </c>
      <c r="O154" s="1" t="b">
        <f t="shared" si="15"/>
        <v>1</v>
      </c>
      <c r="P154" s="1" t="b">
        <v>0</v>
      </c>
      <c r="Q154" s="1" t="b">
        <f>TRUE()</f>
        <v>1</v>
      </c>
      <c r="R154" s="4">
        <v>3.0435E-2</v>
      </c>
      <c r="S154" s="4">
        <v>6.3978999999999994E-2</v>
      </c>
      <c r="T154" s="4">
        <v>0</v>
      </c>
      <c r="U154" s="4">
        <v>5.0740000000000004E-3</v>
      </c>
      <c r="V154" s="10">
        <v>45990</v>
      </c>
      <c r="W154" s="2" t="s">
        <v>650</v>
      </c>
      <c r="X154" s="4">
        <v>7.0000000000000007E-2</v>
      </c>
      <c r="Y154" s="1" t="b">
        <v>1</v>
      </c>
    </row>
    <row r="155" spans="1:25" ht="64" x14ac:dyDescent="0.2">
      <c r="A155" s="1" t="s">
        <v>618</v>
      </c>
      <c r="B155" s="1" t="s">
        <v>515</v>
      </c>
      <c r="C155" s="2" t="s">
        <v>526</v>
      </c>
      <c r="D155" s="4">
        <v>0.4</v>
      </c>
      <c r="E155" s="1" t="s">
        <v>49</v>
      </c>
      <c r="F155" s="1" t="s">
        <v>584</v>
      </c>
      <c r="G155" s="1" t="s">
        <v>258</v>
      </c>
      <c r="I155" s="2" t="s">
        <v>630</v>
      </c>
      <c r="J155" s="2" t="s">
        <v>635</v>
      </c>
      <c r="K155" s="1" t="b">
        <v>1</v>
      </c>
      <c r="L155" s="2" t="s">
        <v>642</v>
      </c>
      <c r="M155" s="2" t="str">
        <f t="shared" si="13"/>
        <v>EVQLVESGGGLVQPGGSLRLSCAASGFNISYSSIHWVRQAPGKGLEWVASISSYSGYTYYADSVKGRFTISADTSKNTAYLQMNSLRAEDTAVYYCARGGWYPLGCYAMDYWGQGTLVTVSSGGGSGGGSGGGSGGGSGGGSDIQMTQSPSSLSASVGDRVTITCRASQDVLSDVAWYQQKPGKAPKLLIYYASFRYSGVPSRFSGSRSGTDFTLTISSLQPEDFATYYCQQHYVVPVTFGQGTKVEIK</v>
      </c>
      <c r="N155" s="4">
        <f t="shared" si="14"/>
        <v>249</v>
      </c>
      <c r="O155" s="1" t="b">
        <f t="shared" si="15"/>
        <v>1</v>
      </c>
      <c r="P155" s="1" t="b">
        <v>0</v>
      </c>
      <c r="Q155" s="1" t="b">
        <f>TRUE()</f>
        <v>1</v>
      </c>
      <c r="R155" s="4">
        <v>0</v>
      </c>
      <c r="S155" s="4">
        <v>4.908E-3</v>
      </c>
      <c r="T155" s="4">
        <v>0.351827</v>
      </c>
      <c r="U155" s="4">
        <v>0.444826</v>
      </c>
      <c r="V155" s="10">
        <v>45990</v>
      </c>
      <c r="W155" s="2" t="s">
        <v>648</v>
      </c>
      <c r="X155" s="4">
        <v>0</v>
      </c>
      <c r="Y155" s="1" t="b">
        <v>1</v>
      </c>
    </row>
    <row r="156" spans="1:25" ht="64" x14ac:dyDescent="0.2">
      <c r="A156" s="1" t="s">
        <v>619</v>
      </c>
      <c r="B156" s="1" t="s">
        <v>515</v>
      </c>
      <c r="C156" s="2" t="s">
        <v>526</v>
      </c>
      <c r="D156" s="4">
        <v>0.4</v>
      </c>
      <c r="E156" s="1" t="s">
        <v>49</v>
      </c>
      <c r="F156" s="1" t="s">
        <v>584</v>
      </c>
      <c r="G156" s="1" t="s">
        <v>258</v>
      </c>
      <c r="I156" s="2" t="s">
        <v>629</v>
      </c>
      <c r="J156" s="2" t="s">
        <v>634</v>
      </c>
      <c r="K156" s="1" t="b">
        <v>1</v>
      </c>
      <c r="L156" s="2" t="s">
        <v>642</v>
      </c>
      <c r="M156" s="2" t="str">
        <f t="shared" si="13"/>
        <v>EVQLVESGGGLVQPGGSLRLSCAASGFNISYSSIHWVRQAPGKGLEWVASISSYSGYTYYADSVKGRFTISADTSKNTAYLQMNSLRAEDTAVYYCARGGWRPFGCYALDYWGQGTLVTVSSGGGSGGGSGGGSGGGSGGGSDIQMTQSPSSLSASVGDRVTITCRASQDVFSAVAWYQQKPGKAPKLLIYSASFLYSGVPSRFSGSRSGTDFTLTISSLQPEDFATYYCQQHYIYPVTFGQGTKVEIK</v>
      </c>
      <c r="N156" s="4">
        <f t="shared" si="14"/>
        <v>249</v>
      </c>
      <c r="O156" s="1" t="b">
        <f t="shared" si="15"/>
        <v>1</v>
      </c>
      <c r="P156" s="1" t="b">
        <v>0</v>
      </c>
      <c r="Q156" s="1" t="b">
        <f>TRUE()</f>
        <v>1</v>
      </c>
      <c r="R156" s="4">
        <v>4.2744999999999998E-2</v>
      </c>
      <c r="S156" s="4">
        <v>0.14049900000000001</v>
      </c>
      <c r="T156" s="4">
        <v>0</v>
      </c>
      <c r="U156" s="4">
        <v>5.2769999999999996E-3</v>
      </c>
      <c r="V156" s="10">
        <v>45990</v>
      </c>
      <c r="W156" s="2" t="s">
        <v>652</v>
      </c>
      <c r="X156" s="4">
        <v>7.0000000000000007E-2</v>
      </c>
      <c r="Y156" s="1" t="b">
        <v>0</v>
      </c>
    </row>
    <row r="157" spans="1:25" ht="64" x14ac:dyDescent="0.2">
      <c r="A157" s="1" t="s">
        <v>620</v>
      </c>
      <c r="B157" s="1" t="s">
        <v>515</v>
      </c>
      <c r="C157" s="2" t="s">
        <v>526</v>
      </c>
      <c r="D157" s="4">
        <v>0.4</v>
      </c>
      <c r="E157" s="1" t="s">
        <v>49</v>
      </c>
      <c r="F157" s="1" t="s">
        <v>584</v>
      </c>
      <c r="G157" s="1" t="s">
        <v>258</v>
      </c>
      <c r="I157" s="2" t="s">
        <v>628</v>
      </c>
      <c r="J157" s="2" t="s">
        <v>633</v>
      </c>
      <c r="K157" s="1" t="b">
        <v>1</v>
      </c>
      <c r="L157" s="2" t="s">
        <v>642</v>
      </c>
      <c r="M157" s="2" t="str">
        <f t="shared" si="13"/>
        <v>EVQLVESGGGLVQPGGSLRLSCAASGFNISYSSIHWVRQAPGKGLEWVASISSYSGSTYYADSVKGRFTISADTSKNTAYLQMNSLRAEDTAVYYCARGGWYPWGNYALDYWGQGTLVTVSSGGGSGGGSGGGSGGGSGGGSDIQMTQSPSSLSASVGDRVTITCRASQDVNTAVAWYQQKPGKAPKLLIYEASFRYSGVPSRFSGSRSGTDFTLTISSLQPEDFATYYCQQHYEVPITFGQGTKVEIK</v>
      </c>
      <c r="N157" s="4">
        <f t="shared" si="14"/>
        <v>249</v>
      </c>
      <c r="O157" s="1" t="b">
        <f t="shared" si="15"/>
        <v>1</v>
      </c>
      <c r="P157" s="1" t="b">
        <v>0</v>
      </c>
      <c r="Q157" s="1" t="b">
        <f>TRUE()</f>
        <v>1</v>
      </c>
      <c r="R157" s="4">
        <v>0</v>
      </c>
      <c r="S157" s="4">
        <v>1.0083E-2</v>
      </c>
      <c r="T157" s="4">
        <v>0</v>
      </c>
      <c r="U157" s="4">
        <v>3.4485000000000002E-2</v>
      </c>
      <c r="V157" s="10">
        <v>45990</v>
      </c>
      <c r="W157" s="2" t="s">
        <v>651</v>
      </c>
      <c r="X157" s="4">
        <v>0.02</v>
      </c>
      <c r="Y157" s="1" t="b">
        <v>0</v>
      </c>
    </row>
    <row r="158" spans="1:25" ht="64" x14ac:dyDescent="0.2">
      <c r="A158" s="1" t="s">
        <v>621</v>
      </c>
      <c r="B158" s="1" t="s">
        <v>515</v>
      </c>
      <c r="C158" s="2" t="s">
        <v>526</v>
      </c>
      <c r="D158" s="4">
        <v>0.4</v>
      </c>
      <c r="E158" s="1" t="s">
        <v>49</v>
      </c>
      <c r="F158" s="1" t="s">
        <v>584</v>
      </c>
      <c r="G158" s="1" t="s">
        <v>258</v>
      </c>
      <c r="I158" s="2" t="s">
        <v>627</v>
      </c>
      <c r="J158" s="2" t="s">
        <v>632</v>
      </c>
      <c r="K158" s="1" t="b">
        <v>1</v>
      </c>
      <c r="L158" s="2" t="s">
        <v>642</v>
      </c>
      <c r="M158" s="2" t="str">
        <f t="shared" si="13"/>
        <v>EVQLVESGGGLVQPGGSLRLSCAASGFNISYSSIHWVRQAPGKGLEWVASISSYSGSTYYADSVKGRFTISADTSKNTAYLQMNSLRAEDTAVYYCARGGSRPWGCYALDYWGQGTLVTVSSGGGSGGGSGGGSGGGSGGGSDIQMTQSPSSLSASVGDRVTITCRASQDVFTAVAWYQQKPGKAPKLLIYFASFLYSGVPSRFSGSRSGTDFTLTISSLQPEDFATYYCQQYSIVPVTFGQGTKVEIK</v>
      </c>
      <c r="N158" s="4">
        <f t="shared" si="14"/>
        <v>249</v>
      </c>
      <c r="O158" s="1" t="b">
        <f t="shared" si="15"/>
        <v>1</v>
      </c>
      <c r="P158" s="1" t="b">
        <v>0</v>
      </c>
      <c r="Q158" s="1" t="b">
        <f>TRUE()</f>
        <v>1</v>
      </c>
      <c r="R158" s="4">
        <v>0</v>
      </c>
      <c r="S158" s="4">
        <v>4.7800000000000004E-3</v>
      </c>
      <c r="T158" s="4">
        <v>0.198072</v>
      </c>
      <c r="U158" s="4">
        <v>0.198072</v>
      </c>
      <c r="V158" s="10">
        <v>45990</v>
      </c>
      <c r="W158" s="2" t="s">
        <v>643</v>
      </c>
      <c r="X158" s="4">
        <v>0.01</v>
      </c>
      <c r="Y158" s="1" t="b">
        <v>1</v>
      </c>
    </row>
    <row r="159" spans="1:25" ht="64" x14ac:dyDescent="0.2">
      <c r="A159" s="1" t="s">
        <v>654</v>
      </c>
      <c r="B159" s="1" t="s">
        <v>515</v>
      </c>
      <c r="C159" s="2" t="s">
        <v>526</v>
      </c>
      <c r="D159" s="4">
        <v>0.2</v>
      </c>
      <c r="E159" s="1" t="s">
        <v>49</v>
      </c>
      <c r="F159" s="1" t="s">
        <v>584</v>
      </c>
      <c r="G159" s="1" t="s">
        <v>258</v>
      </c>
      <c r="H159" s="1">
        <v>4</v>
      </c>
      <c r="I159" s="2" t="s">
        <v>592</v>
      </c>
      <c r="J159" s="2" t="s">
        <v>655</v>
      </c>
      <c r="K159" s="1" t="b">
        <v>1</v>
      </c>
      <c r="L159" s="2" t="s">
        <v>642</v>
      </c>
      <c r="M159" s="2" t="str">
        <f t="shared" ref="M159" si="16">_xlfn.CONCAT(I159,L159,J159)</f>
        <v>EVQLVESGGGLVQPGGSLRLSCAASGFNISYSSIHWVRQAPGKGLEWVASISSYSGSTYYADSVKGRFTISADTSKNTAYLQMNSLRAEDTAVYYCARGGDVPVGWYALDYWGQGTLVTVSSGGGSGGGSGGGSGGGSGGGSDIQMTQSPSSLSASVGDRVTITCRASQSVYYAVAWYQQKPGKAPKLLIYRASDLYSGVPSRFSGSRSGTDFTLTISSLQPEDFATYYCQQYYSYPLTFGQGTKVEIK</v>
      </c>
      <c r="N159" s="4">
        <f t="shared" ref="N159" si="17">LEN(M159)</f>
        <v>249</v>
      </c>
      <c r="O159" s="1" t="b">
        <f t="shared" ref="O159" si="18">IF(N159&lt;=250,TRUE,FALSE)</f>
        <v>1</v>
      </c>
      <c r="P159" s="1" t="b">
        <v>0</v>
      </c>
      <c r="Q159" s="1" t="b">
        <v>0</v>
      </c>
      <c r="T159" s="4">
        <v>0.37940400000000002</v>
      </c>
      <c r="U159" s="4">
        <v>0.46918100000000001</v>
      </c>
      <c r="V159" s="10">
        <v>45991</v>
      </c>
      <c r="W159" s="2" t="s">
        <v>657</v>
      </c>
      <c r="X159" s="4">
        <v>0.17</v>
      </c>
      <c r="Y159" s="1" t="b">
        <v>0</v>
      </c>
    </row>
  </sheetData>
  <autoFilter ref="A1:X138" xr:uid="{00000000-0001-0000-0100-000000000000}"/>
  <phoneticPr fontId="1" type="noConversion"/>
  <conditionalFormatting sqref="K1:L1048576">
    <cfRule type="cellIs" dxfId="23" priority="25" operator="equal">
      <formula>TRUE</formula>
    </cfRule>
    <cfRule type="cellIs" dxfId="22" priority="26" operator="equal">
      <formula>FALSE</formula>
    </cfRule>
    <cfRule type="containsBlanks" dxfId="21" priority="26">
      <formula>LEN(TRIM(K1))=0</formula>
    </cfRule>
  </conditionalFormatting>
  <conditionalFormatting sqref="O2:O159">
    <cfRule type="containsBlanks" dxfId="20" priority="18">
      <formula>LEN(TRIM(O2))=0</formula>
    </cfRule>
  </conditionalFormatting>
  <conditionalFormatting sqref="O84:P159">
    <cfRule type="cellIs" dxfId="19" priority="6" operator="equal">
      <formula>FALSE</formula>
    </cfRule>
    <cfRule type="cellIs" dxfId="18" priority="7" operator="equal">
      <formula>TRUE</formula>
    </cfRule>
  </conditionalFormatting>
  <conditionalFormatting sqref="O2:U2 O3:Q30 O31:P83 R3:U22 S3:U158 T3:U159 R12:R158 R159:U159">
    <cfRule type="cellIs" dxfId="17" priority="19" operator="equal">
      <formula>FALSE</formula>
    </cfRule>
    <cfRule type="cellIs" dxfId="16" priority="27" operator="equal">
      <formula>TRUE</formula>
    </cfRule>
  </conditionalFormatting>
  <conditionalFormatting sqref="Q31:Q159">
    <cfRule type="cellIs" dxfId="15" priority="4" operator="equal">
      <formula>FALSE</formula>
    </cfRule>
    <cfRule type="cellIs" dxfId="14" priority="5" operator="equal">
      <formula>TRUE</formula>
    </cfRule>
  </conditionalFormatting>
  <conditionalFormatting sqref="X1:X1048576 R1:U1048576">
    <cfRule type="colorScale" priority="17">
      <colorScale>
        <cfvo type="num" val="0"/>
        <cfvo type="percent" val="0.5"/>
        <cfvo type="num" val="1"/>
        <color rgb="FFF8696B"/>
        <color rgb="FFFFEB84"/>
        <color rgb="FF63BE7B"/>
      </colorScale>
    </cfRule>
  </conditionalFormatting>
  <conditionalFormatting sqref="X2:X22">
    <cfRule type="cellIs" dxfId="13" priority="13" operator="equal">
      <formula>FALSE</formula>
    </cfRule>
    <cfRule type="cellIs" dxfId="12" priority="14" operator="equal">
      <formula>TRUE</formula>
    </cfRule>
  </conditionalFormatting>
  <conditionalFormatting sqref="Y2:Y159">
    <cfRule type="containsBlanks" dxfId="11" priority="1">
      <formula>LEN(TRIM(Y2))=0</formula>
    </cfRule>
    <cfRule type="cellIs" dxfId="10" priority="2" operator="equal">
      <formula>FALSE</formula>
    </cfRule>
    <cfRule type="cellIs" dxfId="9" priority="3" operator="equal">
      <formula>TRUE</formula>
    </cfRule>
  </conditionalFormatting>
  <pageMargins left="0.7" right="0.7" top="0.75" bottom="0.75" header="0.511811023622047" footer="0.511811023622047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M4"/>
  <sheetViews>
    <sheetView zoomScaleNormal="100" workbookViewId="0">
      <selection activeCell="D17" sqref="D17"/>
    </sheetView>
  </sheetViews>
  <sheetFormatPr baseColWidth="10" defaultColWidth="9.1640625" defaultRowHeight="15" x14ac:dyDescent="0.2"/>
  <cols>
    <col min="1" max="2" width="19.5" style="1" bestFit="1" customWidth="1"/>
    <col min="3" max="3" width="14.5" style="4" customWidth="1"/>
    <col min="4" max="4" width="122.1640625" style="1" customWidth="1"/>
    <col min="5" max="5" width="44.1640625" style="1" customWidth="1"/>
    <col min="6" max="6" width="93.33203125" style="1" customWidth="1"/>
    <col min="7" max="7" width="10.83203125" style="1" bestFit="1" customWidth="1"/>
    <col min="8" max="8" width="41" style="1" customWidth="1"/>
    <col min="9" max="9" width="10.5" style="1" bestFit="1" customWidth="1"/>
    <col min="10" max="10" width="10.1640625" style="1" bestFit="1" customWidth="1"/>
    <col min="11" max="1027" width="9.1640625" style="1"/>
  </cols>
  <sheetData>
    <row r="1" spans="1:10" x14ac:dyDescent="0.2">
      <c r="A1" s="1" t="s">
        <v>0</v>
      </c>
      <c r="B1" s="1" t="s">
        <v>231</v>
      </c>
      <c r="C1" s="4" t="s">
        <v>97</v>
      </c>
      <c r="D1" s="1" t="s">
        <v>1</v>
      </c>
      <c r="E1" s="1" t="s">
        <v>2</v>
      </c>
      <c r="F1" s="1" t="s">
        <v>3</v>
      </c>
      <c r="G1" s="1" t="s">
        <v>229</v>
      </c>
      <c r="H1" s="1" t="s">
        <v>228</v>
      </c>
      <c r="I1" s="1" t="s">
        <v>132</v>
      </c>
      <c r="J1" s="1" t="s">
        <v>133</v>
      </c>
    </row>
    <row r="2" spans="1:10" ht="80" x14ac:dyDescent="0.2">
      <c r="A2" s="1" t="s">
        <v>4</v>
      </c>
      <c r="B2" s="1" t="s">
        <v>5</v>
      </c>
      <c r="C2" s="4" t="s">
        <v>233</v>
      </c>
      <c r="D2" s="2" t="s">
        <v>6</v>
      </c>
      <c r="E2" s="2" t="s">
        <v>7</v>
      </c>
      <c r="F2" s="2" t="s">
        <v>8</v>
      </c>
      <c r="G2" s="2" t="s">
        <v>227</v>
      </c>
      <c r="H2" s="2" t="s">
        <v>225</v>
      </c>
      <c r="I2" s="1">
        <v>0.55449599999999999</v>
      </c>
      <c r="J2" s="1">
        <v>0.37068000000000001</v>
      </c>
    </row>
    <row r="3" spans="1:10" ht="112" x14ac:dyDescent="0.2">
      <c r="A3" s="1" t="s">
        <v>232</v>
      </c>
      <c r="B3" s="1" t="s">
        <v>259</v>
      </c>
      <c r="C3" s="4" t="s">
        <v>234</v>
      </c>
      <c r="D3" s="2" t="s">
        <v>226</v>
      </c>
      <c r="F3" s="2" t="s">
        <v>230</v>
      </c>
      <c r="G3" s="2" t="s">
        <v>227</v>
      </c>
      <c r="H3" s="2" t="s">
        <v>225</v>
      </c>
      <c r="I3" s="1">
        <v>0.79488899999999996</v>
      </c>
      <c r="J3" s="1">
        <v>0.72998799999999997</v>
      </c>
    </row>
    <row r="4" spans="1:10" ht="112" x14ac:dyDescent="0.2">
      <c r="A4" s="1" t="s">
        <v>258</v>
      </c>
      <c r="B4" s="1" t="s">
        <v>260</v>
      </c>
      <c r="C4" s="4" t="s">
        <v>256</v>
      </c>
      <c r="D4" s="2" t="s">
        <v>257</v>
      </c>
      <c r="F4" s="2" t="s">
        <v>261</v>
      </c>
      <c r="G4" s="2" t="s">
        <v>227</v>
      </c>
      <c r="H4" s="2" t="s">
        <v>225</v>
      </c>
    </row>
  </sheetData>
  <pageMargins left="0.7" right="0.7" top="0.75" bottom="0.75" header="0.511811023622047" footer="0.511811023622047"/>
  <pageSetup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F39314-0648-4D13-9FBE-8D5595154332}">
  <dimension ref="A1:J5"/>
  <sheetViews>
    <sheetView topLeftCell="E1" workbookViewId="0">
      <selection activeCell="K5" sqref="K5"/>
    </sheetView>
  </sheetViews>
  <sheetFormatPr baseColWidth="10" defaultColWidth="9.1640625" defaultRowHeight="15" x14ac:dyDescent="0.2"/>
  <cols>
    <col min="1" max="1" width="15" style="1" bestFit="1" customWidth="1"/>
    <col min="2" max="2" width="11.5" style="1" customWidth="1"/>
    <col min="3" max="3" width="46.1640625" style="2" customWidth="1"/>
    <col min="4" max="4" width="48.83203125" style="2" customWidth="1"/>
    <col min="5" max="5" width="20.6640625" style="1" bestFit="1" customWidth="1"/>
    <col min="6" max="6" width="74" style="1" customWidth="1"/>
    <col min="7" max="7" width="17.5" style="1" bestFit="1" customWidth="1"/>
    <col min="8" max="8" width="11" style="1" bestFit="1" customWidth="1"/>
    <col min="9" max="9" width="10.1640625" style="1" bestFit="1" customWidth="1"/>
    <col min="10" max="10" width="10.5" style="1" bestFit="1" customWidth="1"/>
    <col min="11" max="16384" width="9.1640625" style="1"/>
  </cols>
  <sheetData>
    <row r="1" spans="1:10" ht="16" x14ac:dyDescent="0.2">
      <c r="A1" s="3" t="s">
        <v>355</v>
      </c>
      <c r="B1" s="3" t="s">
        <v>356</v>
      </c>
      <c r="C1" s="5" t="s">
        <v>13</v>
      </c>
      <c r="D1" s="5" t="s">
        <v>14</v>
      </c>
      <c r="E1" s="5" t="s">
        <v>124</v>
      </c>
      <c r="F1" s="5" t="s">
        <v>15</v>
      </c>
      <c r="G1" s="3" t="s">
        <v>16</v>
      </c>
      <c r="H1" s="3" t="s">
        <v>99</v>
      </c>
      <c r="I1" s="3" t="s">
        <v>133</v>
      </c>
      <c r="J1" s="3" t="s">
        <v>132</v>
      </c>
    </row>
    <row r="2" spans="1:10" ht="64" x14ac:dyDescent="0.2">
      <c r="A2" s="1" t="s">
        <v>359</v>
      </c>
      <c r="B2" s="1" t="s">
        <v>360</v>
      </c>
      <c r="C2" s="2" t="s">
        <v>357</v>
      </c>
      <c r="D2" s="2" t="s">
        <v>358</v>
      </c>
      <c r="E2" s="2" t="s">
        <v>125</v>
      </c>
      <c r="F2" s="2" t="str">
        <f>_xlfn.CONCAT(C2,E2,D2)</f>
        <v>QSLEESGGRLVTPGTPLTLTCTASGFSLSSYYMMWVRQAPGKGLEWIGIINTGGNAYYASWTKGRFTISKTSTTVDLKITSPTTEDTATYFCARAVPSGAGYSAGGLWGPGTLVTVSSGGGSGGGSGGGSGGGSDQVLTQTPASVEAAVGGTVTIKCQASQSVGFYLSWYQQKPGQPPKLLIYRASTLESGVPSRFKGSGSGTEFTLTISDLECADAATYYCQTNDYLASSAFGGGTEVVVRGDP</v>
      </c>
      <c r="G2" s="4">
        <f>LEN(F2)</f>
        <v>245</v>
      </c>
      <c r="H2" s="1" t="b">
        <f>IF(G2&lt;=250,TRUE,FALSE)</f>
        <v>1</v>
      </c>
      <c r="I2" s="4">
        <v>0.15832499999999999</v>
      </c>
      <c r="J2" s="4">
        <v>0.23402200000000001</v>
      </c>
    </row>
    <row r="3" spans="1:10" ht="64" x14ac:dyDescent="0.2">
      <c r="A3" s="1" t="s">
        <v>361</v>
      </c>
      <c r="B3" s="1" t="s">
        <v>362</v>
      </c>
      <c r="C3" s="2" t="s">
        <v>363</v>
      </c>
      <c r="D3" s="2" t="s">
        <v>364</v>
      </c>
      <c r="E3" s="2" t="s">
        <v>125</v>
      </c>
      <c r="F3" s="2" t="str">
        <f>_xlfn.CONCAT(C3,E3,D3)</f>
        <v>EVQLQQSGAELVKPGASVKLSCTASGFNIKDTYMYWVKQRPEQGLEWIGRIDPANGDTKYDPKFQGKATITTDTFSNTAYLQLSSLTSEDTAVYYCARKGLRWAMDYWGQGTSVTVSTGGGSGGGSGGGSGGGSNIVMTQSPKSMSMSVGERVTLSCKASEYVGTYVSWYQQKPEQSPKLLIYGASNRYTGVPDRFTGSGSATDFTLTIGSVQAEDLADYHCGQSYSYPTFGAGTKLELKRA</v>
      </c>
      <c r="G3" s="4">
        <f>LEN(F3)</f>
        <v>242</v>
      </c>
      <c r="H3" s="1" t="b">
        <f>IF(G3&lt;=250,TRUE,FALSE)</f>
        <v>1</v>
      </c>
      <c r="I3" s="4">
        <v>4.9750000000000003E-3</v>
      </c>
      <c r="J3" s="4">
        <v>0</v>
      </c>
    </row>
    <row r="4" spans="1:10" ht="64" x14ac:dyDescent="0.2">
      <c r="A4" s="1" t="s">
        <v>365</v>
      </c>
      <c r="B4" s="1" t="s">
        <v>366</v>
      </c>
      <c r="C4" s="2" t="s">
        <v>368</v>
      </c>
      <c r="D4" s="2" t="s">
        <v>367</v>
      </c>
      <c r="E4" s="2" t="s">
        <v>125</v>
      </c>
      <c r="F4" s="2" t="str">
        <f>_xlfn.CONCAT(C4,E4,D4)</f>
        <v>DVQLQESGPGLVKPSQSLSLTCSVTGYSITSDYYWNWIRQFPGNKLEWMGYVTYDGSNNYNPSLKNRISITRDSSKNQFFLKLNSVISEDTATYYCARFGSSYWAMDYWGQGTSLTVSSGGGSGGGSGGGSGGGSQIVLTQSPAIMSASLGEAITLTCSASSSVSYMHWYQQKSGTSPKLLIYSTSNLASGVPSRFSGSGSGTFYSLTISSVEAEDAADYYCHQWYSYPWTFGGGTKLEIK</v>
      </c>
      <c r="G4" s="4">
        <f>LEN(F4)</f>
        <v>241</v>
      </c>
      <c r="H4" s="1" t="b">
        <f>IF(G4&lt;=250,TRUE,FALSE)</f>
        <v>1</v>
      </c>
      <c r="I4" s="4">
        <v>5.2248000000000003E-2</v>
      </c>
      <c r="J4" s="4">
        <v>5.3319999999999999E-3</v>
      </c>
    </row>
    <row r="5" spans="1:10" ht="64" x14ac:dyDescent="0.2">
      <c r="A5" s="1" t="s">
        <v>567</v>
      </c>
      <c r="B5" s="1" t="s">
        <v>568</v>
      </c>
      <c r="C5" s="2" t="s">
        <v>566</v>
      </c>
      <c r="D5" s="2" t="s">
        <v>565</v>
      </c>
      <c r="E5" s="2" t="s">
        <v>569</v>
      </c>
      <c r="F5" s="2" t="str">
        <f>_xlfn.CONCAT(C5,E5,D5)</f>
        <v>EVQLVQSGAEVKKRGSSVKVSCKSSGGTFSNYAINWVRQAPGQGLEWMGGIIPILGIANYAQKFQGRVTITTDESTSTAYMELSSLRSEDTAVYYCARGWGREQLAPHPSQYYYYYYGMDVWGQGTTVTVSSGGGSGGGSGGGEIVMTQSPGTPSLSPGERATLSCRASQSIRSTYLAWYQQKPGQAPRLLIYGASSRATGIPDRFSGSGSGTDFTLTISRLEPEDFAVYYCQQYGRSPSFGQGTKVEIK</v>
      </c>
      <c r="G5" s="4">
        <f>LEN(F5)</f>
        <v>250</v>
      </c>
      <c r="H5" s="1" t="b">
        <f>IF(G5&lt;=250,TRUE,FALSE)</f>
        <v>1</v>
      </c>
      <c r="I5" s="4">
        <v>0.47112500000000002</v>
      </c>
      <c r="J5" s="4">
        <v>0.66756800000000005</v>
      </c>
    </row>
  </sheetData>
  <conditionalFormatting sqref="E1:E5">
    <cfRule type="cellIs" dxfId="8" priority="18" operator="equal">
      <formula>TRUE</formula>
    </cfRule>
    <cfRule type="cellIs" dxfId="7" priority="19" operator="equal">
      <formula>FALSE</formula>
    </cfRule>
  </conditionalFormatting>
  <conditionalFormatting sqref="H2:H5">
    <cfRule type="containsBlanks" dxfId="6" priority="16">
      <formula>LEN(TRIM(H2))=0</formula>
    </cfRule>
    <cfRule type="cellIs" dxfId="5" priority="17" operator="equal">
      <formula>FALSE</formula>
    </cfRule>
    <cfRule type="cellIs" dxfId="4" priority="20" operator="equal">
      <formula>TRUE</formula>
    </cfRule>
  </conditionalFormatting>
  <conditionalFormatting sqref="I5">
    <cfRule type="colorScale" priority="4">
      <colorScale>
        <cfvo type="num" val="0"/>
        <cfvo type="percentile" val="50"/>
        <cfvo type="num" val="1"/>
        <color rgb="FFF8696B"/>
        <color rgb="FFFFEB84"/>
        <color rgb="FF63BE7B"/>
      </colorScale>
    </cfRule>
    <cfRule type="cellIs" dxfId="3" priority="5" operator="equal">
      <formula>FALSE</formula>
    </cfRule>
    <cfRule type="cellIs" dxfId="2" priority="6" operator="equal">
      <formula>TRUE</formula>
    </cfRule>
  </conditionalFormatting>
  <conditionalFormatting sqref="I1:J1048576">
    <cfRule type="colorScale" priority="13">
      <colorScale>
        <cfvo type="num" val="0"/>
        <cfvo type="num" val="0.5"/>
        <cfvo type="num" val="1"/>
        <color rgb="FFF8696B"/>
        <color rgb="FFFFEB84"/>
        <color rgb="FF63BE7B"/>
      </colorScale>
    </cfRule>
    <cfRule type="cellIs" dxfId="1" priority="14" operator="equal">
      <formula>FALSE</formula>
    </cfRule>
    <cfRule type="cellIs" dxfId="0" priority="15" operator="equal">
      <formula>TRUE</formula>
    </cfRule>
  </conditionalFormatting>
  <pageMargins left="0.7" right="0.7" top="0.75" bottom="0.75" header="0.3" footer="0.3"/>
  <pageSetup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06239D-77DB-4F47-9412-C7BA2E2E54B1}">
  <dimension ref="A1:B8"/>
  <sheetViews>
    <sheetView workbookViewId="0">
      <selection activeCell="D16" sqref="D16"/>
    </sheetView>
  </sheetViews>
  <sheetFormatPr baseColWidth="10" defaultColWidth="9.1640625" defaultRowHeight="15" x14ac:dyDescent="0.2"/>
  <cols>
    <col min="1" max="1" width="9.1640625" style="4"/>
    <col min="2" max="2" width="53" style="2" customWidth="1"/>
    <col min="3" max="16384" width="9.1640625" style="1"/>
  </cols>
  <sheetData>
    <row r="1" spans="1:2" ht="16" x14ac:dyDescent="0.2">
      <c r="A1" s="3" t="s">
        <v>94</v>
      </c>
      <c r="B1" s="6" t="s">
        <v>95</v>
      </c>
    </row>
    <row r="2" spans="1:2" ht="64" x14ac:dyDescent="0.2">
      <c r="A2" s="4">
        <v>1</v>
      </c>
      <c r="B2" s="2" t="s">
        <v>93</v>
      </c>
    </row>
    <row r="3" spans="1:2" ht="64" x14ac:dyDescent="0.2">
      <c r="A3" s="4">
        <v>2</v>
      </c>
      <c r="B3" s="2" t="s">
        <v>111</v>
      </c>
    </row>
    <row r="4" spans="1:2" ht="16" x14ac:dyDescent="0.2">
      <c r="A4" s="4">
        <v>3</v>
      </c>
      <c r="B4" s="2" t="s">
        <v>342</v>
      </c>
    </row>
    <row r="5" spans="1:2" ht="16" x14ac:dyDescent="0.2">
      <c r="A5" s="4">
        <v>4</v>
      </c>
      <c r="B5" s="2" t="s">
        <v>653</v>
      </c>
    </row>
    <row r="6" spans="1:2" ht="16" x14ac:dyDescent="0.2">
      <c r="A6" s="4" t="s">
        <v>233</v>
      </c>
      <c r="B6" s="2" t="s">
        <v>235</v>
      </c>
    </row>
    <row r="7" spans="1:2" ht="16" x14ac:dyDescent="0.2">
      <c r="A7" s="4" t="s">
        <v>234</v>
      </c>
      <c r="B7" s="2" t="s">
        <v>262</v>
      </c>
    </row>
    <row r="8" spans="1:2" ht="16" x14ac:dyDescent="0.2">
      <c r="A8" s="4" t="s">
        <v>256</v>
      </c>
      <c r="B8" s="2" t="s">
        <v>255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6FE0EC-FC47-C643-AAB5-7D34FF5161C9}">
  <dimension ref="A2:C38"/>
  <sheetViews>
    <sheetView workbookViewId="0">
      <selection activeCell="A29" sqref="A29"/>
    </sheetView>
  </sheetViews>
  <sheetFormatPr baseColWidth="10" defaultColWidth="11.5" defaultRowHeight="15" x14ac:dyDescent="0.2"/>
  <cols>
    <col min="1" max="1" width="20.83203125" customWidth="1"/>
    <col min="2" max="2" width="28.5" bestFit="1" customWidth="1"/>
    <col min="3" max="3" width="255.83203125" bestFit="1" customWidth="1"/>
    <col min="4" max="4" width="255.6640625" bestFit="1" customWidth="1"/>
    <col min="5" max="5" width="10" bestFit="1" customWidth="1"/>
  </cols>
  <sheetData>
    <row r="2" spans="1:3" x14ac:dyDescent="0.2">
      <c r="A2" s="8" t="s">
        <v>98</v>
      </c>
      <c r="B2" s="9">
        <v>45991</v>
      </c>
    </row>
    <row r="4" spans="1:3" x14ac:dyDescent="0.2">
      <c r="A4" t="s">
        <v>654</v>
      </c>
      <c r="B4" t="s">
        <v>526</v>
      </c>
      <c r="C4" t="s">
        <v>656</v>
      </c>
    </row>
    <row r="29" spans="1:1" x14ac:dyDescent="0.2">
      <c r="A29" t="str">
        <f>_xlfn.CONCAT("&gt;",A4,"\n",C4)</f>
        <v>&gt;sbio-nipahgpg-160\nEVQLVESGGGLVQPGGSLRLSCAASGFNISYSSIHWVRQAPGKGLEWVASISSYSGSTYYADSVKGRFTISADTSKNTAYLQMNSLRAEDTAVYYCARGGDVPVGWYALDYWGQGTLVTVSSGGGSGGGSGGGSGGGSGGGSDIQMTQSPSSLSASVGDRVTITCRASQSVYYAVAWYQQKPGKAPKLLIYRASDLYSGVPSRFSGSRSGTDFTLTISSLQPEDFATYYCQQYYSYPLTFGQGTKVEIK</v>
      </c>
    </row>
    <row r="30" spans="1:1" x14ac:dyDescent="0.2">
      <c r="A30" t="str">
        <f t="shared" ref="A30:A38" si="0">_xlfn.CONCAT("&gt;",A5,"\n",C5)</f>
        <v>&gt;\n</v>
      </c>
    </row>
    <row r="31" spans="1:1" x14ac:dyDescent="0.2">
      <c r="A31" t="str">
        <f t="shared" si="0"/>
        <v>&gt;\n</v>
      </c>
    </row>
    <row r="32" spans="1:1" x14ac:dyDescent="0.2">
      <c r="A32" t="str">
        <f t="shared" si="0"/>
        <v>&gt;\n</v>
      </c>
    </row>
    <row r="33" spans="1:1" x14ac:dyDescent="0.2">
      <c r="A33" t="str">
        <f t="shared" si="0"/>
        <v>&gt;\n</v>
      </c>
    </row>
    <row r="34" spans="1:1" x14ac:dyDescent="0.2">
      <c r="A34" t="str">
        <f t="shared" si="0"/>
        <v>&gt;\n</v>
      </c>
    </row>
    <row r="35" spans="1:1" x14ac:dyDescent="0.2">
      <c r="A35" t="str">
        <f t="shared" si="0"/>
        <v>&gt;\n</v>
      </c>
    </row>
    <row r="36" spans="1:1" x14ac:dyDescent="0.2">
      <c r="A36" t="str">
        <f t="shared" si="0"/>
        <v>&gt;\n</v>
      </c>
    </row>
    <row r="37" spans="1:1" x14ac:dyDescent="0.2">
      <c r="A37" t="str">
        <f t="shared" si="0"/>
        <v>&gt;\n</v>
      </c>
    </row>
    <row r="38" spans="1:1" x14ac:dyDescent="0.2">
      <c r="A38" t="str">
        <f t="shared" si="0"/>
        <v>&gt;\n</v>
      </c>
    </row>
  </sheetData>
  <pageMargins left="0.7" right="0.7" top="0.75" bottom="0.75" header="0.3" footer="0.3"/>
  <pageSetup orientation="portrait" horizontalDpi="1200" verticalDpi="1200"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15885C-871B-F74B-B1CA-2C911915002A}">
  <dimension ref="A1:G159"/>
  <sheetViews>
    <sheetView zoomScale="260" workbookViewId="0">
      <selection activeCell="E5" sqref="E5"/>
    </sheetView>
  </sheetViews>
  <sheetFormatPr baseColWidth="10" defaultColWidth="11.5" defaultRowHeight="15" x14ac:dyDescent="0.2"/>
  <cols>
    <col min="1" max="1" width="17.83203125" bestFit="1" customWidth="1"/>
  </cols>
  <sheetData>
    <row r="1" spans="1:7" x14ac:dyDescent="0.2">
      <c r="A1" t="s">
        <v>9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</row>
    <row r="2" spans="1:7" x14ac:dyDescent="0.2">
      <c r="A2" t="s">
        <v>17</v>
      </c>
      <c r="B2">
        <v>-55.501600000000003</v>
      </c>
      <c r="C2">
        <v>-38.388300000000001</v>
      </c>
      <c r="D2">
        <v>-74.485200000000006</v>
      </c>
      <c r="E2">
        <v>-2.2162199999999999</v>
      </c>
      <c r="F2">
        <v>2642.75</v>
      </c>
      <c r="G2">
        <v>-112.87350000000001</v>
      </c>
    </row>
    <row r="3" spans="1:7" x14ac:dyDescent="0.2">
      <c r="A3" t="s">
        <v>22</v>
      </c>
      <c r="B3">
        <v>-51.150100000000002</v>
      </c>
      <c r="C3">
        <v>-44.585900000000002</v>
      </c>
      <c r="D3">
        <v>-11.402900000000001</v>
      </c>
      <c r="E3">
        <v>-4.2836400000000001</v>
      </c>
      <c r="F3">
        <v>1944.51</v>
      </c>
      <c r="G3">
        <v>-55.988799999999998</v>
      </c>
    </row>
    <row r="4" spans="1:7" x14ac:dyDescent="0.2">
      <c r="A4" t="s">
        <v>25</v>
      </c>
      <c r="B4">
        <v>-17.5215</v>
      </c>
      <c r="C4">
        <v>-18.676600000000001</v>
      </c>
      <c r="D4">
        <v>-27.587199999999999</v>
      </c>
      <c r="E4">
        <v>6.6725700000000003</v>
      </c>
      <c r="F4">
        <v>958.87099999999998</v>
      </c>
      <c r="G4">
        <v>-46.263800000000003</v>
      </c>
    </row>
    <row r="5" spans="1:7" x14ac:dyDescent="0.2">
      <c r="A5" t="s">
        <v>28</v>
      </c>
      <c r="B5">
        <v>-60.354300000000002</v>
      </c>
      <c r="C5">
        <v>-35.3322</v>
      </c>
      <c r="D5">
        <v>-97.282700000000006</v>
      </c>
      <c r="E5">
        <v>-5.5655999999999999</v>
      </c>
      <c r="F5">
        <v>2098.27</v>
      </c>
      <c r="G5">
        <v>-132.61490000000001</v>
      </c>
    </row>
    <row r="6" spans="1:7" x14ac:dyDescent="0.2">
      <c r="A6" t="s">
        <v>31</v>
      </c>
      <c r="B6">
        <v>78.381900000000002</v>
      </c>
      <c r="C6">
        <v>73.120500000000007</v>
      </c>
      <c r="D6">
        <v>-5.1633599999999999</v>
      </c>
      <c r="E6">
        <v>6.2940800000000001</v>
      </c>
      <c r="F6">
        <v>1974.77</v>
      </c>
      <c r="G6">
        <v>67.957139999999995</v>
      </c>
    </row>
    <row r="7" spans="1:7" x14ac:dyDescent="0.2">
      <c r="A7" t="s">
        <v>37</v>
      </c>
      <c r="B7">
        <v>-54.599499999999999</v>
      </c>
      <c r="C7">
        <v>-46.629600000000003</v>
      </c>
      <c r="D7">
        <v>-61.430700000000002</v>
      </c>
      <c r="E7">
        <v>4.3162599999999998</v>
      </c>
      <c r="F7">
        <v>2332.56</v>
      </c>
      <c r="G7">
        <v>-108.0603</v>
      </c>
    </row>
    <row r="8" spans="1:7" x14ac:dyDescent="0.2">
      <c r="A8" t="s">
        <v>43</v>
      </c>
      <c r="B8">
        <v>-8.3158999999999992</v>
      </c>
      <c r="C8">
        <v>1.02119</v>
      </c>
      <c r="D8">
        <v>-135.084</v>
      </c>
      <c r="E8">
        <v>17.6797</v>
      </c>
      <c r="F8">
        <v>1612.48</v>
      </c>
      <c r="G8">
        <v>-134.06281000000001</v>
      </c>
    </row>
    <row r="9" spans="1:7" x14ac:dyDescent="0.2">
      <c r="A9" t="s">
        <v>44</v>
      </c>
      <c r="B9">
        <v>-31.4603</v>
      </c>
      <c r="C9">
        <v>-16.3443</v>
      </c>
      <c r="D9">
        <v>-23.0959</v>
      </c>
      <c r="E9">
        <v>-10.4968</v>
      </c>
      <c r="F9">
        <v>1130.92</v>
      </c>
      <c r="G9">
        <v>-39.440199999999997</v>
      </c>
    </row>
    <row r="10" spans="1:7" x14ac:dyDescent="0.2">
      <c r="A10" t="s">
        <v>45</v>
      </c>
      <c r="B10">
        <v>-108.0765</v>
      </c>
      <c r="C10">
        <v>-72.727400000000003</v>
      </c>
      <c r="D10">
        <v>-225.98699999999999</v>
      </c>
      <c r="E10">
        <v>9.8482800000000008</v>
      </c>
      <c r="F10">
        <v>2489.4899999999998</v>
      </c>
      <c r="G10">
        <v>-298.71440000000001</v>
      </c>
    </row>
    <row r="11" spans="1:7" x14ac:dyDescent="0.2">
      <c r="A11" t="s">
        <v>46</v>
      </c>
      <c r="B11">
        <v>-2.5352999999999999</v>
      </c>
      <c r="C11">
        <v>-4.8882099999999999</v>
      </c>
      <c r="D11">
        <v>-10.786199999999999</v>
      </c>
      <c r="E11">
        <v>4.5101500000000003</v>
      </c>
      <c r="F11">
        <v>2243.12</v>
      </c>
      <c r="G11">
        <v>-15.6744099999999</v>
      </c>
    </row>
    <row r="12" spans="1:7" x14ac:dyDescent="0.2">
      <c r="A12" t="s">
        <v>47</v>
      </c>
      <c r="B12">
        <v>-20.5517</v>
      </c>
      <c r="C12">
        <v>-35.757300000000001</v>
      </c>
      <c r="D12">
        <v>10.131600000000001</v>
      </c>
      <c r="E12">
        <v>13.1793</v>
      </c>
      <c r="F12">
        <v>2222.86</v>
      </c>
      <c r="G12">
        <v>-25.625699999999998</v>
      </c>
    </row>
    <row r="13" spans="1:7" x14ac:dyDescent="0.2">
      <c r="A13" t="s">
        <v>48</v>
      </c>
      <c r="B13">
        <v>-24.188400000000001</v>
      </c>
      <c r="C13">
        <v>-19.3353</v>
      </c>
      <c r="D13">
        <v>-19.4712</v>
      </c>
      <c r="E13">
        <v>-0.95881799999999995</v>
      </c>
      <c r="F13">
        <v>1462.85</v>
      </c>
      <c r="G13">
        <v>-38.8065</v>
      </c>
    </row>
    <row r="14" spans="1:7" x14ac:dyDescent="0.2">
      <c r="A14" t="s">
        <v>53</v>
      </c>
      <c r="B14">
        <v>-74.927300000000002</v>
      </c>
      <c r="C14">
        <v>-40.940899999999999</v>
      </c>
      <c r="D14">
        <v>-148.417</v>
      </c>
      <c r="E14">
        <v>-4.3029599999999997</v>
      </c>
      <c r="F14">
        <v>2508.69</v>
      </c>
      <c r="G14">
        <v>-189.3579</v>
      </c>
    </row>
    <row r="15" spans="1:7" x14ac:dyDescent="0.2">
      <c r="A15" t="s">
        <v>69</v>
      </c>
      <c r="B15">
        <v>-30.916599999999999</v>
      </c>
      <c r="C15">
        <v>-23.961400000000001</v>
      </c>
      <c r="D15">
        <v>-10.4665</v>
      </c>
      <c r="E15">
        <v>-4.8618800000000002</v>
      </c>
      <c r="F15">
        <v>1141.9000000000001</v>
      </c>
      <c r="G15">
        <v>-34.427900000000001</v>
      </c>
    </row>
    <row r="16" spans="1:7" x14ac:dyDescent="0.2">
      <c r="A16" t="s">
        <v>70</v>
      </c>
      <c r="B16">
        <v>-37.731900000000003</v>
      </c>
      <c r="C16">
        <v>-25.684100000000001</v>
      </c>
      <c r="D16">
        <v>-157.30199999999999</v>
      </c>
      <c r="E16">
        <v>19.412600000000001</v>
      </c>
      <c r="F16">
        <v>1805.09</v>
      </c>
      <c r="G16">
        <v>-182.98609999999999</v>
      </c>
    </row>
    <row r="17" spans="1:7" x14ac:dyDescent="0.2">
      <c r="A17" t="s">
        <v>71</v>
      </c>
      <c r="B17">
        <v>-40.457299999999996</v>
      </c>
      <c r="C17">
        <v>-22.994700000000002</v>
      </c>
      <c r="D17">
        <v>-42.025300000000001</v>
      </c>
      <c r="E17">
        <v>-9.0575799999999997</v>
      </c>
      <c r="F17">
        <v>1473.63</v>
      </c>
      <c r="G17">
        <v>-65.02</v>
      </c>
    </row>
    <row r="18" spans="1:7" x14ac:dyDescent="0.2">
      <c r="A18" t="s">
        <v>72</v>
      </c>
      <c r="B18">
        <v>-34.353499999999997</v>
      </c>
      <c r="C18">
        <v>-18.3795</v>
      </c>
      <c r="D18">
        <v>-84.392099999999999</v>
      </c>
      <c r="E18">
        <v>0.90446300000000002</v>
      </c>
      <c r="F18">
        <v>756.49099999999999</v>
      </c>
      <c r="G18">
        <v>-102.77160000000001</v>
      </c>
    </row>
    <row r="19" spans="1:7" x14ac:dyDescent="0.2">
      <c r="A19" t="s">
        <v>73</v>
      </c>
      <c r="B19">
        <v>-72.092399999999998</v>
      </c>
      <c r="C19">
        <v>-37.816400000000002</v>
      </c>
      <c r="D19">
        <v>-283.59100000000001</v>
      </c>
      <c r="E19">
        <v>22.4422</v>
      </c>
      <c r="F19">
        <v>2122.62</v>
      </c>
      <c r="G19">
        <v>-321.4074</v>
      </c>
    </row>
    <row r="20" spans="1:7" x14ac:dyDescent="0.2">
      <c r="A20" t="s">
        <v>74</v>
      </c>
      <c r="B20">
        <v>-65.717399999999998</v>
      </c>
      <c r="C20">
        <v>-23.157900000000001</v>
      </c>
      <c r="D20">
        <v>-171.5</v>
      </c>
      <c r="E20">
        <v>-8.2594999999999992</v>
      </c>
      <c r="F20">
        <v>1667.7</v>
      </c>
      <c r="G20">
        <v>-194.65790000000001</v>
      </c>
    </row>
    <row r="21" spans="1:7" x14ac:dyDescent="0.2">
      <c r="A21" t="s">
        <v>75</v>
      </c>
      <c r="B21">
        <v>-32.724499999999999</v>
      </c>
      <c r="C21">
        <v>-46.609099999999998</v>
      </c>
      <c r="D21">
        <v>15.303100000000001</v>
      </c>
      <c r="E21">
        <v>10.824</v>
      </c>
      <c r="F21">
        <v>1921.99</v>
      </c>
      <c r="G21">
        <v>-31.305999999999901</v>
      </c>
    </row>
    <row r="22" spans="1:7" x14ac:dyDescent="0.2">
      <c r="A22" t="s">
        <v>76</v>
      </c>
      <c r="B22">
        <v>-23.790700000000001</v>
      </c>
      <c r="C22">
        <v>-9.1974900000000002</v>
      </c>
      <c r="D22">
        <v>-127.364</v>
      </c>
      <c r="E22">
        <v>10.8796</v>
      </c>
      <c r="F22">
        <v>982.11</v>
      </c>
      <c r="G22">
        <v>-136.56148999999999</v>
      </c>
    </row>
    <row r="23" spans="1:7" x14ac:dyDescent="0.2">
      <c r="A23" t="s">
        <v>101</v>
      </c>
      <c r="B23">
        <v>-64.947199999999995</v>
      </c>
      <c r="C23">
        <v>-48.370199999999997</v>
      </c>
      <c r="D23">
        <v>-119.123</v>
      </c>
      <c r="E23">
        <v>7.2475899999999998</v>
      </c>
      <c r="F23">
        <v>2176.5700000000002</v>
      </c>
      <c r="G23">
        <v>-167.4932</v>
      </c>
    </row>
    <row r="24" spans="1:7" x14ac:dyDescent="0.2">
      <c r="A24" t="s">
        <v>102</v>
      </c>
      <c r="B24">
        <v>-67.848200000000006</v>
      </c>
      <c r="C24">
        <v>-38.996499999999997</v>
      </c>
      <c r="D24">
        <v>-96.273700000000005</v>
      </c>
      <c r="E24">
        <v>-9.5970099999999992</v>
      </c>
      <c r="F24">
        <v>1423.6</v>
      </c>
      <c r="G24">
        <v>-135.27019999999999</v>
      </c>
    </row>
    <row r="25" spans="1:7" x14ac:dyDescent="0.2">
      <c r="A25" t="s">
        <v>103</v>
      </c>
      <c r="B25">
        <v>-128.7364</v>
      </c>
      <c r="C25">
        <v>-63.096800000000002</v>
      </c>
      <c r="D25">
        <v>-264.58699999999999</v>
      </c>
      <c r="E25">
        <v>-12.722200000000001</v>
      </c>
      <c r="F25">
        <v>2713.27</v>
      </c>
      <c r="G25">
        <v>-327.68380000000002</v>
      </c>
    </row>
    <row r="26" spans="1:7" x14ac:dyDescent="0.2">
      <c r="A26" t="s">
        <v>104</v>
      </c>
      <c r="B26">
        <v>-57.217399999999998</v>
      </c>
      <c r="C26">
        <v>-37.195300000000003</v>
      </c>
      <c r="D26">
        <v>-36.8842</v>
      </c>
      <c r="E26">
        <v>-12.645300000000001</v>
      </c>
      <c r="F26">
        <v>2170.0300000000002</v>
      </c>
      <c r="G26">
        <v>-74.079499999999996</v>
      </c>
    </row>
    <row r="27" spans="1:7" x14ac:dyDescent="0.2">
      <c r="A27" t="s">
        <v>105</v>
      </c>
      <c r="B27">
        <v>-92.761700000000005</v>
      </c>
      <c r="C27">
        <v>-45.959299999999999</v>
      </c>
      <c r="D27">
        <v>-122.20099999999999</v>
      </c>
      <c r="E27">
        <v>-22.362200000000001</v>
      </c>
      <c r="F27">
        <v>2080.7800000000002</v>
      </c>
      <c r="G27">
        <v>-168.16030000000001</v>
      </c>
    </row>
    <row r="28" spans="1:7" x14ac:dyDescent="0.2">
      <c r="A28" t="s">
        <v>106</v>
      </c>
      <c r="B28">
        <v>-92.121600000000001</v>
      </c>
      <c r="C28">
        <v>-61.3001</v>
      </c>
      <c r="D28">
        <v>-38.330500000000001</v>
      </c>
      <c r="E28">
        <v>-23.1554</v>
      </c>
      <c r="F28">
        <v>3193.04</v>
      </c>
      <c r="G28">
        <v>-99.630600000000001</v>
      </c>
    </row>
    <row r="29" spans="1:7" x14ac:dyDescent="0.2">
      <c r="A29" t="s">
        <v>107</v>
      </c>
      <c r="B29">
        <v>-56.684199999999997</v>
      </c>
      <c r="C29">
        <v>-36.390999999999998</v>
      </c>
      <c r="D29">
        <v>-14.5116</v>
      </c>
      <c r="E29">
        <v>-17.390899999999998</v>
      </c>
      <c r="F29">
        <v>1241.8499999999999</v>
      </c>
      <c r="G29">
        <v>-50.9026</v>
      </c>
    </row>
    <row r="30" spans="1:7" x14ac:dyDescent="0.2">
      <c r="A30" t="s">
        <v>108</v>
      </c>
      <c r="B30">
        <v>-104.24420000000001</v>
      </c>
      <c r="C30">
        <v>-68.940799999999996</v>
      </c>
      <c r="D30">
        <v>-92.499899999999997</v>
      </c>
      <c r="E30">
        <v>-16.8034</v>
      </c>
      <c r="F30">
        <v>2157.12</v>
      </c>
      <c r="G30">
        <v>-161.44069999999999</v>
      </c>
    </row>
    <row r="31" spans="1:7" x14ac:dyDescent="0.2">
      <c r="A31" t="s">
        <v>174</v>
      </c>
      <c r="B31">
        <v>-108.4979</v>
      </c>
      <c r="C31">
        <v>-72.6858</v>
      </c>
      <c r="D31">
        <v>-181.47900000000001</v>
      </c>
      <c r="E31">
        <v>0.48365200000000003</v>
      </c>
      <c r="F31">
        <v>3648.86</v>
      </c>
      <c r="G31">
        <v>-254.16480000000001</v>
      </c>
    </row>
    <row r="32" spans="1:7" x14ac:dyDescent="0.2">
      <c r="A32" t="s">
        <v>175</v>
      </c>
      <c r="B32">
        <v>-58.342100000000002</v>
      </c>
      <c r="C32">
        <v>-41.7879</v>
      </c>
      <c r="D32">
        <v>-53.062800000000003</v>
      </c>
      <c r="E32">
        <v>-5.9416799999999999</v>
      </c>
      <c r="F32">
        <v>1909</v>
      </c>
      <c r="G32">
        <v>-94.850700000000003</v>
      </c>
    </row>
    <row r="33" spans="1:7" x14ac:dyDescent="0.2">
      <c r="A33" t="s">
        <v>176</v>
      </c>
      <c r="B33">
        <v>-41.680900000000001</v>
      </c>
      <c r="C33">
        <v>-26.0137</v>
      </c>
      <c r="D33">
        <v>-40.412500000000001</v>
      </c>
      <c r="E33">
        <v>-7.58474</v>
      </c>
      <c r="F33">
        <v>1761.89</v>
      </c>
      <c r="G33">
        <v>-66.426199999999994</v>
      </c>
    </row>
    <row r="34" spans="1:7" x14ac:dyDescent="0.2">
      <c r="A34" t="s">
        <v>177</v>
      </c>
      <c r="B34">
        <v>-80.417199999999994</v>
      </c>
      <c r="C34">
        <v>-35.189700000000002</v>
      </c>
      <c r="D34">
        <v>-136.762</v>
      </c>
      <c r="E34">
        <v>-17.8751</v>
      </c>
      <c r="F34">
        <v>2311.42</v>
      </c>
      <c r="G34">
        <v>-171.95169999999999</v>
      </c>
    </row>
    <row r="35" spans="1:7" x14ac:dyDescent="0.2">
      <c r="A35" t="s">
        <v>178</v>
      </c>
      <c r="B35">
        <v>-53.598999999999997</v>
      </c>
      <c r="C35">
        <v>-48.357999999999997</v>
      </c>
      <c r="D35">
        <v>7.8243799999999997</v>
      </c>
      <c r="E35">
        <v>-6.8058899999999998</v>
      </c>
      <c r="F35">
        <v>2675.2</v>
      </c>
      <c r="G35">
        <v>-40.533619999999999</v>
      </c>
    </row>
    <row r="36" spans="1:7" x14ac:dyDescent="0.2">
      <c r="A36" t="s">
        <v>179</v>
      </c>
      <c r="B36">
        <v>-53.824399999999997</v>
      </c>
      <c r="C36">
        <v>-24.810600000000001</v>
      </c>
      <c r="D36">
        <v>-82.440799999999996</v>
      </c>
      <c r="E36">
        <v>-12.525600000000001</v>
      </c>
      <c r="F36">
        <v>1376.33</v>
      </c>
      <c r="G36">
        <v>-107.25139999999899</v>
      </c>
    </row>
    <row r="37" spans="1:7" x14ac:dyDescent="0.2">
      <c r="A37" t="s">
        <v>180</v>
      </c>
      <c r="B37">
        <v>-58.098799999999997</v>
      </c>
      <c r="C37">
        <v>-32.406500000000001</v>
      </c>
      <c r="D37">
        <v>5.4323899999999998</v>
      </c>
      <c r="E37">
        <v>-26.7788</v>
      </c>
      <c r="F37">
        <v>1819.76</v>
      </c>
      <c r="G37">
        <v>-26.97411</v>
      </c>
    </row>
    <row r="38" spans="1:7" x14ac:dyDescent="0.2">
      <c r="A38" t="s">
        <v>181</v>
      </c>
      <c r="B38">
        <v>-44.408499999999997</v>
      </c>
      <c r="C38">
        <v>-31.633800000000001</v>
      </c>
      <c r="D38">
        <v>-116.98099999999999</v>
      </c>
      <c r="E38">
        <v>10.621499999999999</v>
      </c>
      <c r="F38">
        <v>2345.5100000000002</v>
      </c>
      <c r="G38">
        <v>-148.6148</v>
      </c>
    </row>
    <row r="39" spans="1:7" x14ac:dyDescent="0.2">
      <c r="A39" t="s">
        <v>182</v>
      </c>
      <c r="B39">
        <v>-70.919300000000007</v>
      </c>
      <c r="C39">
        <v>-27.106300000000001</v>
      </c>
      <c r="D39">
        <v>-0.69079100000000004</v>
      </c>
      <c r="E39">
        <v>-43.674799999999998</v>
      </c>
      <c r="F39">
        <v>2165.15</v>
      </c>
      <c r="G39">
        <v>-27.797091000000002</v>
      </c>
    </row>
    <row r="40" spans="1:7" x14ac:dyDescent="0.2">
      <c r="A40" t="s">
        <v>183</v>
      </c>
      <c r="B40">
        <v>-41.0657</v>
      </c>
      <c r="C40">
        <v>-21.454799999999999</v>
      </c>
      <c r="D40">
        <v>-44.034999999999997</v>
      </c>
      <c r="E40">
        <v>-10.803900000000001</v>
      </c>
      <c r="F40">
        <v>1506.52</v>
      </c>
      <c r="G40">
        <v>-65.489800000000002</v>
      </c>
    </row>
    <row r="41" spans="1:7" x14ac:dyDescent="0.2">
      <c r="A41" t="s">
        <v>184</v>
      </c>
      <c r="B41">
        <v>-47.466000000000001</v>
      </c>
      <c r="C41">
        <v>-23.3126</v>
      </c>
      <c r="D41">
        <v>-30.0075</v>
      </c>
      <c r="E41">
        <v>-18.151900000000001</v>
      </c>
      <c r="F41">
        <v>2472.12</v>
      </c>
      <c r="G41">
        <v>-53.320099999999996</v>
      </c>
    </row>
    <row r="42" spans="1:7" x14ac:dyDescent="0.2">
      <c r="A42" t="s">
        <v>185</v>
      </c>
      <c r="B42">
        <v>-49.961799999999997</v>
      </c>
      <c r="C42">
        <v>-35.824800000000003</v>
      </c>
      <c r="D42">
        <v>-3.5055700000000001</v>
      </c>
      <c r="E42">
        <v>-13.4359</v>
      </c>
      <c r="F42">
        <v>1312.01</v>
      </c>
      <c r="G42">
        <v>-39.330370000000002</v>
      </c>
    </row>
    <row r="43" spans="1:7" x14ac:dyDescent="0.2">
      <c r="A43" t="s">
        <v>186</v>
      </c>
      <c r="B43">
        <v>-16.96</v>
      </c>
      <c r="C43">
        <v>-5.7164700000000002</v>
      </c>
      <c r="D43">
        <v>-90.093999999999994</v>
      </c>
      <c r="E43">
        <v>6.7752600000000003</v>
      </c>
      <c r="F43">
        <v>1364.28</v>
      </c>
      <c r="G43">
        <v>-95.810469999999995</v>
      </c>
    </row>
    <row r="44" spans="1:7" x14ac:dyDescent="0.2">
      <c r="A44" t="s">
        <v>187</v>
      </c>
      <c r="B44">
        <v>-21.334099999999999</v>
      </c>
      <c r="C44">
        <v>-1.7875300000000001</v>
      </c>
      <c r="D44">
        <v>-35.597200000000001</v>
      </c>
      <c r="E44">
        <v>-12.427099999999999</v>
      </c>
      <c r="F44">
        <v>1270.17</v>
      </c>
      <c r="G44">
        <v>-37.384729999999998</v>
      </c>
    </row>
    <row r="45" spans="1:7" x14ac:dyDescent="0.2">
      <c r="A45" t="s">
        <v>188</v>
      </c>
      <c r="B45">
        <v>-29.568899999999999</v>
      </c>
      <c r="C45">
        <v>-19.977499999999999</v>
      </c>
      <c r="D45">
        <v>-45.081000000000003</v>
      </c>
      <c r="E45">
        <v>-0.575187</v>
      </c>
      <c r="F45">
        <v>1286.77</v>
      </c>
      <c r="G45">
        <v>-65.058499999999995</v>
      </c>
    </row>
    <row r="46" spans="1:7" x14ac:dyDescent="0.2">
      <c r="A46" t="s">
        <v>189</v>
      </c>
      <c r="B46">
        <v>-109.0292</v>
      </c>
      <c r="C46">
        <v>-70.939800000000005</v>
      </c>
      <c r="D46">
        <v>-168.90100000000001</v>
      </c>
      <c r="E46">
        <v>-4.3091699999999999</v>
      </c>
      <c r="F46">
        <v>2415.92</v>
      </c>
      <c r="G46">
        <v>-239.8408</v>
      </c>
    </row>
    <row r="47" spans="1:7" x14ac:dyDescent="0.2">
      <c r="A47" t="s">
        <v>190</v>
      </c>
      <c r="B47">
        <v>-29.223800000000001</v>
      </c>
      <c r="C47">
        <v>-3.16012</v>
      </c>
      <c r="D47">
        <v>-3.3677600000000001</v>
      </c>
      <c r="E47">
        <v>-25.3901</v>
      </c>
      <c r="F47">
        <v>1730.89</v>
      </c>
      <c r="G47">
        <v>-6.5278799999999997</v>
      </c>
    </row>
    <row r="48" spans="1:7" x14ac:dyDescent="0.2">
      <c r="A48" t="s">
        <v>191</v>
      </c>
      <c r="B48">
        <v>-52.698999999999998</v>
      </c>
      <c r="C48">
        <v>-30.730899999999998</v>
      </c>
      <c r="D48">
        <v>-104.35</v>
      </c>
      <c r="E48">
        <v>-1.09815</v>
      </c>
      <c r="F48">
        <v>1398.88</v>
      </c>
      <c r="G48">
        <v>-135.08089999999899</v>
      </c>
    </row>
    <row r="49" spans="1:7" x14ac:dyDescent="0.2">
      <c r="A49" t="s">
        <v>192</v>
      </c>
      <c r="B49">
        <v>-65.563500000000005</v>
      </c>
      <c r="C49">
        <v>-49.991399999999999</v>
      </c>
      <c r="D49">
        <v>-88.500600000000006</v>
      </c>
      <c r="E49">
        <v>2.1280199999999998</v>
      </c>
      <c r="F49">
        <v>1778.87</v>
      </c>
      <c r="G49">
        <v>-138.49199999999999</v>
      </c>
    </row>
    <row r="50" spans="1:7" x14ac:dyDescent="0.2">
      <c r="A50" t="s">
        <v>193</v>
      </c>
      <c r="B50">
        <v>-11.3306</v>
      </c>
      <c r="C50">
        <v>-12.278</v>
      </c>
      <c r="D50">
        <v>13.8202</v>
      </c>
      <c r="E50">
        <v>-1.8166599999999999</v>
      </c>
      <c r="F50">
        <v>1377.86</v>
      </c>
      <c r="G50">
        <v>1.54219999999999</v>
      </c>
    </row>
    <row r="51" spans="1:7" x14ac:dyDescent="0.2">
      <c r="A51" t="s">
        <v>263</v>
      </c>
      <c r="B51">
        <v>-85.704499999999996</v>
      </c>
      <c r="C51">
        <v>-33.633299999999998</v>
      </c>
      <c r="D51">
        <v>-175.18600000000001</v>
      </c>
      <c r="E51">
        <v>-17.033999999999999</v>
      </c>
      <c r="F51">
        <v>1979.5</v>
      </c>
      <c r="G51">
        <v>-208.8193</v>
      </c>
    </row>
    <row r="52" spans="1:7" x14ac:dyDescent="0.2">
      <c r="A52" t="s">
        <v>264</v>
      </c>
      <c r="B52">
        <v>-63.915399999999998</v>
      </c>
      <c r="C52">
        <v>-26.103300000000001</v>
      </c>
      <c r="D52">
        <v>-93.96</v>
      </c>
      <c r="E52">
        <v>-19.020099999999999</v>
      </c>
      <c r="F52">
        <v>1582.89</v>
      </c>
      <c r="G52">
        <v>-120.0633</v>
      </c>
    </row>
    <row r="53" spans="1:7" x14ac:dyDescent="0.2">
      <c r="A53" t="s">
        <v>265</v>
      </c>
      <c r="B53">
        <v>-65.691500000000005</v>
      </c>
      <c r="C53">
        <v>-21.399699999999999</v>
      </c>
      <c r="D53">
        <v>-165.80199999999999</v>
      </c>
      <c r="E53">
        <v>-11.131399999999999</v>
      </c>
      <c r="F53">
        <v>2263.0500000000002</v>
      </c>
      <c r="G53">
        <v>-187.20169999999999</v>
      </c>
    </row>
    <row r="54" spans="1:7" x14ac:dyDescent="0.2">
      <c r="A54" t="s">
        <v>266</v>
      </c>
      <c r="B54">
        <v>-82.741200000000006</v>
      </c>
      <c r="C54">
        <v>-37.889699999999998</v>
      </c>
      <c r="D54">
        <v>-108.70699999999999</v>
      </c>
      <c r="E54">
        <v>-23.110099999999999</v>
      </c>
      <c r="F54">
        <v>2561.71</v>
      </c>
      <c r="G54">
        <v>-146.5967</v>
      </c>
    </row>
    <row r="55" spans="1:7" x14ac:dyDescent="0.2">
      <c r="A55" t="s">
        <v>267</v>
      </c>
      <c r="B55">
        <v>-81.5274</v>
      </c>
      <c r="C55">
        <v>-55.2864</v>
      </c>
      <c r="D55">
        <v>-92.794899999999998</v>
      </c>
      <c r="E55">
        <v>-7.6819899999999999</v>
      </c>
      <c r="F55">
        <v>2413.8200000000002</v>
      </c>
      <c r="G55">
        <v>-148.0813</v>
      </c>
    </row>
    <row r="56" spans="1:7" x14ac:dyDescent="0.2">
      <c r="A56" t="s">
        <v>268</v>
      </c>
      <c r="B56">
        <v>-41.4681</v>
      </c>
      <c r="C56">
        <v>-8.3910900000000002</v>
      </c>
      <c r="D56">
        <v>-23.895099999999999</v>
      </c>
      <c r="E56">
        <v>-28.297999999999998</v>
      </c>
      <c r="F56">
        <v>1362</v>
      </c>
      <c r="G56">
        <v>-32.286189999999998</v>
      </c>
    </row>
    <row r="57" spans="1:7" x14ac:dyDescent="0.2">
      <c r="A57" t="s">
        <v>269</v>
      </c>
      <c r="B57">
        <v>-71.436199999999999</v>
      </c>
      <c r="C57">
        <v>-55.285299999999999</v>
      </c>
      <c r="D57">
        <v>-135.06800000000001</v>
      </c>
      <c r="E57">
        <v>10.8627</v>
      </c>
      <c r="F57">
        <v>2847.78</v>
      </c>
      <c r="G57">
        <v>-190.35329999999999</v>
      </c>
    </row>
    <row r="58" spans="1:7" x14ac:dyDescent="0.2">
      <c r="A58" t="s">
        <v>270</v>
      </c>
      <c r="B58">
        <v>-72.114900000000006</v>
      </c>
      <c r="C58">
        <v>-22.9269</v>
      </c>
      <c r="D58">
        <v>-35.260800000000003</v>
      </c>
      <c r="E58">
        <v>-42.135800000000003</v>
      </c>
      <c r="F58">
        <v>3216.61</v>
      </c>
      <c r="G58">
        <v>-58.1877</v>
      </c>
    </row>
    <row r="59" spans="1:7" x14ac:dyDescent="0.2">
      <c r="A59" t="s">
        <v>271</v>
      </c>
      <c r="B59">
        <v>-34.762300000000003</v>
      </c>
      <c r="C59">
        <v>-17.774799999999999</v>
      </c>
      <c r="D59">
        <v>-10.735799999999999</v>
      </c>
      <c r="E59">
        <v>-14.840299999999999</v>
      </c>
      <c r="F59">
        <v>1422.78</v>
      </c>
      <c r="G59">
        <v>-28.510599999999901</v>
      </c>
    </row>
    <row r="60" spans="1:7" x14ac:dyDescent="0.2">
      <c r="A60" t="s">
        <v>272</v>
      </c>
      <c r="B60">
        <v>-39.517699999999998</v>
      </c>
      <c r="C60">
        <v>-10.170199999999999</v>
      </c>
      <c r="D60">
        <v>-2.0871900000000001</v>
      </c>
      <c r="E60">
        <v>-28.930099999999999</v>
      </c>
      <c r="F60">
        <v>1540.91</v>
      </c>
      <c r="G60">
        <v>-12.257389999999999</v>
      </c>
    </row>
    <row r="61" spans="1:7" x14ac:dyDescent="0.2">
      <c r="A61" t="s">
        <v>273</v>
      </c>
      <c r="B61">
        <v>11.041700000000001</v>
      </c>
      <c r="C61">
        <v>2.6473</v>
      </c>
      <c r="D61">
        <v>23.2058</v>
      </c>
      <c r="E61">
        <v>3.75326</v>
      </c>
      <c r="F61">
        <v>2457.77</v>
      </c>
      <c r="G61">
        <v>25.853100000000001</v>
      </c>
    </row>
    <row r="62" spans="1:7" x14ac:dyDescent="0.2">
      <c r="A62" t="s">
        <v>274</v>
      </c>
      <c r="B62">
        <v>-82.740799999999993</v>
      </c>
      <c r="C62">
        <v>-60.234099999999998</v>
      </c>
      <c r="D62">
        <v>-59.8249</v>
      </c>
      <c r="E62">
        <v>-10.541700000000001</v>
      </c>
      <c r="F62">
        <v>2239.83</v>
      </c>
      <c r="G62">
        <v>-120.059</v>
      </c>
    </row>
    <row r="63" spans="1:7" x14ac:dyDescent="0.2">
      <c r="A63" t="s">
        <v>275</v>
      </c>
      <c r="B63">
        <v>-84.433599999999998</v>
      </c>
      <c r="C63">
        <v>-37.611499999999999</v>
      </c>
      <c r="D63">
        <v>-158.166</v>
      </c>
      <c r="E63">
        <v>-15.1889</v>
      </c>
      <c r="F63">
        <v>2209</v>
      </c>
      <c r="G63">
        <v>-195.7775</v>
      </c>
    </row>
    <row r="64" spans="1:7" x14ac:dyDescent="0.2">
      <c r="A64" t="s">
        <v>276</v>
      </c>
      <c r="B64">
        <v>-44.441400000000002</v>
      </c>
      <c r="C64">
        <v>-18.4894</v>
      </c>
      <c r="D64">
        <v>-31.7685</v>
      </c>
      <c r="E64">
        <v>-19.598299999999998</v>
      </c>
      <c r="F64">
        <v>1826.01</v>
      </c>
      <c r="G64">
        <v>-50.257899999999999</v>
      </c>
    </row>
    <row r="65" spans="1:7" x14ac:dyDescent="0.2">
      <c r="A65" t="s">
        <v>277</v>
      </c>
      <c r="B65">
        <v>-54.939900000000002</v>
      </c>
      <c r="C65">
        <v>-21.705300000000001</v>
      </c>
      <c r="D65">
        <v>-88.931299999999993</v>
      </c>
      <c r="E65">
        <v>-15.4483</v>
      </c>
      <c r="F65">
        <v>2186.61</v>
      </c>
      <c r="G65">
        <v>-110.63659999999901</v>
      </c>
    </row>
    <row r="66" spans="1:7" x14ac:dyDescent="0.2">
      <c r="A66" t="s">
        <v>278</v>
      </c>
      <c r="B66">
        <v>39.232999999999997</v>
      </c>
      <c r="C66">
        <v>50.616700000000002</v>
      </c>
      <c r="D66">
        <v>-51.738399999999999</v>
      </c>
      <c r="E66">
        <v>-1.0360199999999999</v>
      </c>
      <c r="F66">
        <v>2817.32</v>
      </c>
      <c r="G66">
        <v>-1.1216999999999899</v>
      </c>
    </row>
    <row r="67" spans="1:7" x14ac:dyDescent="0.2">
      <c r="A67" t="s">
        <v>279</v>
      </c>
      <c r="B67">
        <v>-23.293800000000001</v>
      </c>
      <c r="C67">
        <v>-16.830400000000001</v>
      </c>
      <c r="D67">
        <v>-16.532299999999999</v>
      </c>
      <c r="E67">
        <v>-3.1569799999999999</v>
      </c>
      <c r="F67">
        <v>1931.43</v>
      </c>
      <c r="G67">
        <v>-33.362699999999997</v>
      </c>
    </row>
    <row r="68" spans="1:7" x14ac:dyDescent="0.2">
      <c r="A68" t="s">
        <v>280</v>
      </c>
      <c r="B68">
        <v>-101.2822</v>
      </c>
      <c r="C68">
        <v>-43.766800000000003</v>
      </c>
      <c r="D68">
        <v>-219.179</v>
      </c>
      <c r="E68">
        <v>-13.679600000000001</v>
      </c>
      <c r="F68">
        <v>2549.27</v>
      </c>
      <c r="G68">
        <v>-262.94580000000002</v>
      </c>
    </row>
    <row r="69" spans="1:7" x14ac:dyDescent="0.2">
      <c r="A69" t="s">
        <v>281</v>
      </c>
      <c r="B69">
        <v>-45.816099999999999</v>
      </c>
      <c r="C69">
        <v>-37.060600000000001</v>
      </c>
      <c r="D69">
        <v>-20.267499999999998</v>
      </c>
      <c r="E69">
        <v>-4.7019700000000002</v>
      </c>
      <c r="F69">
        <v>1333.51</v>
      </c>
      <c r="G69">
        <v>-57.328099999999999</v>
      </c>
    </row>
    <row r="70" spans="1:7" x14ac:dyDescent="0.2">
      <c r="A70" t="s">
        <v>282</v>
      </c>
      <c r="B70">
        <v>-34.725299999999997</v>
      </c>
      <c r="C70">
        <v>-25.085100000000001</v>
      </c>
      <c r="D70">
        <v>37.615200000000002</v>
      </c>
      <c r="E70">
        <v>-17.1632</v>
      </c>
      <c r="F70">
        <v>1577.15</v>
      </c>
      <c r="G70">
        <v>12.530099999999999</v>
      </c>
    </row>
    <row r="71" spans="1:7" x14ac:dyDescent="0.2">
      <c r="A71" t="s">
        <v>283</v>
      </c>
      <c r="B71">
        <v>-119.3231</v>
      </c>
      <c r="C71">
        <v>-78.201300000000003</v>
      </c>
      <c r="D71">
        <v>-65.254900000000006</v>
      </c>
      <c r="E71">
        <v>-28.070799999999998</v>
      </c>
      <c r="F71">
        <v>3280.39</v>
      </c>
      <c r="G71">
        <v>-143.4562</v>
      </c>
    </row>
    <row r="72" spans="1:7" x14ac:dyDescent="0.2">
      <c r="A72" t="s">
        <v>284</v>
      </c>
      <c r="B72">
        <v>-66.846500000000006</v>
      </c>
      <c r="C72">
        <v>-47.704000000000001</v>
      </c>
      <c r="D72">
        <v>26.767800000000001</v>
      </c>
      <c r="E72">
        <v>-24.496099999999998</v>
      </c>
      <c r="F72">
        <v>2488.14</v>
      </c>
      <c r="G72">
        <v>-20.936199999999999</v>
      </c>
    </row>
    <row r="73" spans="1:7" x14ac:dyDescent="0.2">
      <c r="A73" t="s">
        <v>285</v>
      </c>
      <c r="B73">
        <v>-48.260899999999999</v>
      </c>
      <c r="C73">
        <v>-23.064</v>
      </c>
      <c r="D73">
        <v>-120.548</v>
      </c>
      <c r="E73">
        <v>-1.08734</v>
      </c>
      <c r="F73">
        <v>1496.08</v>
      </c>
      <c r="G73">
        <v>-143.61199999999999</v>
      </c>
    </row>
    <row r="74" spans="1:7" x14ac:dyDescent="0.2">
      <c r="A74" t="s">
        <v>286</v>
      </c>
      <c r="B74">
        <v>-59.988300000000002</v>
      </c>
      <c r="C74">
        <v>-41.218000000000004</v>
      </c>
      <c r="D74">
        <v>-119.136</v>
      </c>
      <c r="E74">
        <v>5.0569300000000004</v>
      </c>
      <c r="F74">
        <v>1375.51</v>
      </c>
      <c r="G74">
        <v>-160.35399999999899</v>
      </c>
    </row>
    <row r="75" spans="1:7" x14ac:dyDescent="0.2">
      <c r="A75" t="s">
        <v>287</v>
      </c>
      <c r="B75">
        <v>-133.97739999999999</v>
      </c>
      <c r="C75">
        <v>-87.212199999999996</v>
      </c>
      <c r="D75">
        <v>-258.572</v>
      </c>
      <c r="E75">
        <v>4.9492500000000001</v>
      </c>
      <c r="F75">
        <v>3777.54</v>
      </c>
      <c r="G75">
        <v>-345.7842</v>
      </c>
    </row>
    <row r="76" spans="1:7" x14ac:dyDescent="0.2">
      <c r="A76" t="s">
        <v>288</v>
      </c>
      <c r="B76">
        <v>-67.070700000000002</v>
      </c>
      <c r="C76">
        <v>-57.508200000000002</v>
      </c>
      <c r="D76">
        <v>-184.51599999999999</v>
      </c>
      <c r="E76">
        <v>27.340699999999998</v>
      </c>
      <c r="F76">
        <v>2417.4</v>
      </c>
      <c r="G76">
        <v>-242.02420000000001</v>
      </c>
    </row>
    <row r="77" spans="1:7" x14ac:dyDescent="0.2">
      <c r="A77" t="s">
        <v>289</v>
      </c>
      <c r="B77">
        <v>-76.349900000000005</v>
      </c>
      <c r="C77">
        <v>-46.016800000000003</v>
      </c>
      <c r="D77">
        <v>-97.473600000000005</v>
      </c>
      <c r="E77">
        <v>-10.8384</v>
      </c>
      <c r="F77">
        <v>2416.34</v>
      </c>
      <c r="G77">
        <v>-143.49039999999999</v>
      </c>
    </row>
    <row r="78" spans="1:7" x14ac:dyDescent="0.2">
      <c r="A78" t="s">
        <v>290</v>
      </c>
      <c r="B78">
        <v>-26.806999999999999</v>
      </c>
      <c r="C78">
        <v>-13.8416</v>
      </c>
      <c r="D78">
        <v>-9.5820600000000002</v>
      </c>
      <c r="E78">
        <v>-11.048999999999999</v>
      </c>
      <c r="F78">
        <v>2333</v>
      </c>
      <c r="G78">
        <v>-23.423659999999899</v>
      </c>
    </row>
    <row r="79" spans="1:7" x14ac:dyDescent="0.2">
      <c r="A79" t="s">
        <v>291</v>
      </c>
      <c r="B79">
        <v>-23.462</v>
      </c>
      <c r="C79">
        <v>38.029699999999998</v>
      </c>
      <c r="D79">
        <v>-129.77600000000001</v>
      </c>
      <c r="E79">
        <v>-35.536499999999997</v>
      </c>
      <c r="F79">
        <v>1879.35</v>
      </c>
      <c r="G79">
        <v>-91.746300000000005</v>
      </c>
    </row>
    <row r="80" spans="1:7" x14ac:dyDescent="0.2">
      <c r="A80" t="s">
        <v>292</v>
      </c>
      <c r="B80">
        <v>-99.479200000000006</v>
      </c>
      <c r="C80">
        <v>-72.504800000000003</v>
      </c>
      <c r="D80">
        <v>-95.598699999999994</v>
      </c>
      <c r="E80">
        <v>-7.8547000000000002</v>
      </c>
      <c r="F80">
        <v>2642.97</v>
      </c>
      <c r="G80">
        <v>-168.1035</v>
      </c>
    </row>
    <row r="81" spans="1:7" x14ac:dyDescent="0.2">
      <c r="A81" t="s">
        <v>341</v>
      </c>
      <c r="B81">
        <v>-64.563400000000001</v>
      </c>
      <c r="C81">
        <v>-33.557600000000001</v>
      </c>
      <c r="D81">
        <v>-40.706200000000003</v>
      </c>
      <c r="E81">
        <v>-22.864599999999999</v>
      </c>
      <c r="F81">
        <v>1730.81</v>
      </c>
      <c r="G81">
        <v>-74.263800000000003</v>
      </c>
    </row>
    <row r="82" spans="1:7" x14ac:dyDescent="0.2">
      <c r="A82" t="s">
        <v>369</v>
      </c>
      <c r="B82">
        <v>-50.405500000000004</v>
      </c>
      <c r="C82">
        <v>-24.747800000000002</v>
      </c>
      <c r="D82">
        <v>-81.432500000000005</v>
      </c>
      <c r="E82">
        <v>-9.3712400000000002</v>
      </c>
      <c r="F82">
        <v>1256.25</v>
      </c>
      <c r="G82">
        <v>-106.1803</v>
      </c>
    </row>
    <row r="83" spans="1:7" x14ac:dyDescent="0.2">
      <c r="A83" t="s">
        <v>385</v>
      </c>
      <c r="B83">
        <v>-5.4623999999999997</v>
      </c>
      <c r="C83">
        <v>-29.597100000000001</v>
      </c>
      <c r="D83">
        <v>56.499499999999998</v>
      </c>
      <c r="E83">
        <v>12.8348</v>
      </c>
      <c r="F83">
        <v>1673.44</v>
      </c>
      <c r="G83">
        <v>26.902399999999901</v>
      </c>
    </row>
    <row r="84" spans="1:7" x14ac:dyDescent="0.2">
      <c r="A84" t="s">
        <v>386</v>
      </c>
      <c r="B84">
        <v>-60.488799999999998</v>
      </c>
      <c r="C84">
        <v>-40.8538</v>
      </c>
      <c r="D84">
        <v>-74.081500000000005</v>
      </c>
      <c r="E84">
        <v>-4.8187199999999999</v>
      </c>
      <c r="F84">
        <v>2116.8000000000002</v>
      </c>
      <c r="G84">
        <v>-114.9353</v>
      </c>
    </row>
    <row r="85" spans="1:7" x14ac:dyDescent="0.2">
      <c r="A85" t="s">
        <v>387</v>
      </c>
      <c r="B85">
        <v>-7.0014000000000003</v>
      </c>
      <c r="C85">
        <v>4.4712300000000003</v>
      </c>
      <c r="D85">
        <v>-41.295299999999997</v>
      </c>
      <c r="E85">
        <v>-3.2135699999999998</v>
      </c>
      <c r="F85">
        <v>1636.02</v>
      </c>
      <c r="G85">
        <v>-36.824069999999999</v>
      </c>
    </row>
    <row r="86" spans="1:7" x14ac:dyDescent="0.2">
      <c r="A86" t="s">
        <v>392</v>
      </c>
      <c r="B86">
        <v>-50.3078</v>
      </c>
      <c r="C86">
        <v>-33.9392</v>
      </c>
      <c r="D86">
        <v>-117.649</v>
      </c>
      <c r="E86">
        <v>7.1612400000000003</v>
      </c>
      <c r="F86">
        <v>2217.21</v>
      </c>
      <c r="G86">
        <v>-151.5882</v>
      </c>
    </row>
    <row r="87" spans="1:7" x14ac:dyDescent="0.2">
      <c r="A87" t="s">
        <v>396</v>
      </c>
      <c r="B87">
        <v>-110.5009</v>
      </c>
      <c r="C87">
        <v>-59.745399999999997</v>
      </c>
      <c r="D87">
        <v>-218.49</v>
      </c>
      <c r="E87">
        <v>-7.0575299999999999</v>
      </c>
      <c r="F87">
        <v>2525.1999999999998</v>
      </c>
      <c r="G87">
        <v>-278.23540000000003</v>
      </c>
    </row>
    <row r="88" spans="1:7" x14ac:dyDescent="0.2">
      <c r="A88" t="s">
        <v>397</v>
      </c>
      <c r="B88">
        <v>-23.1157</v>
      </c>
      <c r="C88">
        <v>-29.428899999999999</v>
      </c>
      <c r="D88">
        <v>7.9680999999999997</v>
      </c>
      <c r="E88">
        <v>4.7196199999999999</v>
      </c>
      <c r="F88">
        <v>1552.77</v>
      </c>
      <c r="G88">
        <v>-21.460799999999999</v>
      </c>
    </row>
    <row r="89" spans="1:7" x14ac:dyDescent="0.2">
      <c r="A89" t="s">
        <v>398</v>
      </c>
      <c r="B89">
        <v>-77.303399999999996</v>
      </c>
      <c r="C89">
        <v>-36.943600000000004</v>
      </c>
      <c r="D89">
        <v>-124.325</v>
      </c>
      <c r="E89">
        <v>-15.4948</v>
      </c>
      <c r="F89">
        <v>1930.15</v>
      </c>
      <c r="G89">
        <v>-161.26859999999999</v>
      </c>
    </row>
    <row r="90" spans="1:7" x14ac:dyDescent="0.2">
      <c r="A90" t="s">
        <v>399</v>
      </c>
      <c r="B90">
        <v>-96.100700000000003</v>
      </c>
      <c r="C90">
        <v>-66.570999999999998</v>
      </c>
      <c r="D90">
        <v>-136.79900000000001</v>
      </c>
      <c r="E90">
        <v>-2.1698499999999998</v>
      </c>
      <c r="F90">
        <v>2751.17</v>
      </c>
      <c r="G90">
        <v>-203.37</v>
      </c>
    </row>
    <row r="91" spans="1:7" x14ac:dyDescent="0.2">
      <c r="A91" t="s">
        <v>400</v>
      </c>
      <c r="B91">
        <v>-57.697200000000002</v>
      </c>
      <c r="C91">
        <v>-37.110399999999998</v>
      </c>
      <c r="D91">
        <v>-38.877600000000001</v>
      </c>
      <c r="E91">
        <v>-12.811299999999999</v>
      </c>
      <c r="F91">
        <v>1350.74</v>
      </c>
      <c r="G91">
        <v>-75.988</v>
      </c>
    </row>
    <row r="92" spans="1:7" x14ac:dyDescent="0.2">
      <c r="A92" t="s">
        <v>401</v>
      </c>
      <c r="B92">
        <v>9.2781000000000002</v>
      </c>
      <c r="C92">
        <v>10.406000000000001</v>
      </c>
      <c r="D92">
        <v>6.9481899999999999E-2</v>
      </c>
      <c r="E92">
        <v>-1.14177</v>
      </c>
      <c r="F92">
        <v>1634.21</v>
      </c>
      <c r="G92">
        <v>10.4754819</v>
      </c>
    </row>
    <row r="93" spans="1:7" x14ac:dyDescent="0.2">
      <c r="A93" t="s">
        <v>402</v>
      </c>
      <c r="B93">
        <v>-53.7346</v>
      </c>
      <c r="C93">
        <v>-13.395300000000001</v>
      </c>
      <c r="D93">
        <v>-49.612699999999997</v>
      </c>
      <c r="E93">
        <v>-30.416799999999999</v>
      </c>
      <c r="F93">
        <v>1744.08</v>
      </c>
      <c r="G93">
        <v>-63.007999999999903</v>
      </c>
    </row>
    <row r="94" spans="1:7" x14ac:dyDescent="0.2">
      <c r="A94" t="s">
        <v>403</v>
      </c>
      <c r="B94">
        <v>-32.973399999999998</v>
      </c>
      <c r="C94">
        <v>-12.6699</v>
      </c>
      <c r="D94">
        <v>26.487300000000001</v>
      </c>
      <c r="E94">
        <v>-25.600999999999999</v>
      </c>
      <c r="F94">
        <v>1912.26</v>
      </c>
      <c r="G94">
        <v>13.817399999999999</v>
      </c>
    </row>
    <row r="95" spans="1:7" x14ac:dyDescent="0.2">
      <c r="A95" t="s">
        <v>404</v>
      </c>
      <c r="B95">
        <v>-59.916800000000002</v>
      </c>
      <c r="C95">
        <v>-32.550699999999999</v>
      </c>
      <c r="D95">
        <v>-58.763599999999997</v>
      </c>
      <c r="E95">
        <v>-15.6134</v>
      </c>
      <c r="F95">
        <v>1601.3</v>
      </c>
      <c r="G95">
        <v>-91.314300000000003</v>
      </c>
    </row>
    <row r="96" spans="1:7" x14ac:dyDescent="0.2">
      <c r="A96" t="s">
        <v>405</v>
      </c>
      <c r="B96">
        <v>-100.47020000000001</v>
      </c>
      <c r="C96">
        <v>-50.708100000000002</v>
      </c>
      <c r="D96">
        <v>-118.337</v>
      </c>
      <c r="E96">
        <v>-26.0947</v>
      </c>
      <c r="F96">
        <v>2106.9699999999998</v>
      </c>
      <c r="G96">
        <v>-169.04509999999999</v>
      </c>
    </row>
    <row r="97" spans="1:7" x14ac:dyDescent="0.2">
      <c r="A97" t="s">
        <v>406</v>
      </c>
      <c r="B97">
        <v>-34.535600000000002</v>
      </c>
      <c r="C97">
        <v>-29.5931</v>
      </c>
      <c r="D97">
        <v>-9.8779900000000005</v>
      </c>
      <c r="E97">
        <v>-2.9668999999999999</v>
      </c>
      <c r="F97">
        <v>1390.22</v>
      </c>
      <c r="G97">
        <v>-39.471089999999997</v>
      </c>
    </row>
    <row r="98" spans="1:7" x14ac:dyDescent="0.2">
      <c r="A98" t="s">
        <v>407</v>
      </c>
      <c r="B98">
        <v>-33.405200000000001</v>
      </c>
      <c r="C98">
        <v>-4.15252</v>
      </c>
      <c r="D98">
        <v>-49.262500000000003</v>
      </c>
      <c r="E98">
        <v>-19.400200000000002</v>
      </c>
      <c r="F98">
        <v>2496.5100000000002</v>
      </c>
      <c r="G98">
        <v>-53.415019999999998</v>
      </c>
    </row>
    <row r="99" spans="1:7" x14ac:dyDescent="0.2">
      <c r="A99" t="s">
        <v>408</v>
      </c>
      <c r="B99">
        <v>-74.121399999999994</v>
      </c>
      <c r="C99">
        <v>-43.0471</v>
      </c>
      <c r="D99">
        <v>-147.47300000000001</v>
      </c>
      <c r="E99">
        <v>-1.5797099999999999</v>
      </c>
      <c r="F99">
        <v>2589.38</v>
      </c>
      <c r="G99">
        <v>-190.52010000000001</v>
      </c>
    </row>
    <row r="100" spans="1:7" x14ac:dyDescent="0.2">
      <c r="A100" t="s">
        <v>409</v>
      </c>
      <c r="B100">
        <v>-55.720399999999998</v>
      </c>
      <c r="C100">
        <v>-20.2699</v>
      </c>
      <c r="D100">
        <v>-22.180399999999999</v>
      </c>
      <c r="E100">
        <v>-31.014399999999998</v>
      </c>
      <c r="F100">
        <v>1780.57</v>
      </c>
      <c r="G100">
        <v>-42.450299999999999</v>
      </c>
    </row>
    <row r="101" spans="1:7" x14ac:dyDescent="0.2">
      <c r="A101" t="s">
        <v>410</v>
      </c>
      <c r="B101">
        <v>-44.996400000000001</v>
      </c>
      <c r="C101">
        <v>-33.297699999999999</v>
      </c>
      <c r="D101">
        <v>-62.185899999999997</v>
      </c>
      <c r="E101">
        <v>0.73843499999999995</v>
      </c>
      <c r="F101">
        <v>2010.05</v>
      </c>
      <c r="G101">
        <v>-95.483599999999996</v>
      </c>
    </row>
    <row r="102" spans="1:7" x14ac:dyDescent="0.2">
      <c r="A102" t="s">
        <v>411</v>
      </c>
      <c r="B102">
        <v>-71.087299999999999</v>
      </c>
      <c r="C102">
        <v>-27.369800000000001</v>
      </c>
      <c r="D102">
        <v>-85.513800000000003</v>
      </c>
      <c r="E102">
        <v>-26.614699999999999</v>
      </c>
      <c r="F102">
        <v>2189.9499999999998</v>
      </c>
      <c r="G102">
        <v>-112.8836</v>
      </c>
    </row>
    <row r="103" spans="1:7" x14ac:dyDescent="0.2">
      <c r="A103" t="s">
        <v>412</v>
      </c>
      <c r="B103">
        <v>-45.856200000000001</v>
      </c>
      <c r="C103">
        <v>-29.339500000000001</v>
      </c>
      <c r="D103">
        <v>-36.8643</v>
      </c>
      <c r="E103">
        <v>-9.1438500000000005</v>
      </c>
      <c r="F103">
        <v>1788.08</v>
      </c>
      <c r="G103">
        <v>-66.203800000000001</v>
      </c>
    </row>
    <row r="104" spans="1:7" x14ac:dyDescent="0.2">
      <c r="A104" t="s">
        <v>413</v>
      </c>
      <c r="B104">
        <v>-43.371099999999998</v>
      </c>
      <c r="C104">
        <v>12.0373</v>
      </c>
      <c r="D104">
        <v>-256.22399999999999</v>
      </c>
      <c r="E104">
        <v>-4.1635600000000004</v>
      </c>
      <c r="F104">
        <v>2903.08</v>
      </c>
      <c r="G104">
        <v>-244.1867</v>
      </c>
    </row>
    <row r="105" spans="1:7" x14ac:dyDescent="0.2">
      <c r="A105" t="s">
        <v>414</v>
      </c>
      <c r="B105">
        <v>-13.8812</v>
      </c>
      <c r="C105">
        <v>-0.459509</v>
      </c>
      <c r="D105">
        <v>-49.704799999999999</v>
      </c>
      <c r="E105">
        <v>-3.4807100000000002</v>
      </c>
      <c r="F105">
        <v>1826.02</v>
      </c>
      <c r="G105">
        <v>-50.164308999999903</v>
      </c>
    </row>
    <row r="106" spans="1:7" x14ac:dyDescent="0.2">
      <c r="A106" t="s">
        <v>415</v>
      </c>
      <c r="B106">
        <v>-43.650599999999997</v>
      </c>
      <c r="C106">
        <v>-31.4938</v>
      </c>
      <c r="D106">
        <v>-35.8932</v>
      </c>
      <c r="E106">
        <v>-4.9781599999999999</v>
      </c>
      <c r="F106">
        <v>1485.82</v>
      </c>
      <c r="G106">
        <v>-67.387</v>
      </c>
    </row>
    <row r="107" spans="1:7" x14ac:dyDescent="0.2">
      <c r="A107" t="s">
        <v>416</v>
      </c>
      <c r="B107">
        <v>-92.944299999999998</v>
      </c>
      <c r="C107">
        <v>-57.471299999999999</v>
      </c>
      <c r="D107">
        <v>-175.9</v>
      </c>
      <c r="E107">
        <v>-0.29300100000000001</v>
      </c>
      <c r="F107">
        <v>2332.27</v>
      </c>
      <c r="G107">
        <v>-233.37129999999999</v>
      </c>
    </row>
    <row r="108" spans="1:7" x14ac:dyDescent="0.2">
      <c r="A108" t="s">
        <v>417</v>
      </c>
      <c r="B108">
        <v>-57.909399999999998</v>
      </c>
      <c r="C108">
        <v>-51.066200000000002</v>
      </c>
      <c r="D108">
        <v>-2.0899100000000002</v>
      </c>
      <c r="E108">
        <v>-6.4252000000000002</v>
      </c>
      <c r="F108">
        <v>2161.61</v>
      </c>
      <c r="G108">
        <v>-53.156109999999998</v>
      </c>
    </row>
    <row r="109" spans="1:7" x14ac:dyDescent="0.2">
      <c r="A109" t="s">
        <v>418</v>
      </c>
      <c r="B109">
        <v>-62.3232</v>
      </c>
      <c r="C109">
        <v>-37.699399999999997</v>
      </c>
      <c r="D109">
        <v>-58.064300000000003</v>
      </c>
      <c r="E109">
        <v>-13.010899999999999</v>
      </c>
      <c r="F109">
        <v>1651.82</v>
      </c>
      <c r="G109">
        <v>-95.7637</v>
      </c>
    </row>
    <row r="110" spans="1:7" x14ac:dyDescent="0.2">
      <c r="A110" t="s">
        <v>419</v>
      </c>
      <c r="B110">
        <v>-78.714699999999993</v>
      </c>
      <c r="C110">
        <v>-39.144399999999997</v>
      </c>
      <c r="D110">
        <v>-257.90499999999997</v>
      </c>
      <c r="E110">
        <v>12.0107</v>
      </c>
      <c r="F110">
        <v>2922.44</v>
      </c>
      <c r="G110">
        <v>-297.04939999999999</v>
      </c>
    </row>
    <row r="111" spans="1:7" x14ac:dyDescent="0.2">
      <c r="A111" t="s">
        <v>420</v>
      </c>
      <c r="B111">
        <v>-82.9756</v>
      </c>
      <c r="C111">
        <v>-63.136000000000003</v>
      </c>
      <c r="D111">
        <v>-1.27973</v>
      </c>
      <c r="E111">
        <v>-19.5837</v>
      </c>
      <c r="F111">
        <v>2217.48</v>
      </c>
      <c r="G111">
        <v>-64.415729999999996</v>
      </c>
    </row>
    <row r="112" spans="1:7" x14ac:dyDescent="0.2">
      <c r="A112" t="s">
        <v>421</v>
      </c>
      <c r="B112">
        <v>-89.389200000000002</v>
      </c>
      <c r="C112">
        <v>-51.429400000000001</v>
      </c>
      <c r="D112">
        <v>-234.42599999999999</v>
      </c>
      <c r="E112">
        <v>8.9253999999999998</v>
      </c>
      <c r="F112">
        <v>2522.42</v>
      </c>
      <c r="G112">
        <v>-285.85539999999997</v>
      </c>
    </row>
    <row r="113" spans="1:7" x14ac:dyDescent="0.2">
      <c r="A113" t="s">
        <v>422</v>
      </c>
      <c r="B113">
        <v>-92.313900000000004</v>
      </c>
      <c r="C113">
        <v>-57.200099999999999</v>
      </c>
      <c r="D113">
        <v>-148.58199999999999</v>
      </c>
      <c r="E113">
        <v>-5.3974299999999999</v>
      </c>
      <c r="F113">
        <v>2740.74</v>
      </c>
      <c r="G113">
        <v>-205.78209999999899</v>
      </c>
    </row>
    <row r="114" spans="1:7" x14ac:dyDescent="0.2">
      <c r="A114" t="s">
        <v>423</v>
      </c>
      <c r="B114">
        <v>-41.323099999999997</v>
      </c>
      <c r="C114">
        <v>-35.481000000000002</v>
      </c>
      <c r="D114">
        <v>-62.181100000000001</v>
      </c>
      <c r="E114">
        <v>6.5941700000000001</v>
      </c>
      <c r="F114">
        <v>1760.05</v>
      </c>
      <c r="G114">
        <v>-97.662099999999995</v>
      </c>
    </row>
    <row r="115" spans="1:7" x14ac:dyDescent="0.2">
      <c r="A115" t="s">
        <v>424</v>
      </c>
      <c r="B115">
        <v>-46.856000000000002</v>
      </c>
      <c r="C115">
        <v>-31.742699999999999</v>
      </c>
      <c r="D115">
        <v>-67.741100000000003</v>
      </c>
      <c r="E115">
        <v>-1.56507</v>
      </c>
      <c r="F115">
        <v>1648.85</v>
      </c>
      <c r="G115">
        <v>-99.483800000000002</v>
      </c>
    </row>
    <row r="116" spans="1:7" x14ac:dyDescent="0.2">
      <c r="A116" t="s">
        <v>425</v>
      </c>
      <c r="B116">
        <v>-52.3232</v>
      </c>
      <c r="C116">
        <v>-21.965399999999999</v>
      </c>
      <c r="D116">
        <v>-1.5766199999999999</v>
      </c>
      <c r="E116">
        <v>-30.0425</v>
      </c>
      <c r="F116">
        <v>2105.1999999999998</v>
      </c>
      <c r="G116">
        <v>-23.542019999999901</v>
      </c>
    </row>
    <row r="117" spans="1:7" x14ac:dyDescent="0.2">
      <c r="A117" t="s">
        <v>502</v>
      </c>
      <c r="B117">
        <v>-26.886500000000002</v>
      </c>
      <c r="C117">
        <v>-9.0870300000000004</v>
      </c>
      <c r="D117">
        <v>-17.158899999999999</v>
      </c>
      <c r="E117">
        <v>-14.367699999999999</v>
      </c>
      <c r="F117">
        <v>882.06899999999996</v>
      </c>
      <c r="G117">
        <v>-26.245930000000001</v>
      </c>
    </row>
    <row r="118" spans="1:7" x14ac:dyDescent="0.2">
      <c r="A118" t="s">
        <v>503</v>
      </c>
      <c r="B118">
        <v>-66.971999999999994</v>
      </c>
      <c r="C118">
        <v>-47.745600000000003</v>
      </c>
      <c r="D118">
        <v>9.5053300000000007</v>
      </c>
      <c r="E118">
        <v>-21.127500000000001</v>
      </c>
      <c r="F118">
        <v>2657.18</v>
      </c>
      <c r="G118">
        <v>-38.240270000000002</v>
      </c>
    </row>
    <row r="119" spans="1:7" x14ac:dyDescent="0.2">
      <c r="A119" t="s">
        <v>516</v>
      </c>
      <c r="B119">
        <v>1.3620000000000001</v>
      </c>
      <c r="C119">
        <v>4.5704399999999996</v>
      </c>
      <c r="D119">
        <v>22.3383</v>
      </c>
      <c r="E119">
        <v>-7.6760599999999997</v>
      </c>
      <c r="F119">
        <v>1319.39</v>
      </c>
      <c r="G119">
        <v>26.908740000000002</v>
      </c>
    </row>
    <row r="120" spans="1:7" x14ac:dyDescent="0.2">
      <c r="A120" t="s">
        <v>517</v>
      </c>
      <c r="B120">
        <v>-60.122799999999998</v>
      </c>
      <c r="C120">
        <v>-24.860399999999998</v>
      </c>
      <c r="D120">
        <v>-170.571</v>
      </c>
      <c r="E120">
        <v>-1.1482300000000001</v>
      </c>
      <c r="F120">
        <v>2986.51</v>
      </c>
      <c r="G120">
        <v>-195.4314</v>
      </c>
    </row>
    <row r="121" spans="1:7" x14ac:dyDescent="0.2">
      <c r="A121" t="s">
        <v>518</v>
      </c>
      <c r="B121">
        <v>-50.5242</v>
      </c>
      <c r="C121">
        <v>-40.856200000000001</v>
      </c>
      <c r="D121">
        <v>-152.54400000000001</v>
      </c>
      <c r="E121">
        <v>20.840800000000002</v>
      </c>
      <c r="F121">
        <v>1948.91</v>
      </c>
      <c r="G121">
        <v>-193.40020000000001</v>
      </c>
    </row>
    <row r="122" spans="1:7" x14ac:dyDescent="0.2">
      <c r="A122" t="s">
        <v>519</v>
      </c>
      <c r="B122">
        <v>-34.625599999999999</v>
      </c>
      <c r="C122">
        <v>-21.479800000000001</v>
      </c>
      <c r="D122">
        <v>-46.150799999999997</v>
      </c>
      <c r="E122">
        <v>-3.9156</v>
      </c>
      <c r="F122">
        <v>2294.35</v>
      </c>
      <c r="G122">
        <v>-67.630600000000001</v>
      </c>
    </row>
    <row r="123" spans="1:7" x14ac:dyDescent="0.2">
      <c r="A123" t="s">
        <v>520</v>
      </c>
      <c r="B123">
        <v>-67.778300000000002</v>
      </c>
      <c r="C123">
        <v>-54.405900000000003</v>
      </c>
      <c r="D123">
        <v>-47.899900000000002</v>
      </c>
      <c r="E123">
        <v>-3.7924000000000002</v>
      </c>
      <c r="F123">
        <v>2573.35</v>
      </c>
      <c r="G123">
        <v>-102.3058</v>
      </c>
    </row>
    <row r="124" spans="1:7" x14ac:dyDescent="0.2">
      <c r="A124" t="s">
        <v>521</v>
      </c>
      <c r="B124">
        <v>-51.897100000000002</v>
      </c>
      <c r="C124">
        <v>-36.812899999999999</v>
      </c>
      <c r="D124">
        <v>-169.006</v>
      </c>
      <c r="E124">
        <v>18.716999999999999</v>
      </c>
      <c r="F124">
        <v>2949.51</v>
      </c>
      <c r="G124">
        <v>-205.81889999999899</v>
      </c>
    </row>
    <row r="125" spans="1:7" x14ac:dyDescent="0.2">
      <c r="A125" t="s">
        <v>522</v>
      </c>
      <c r="B125">
        <v>-58.822600000000001</v>
      </c>
      <c r="C125">
        <v>-41.107399999999998</v>
      </c>
      <c r="D125">
        <v>-54.2806</v>
      </c>
      <c r="E125">
        <v>-6.8590400000000002</v>
      </c>
      <c r="F125">
        <v>2352.37</v>
      </c>
      <c r="G125">
        <v>-95.388000000000005</v>
      </c>
    </row>
    <row r="126" spans="1:7" x14ac:dyDescent="0.2">
      <c r="A126" t="s">
        <v>523</v>
      </c>
      <c r="B126">
        <v>-37.232300000000002</v>
      </c>
      <c r="C126">
        <v>11.6197</v>
      </c>
      <c r="D126">
        <v>-176.94499999999999</v>
      </c>
      <c r="E126">
        <v>-13.462999999999999</v>
      </c>
      <c r="F126">
        <v>2505.34</v>
      </c>
      <c r="G126">
        <v>-165.3253</v>
      </c>
    </row>
    <row r="127" spans="1:7" x14ac:dyDescent="0.2">
      <c r="A127" t="s">
        <v>524</v>
      </c>
      <c r="B127">
        <v>-29.758199999999999</v>
      </c>
      <c r="C127">
        <v>-17.619499999999999</v>
      </c>
      <c r="D127">
        <v>-45.017600000000002</v>
      </c>
      <c r="E127">
        <v>-3.1351399999999998</v>
      </c>
      <c r="F127">
        <v>2651.74</v>
      </c>
      <c r="G127">
        <v>-62.637099999999997</v>
      </c>
    </row>
    <row r="128" spans="1:7" x14ac:dyDescent="0.2">
      <c r="A128" t="s">
        <v>525</v>
      </c>
      <c r="B128">
        <v>-58.419400000000003</v>
      </c>
      <c r="C128">
        <v>-10.273400000000001</v>
      </c>
      <c r="D128">
        <v>-274.41199999999998</v>
      </c>
      <c r="E128">
        <v>6.7363799999999996</v>
      </c>
      <c r="F128">
        <v>2659.26</v>
      </c>
      <c r="G128">
        <v>-284.68539999999899</v>
      </c>
    </row>
    <row r="129" spans="1:7" x14ac:dyDescent="0.2">
      <c r="A129" t="s">
        <v>547</v>
      </c>
      <c r="B129">
        <v>-19.684799999999999</v>
      </c>
      <c r="C129">
        <v>16.866199999999999</v>
      </c>
      <c r="D129">
        <v>-155.744</v>
      </c>
      <c r="E129">
        <v>-5.40219</v>
      </c>
      <c r="F129">
        <v>1374.57</v>
      </c>
      <c r="G129">
        <v>-138.87780000000001</v>
      </c>
    </row>
    <row r="130" spans="1:7" x14ac:dyDescent="0.2">
      <c r="A130" t="s">
        <v>548</v>
      </c>
      <c r="B130">
        <v>-41.926900000000003</v>
      </c>
      <c r="C130">
        <v>-14.3795</v>
      </c>
      <c r="D130">
        <v>-176.26300000000001</v>
      </c>
      <c r="E130">
        <v>7.7051600000000002</v>
      </c>
      <c r="F130">
        <v>1266.05</v>
      </c>
      <c r="G130">
        <v>-190.64250000000001</v>
      </c>
    </row>
    <row r="131" spans="1:7" x14ac:dyDescent="0.2">
      <c r="A131" t="s">
        <v>549</v>
      </c>
      <c r="B131">
        <v>-37.592399999999998</v>
      </c>
      <c r="C131">
        <v>-41.116100000000003</v>
      </c>
      <c r="D131">
        <v>-67.976299999999995</v>
      </c>
      <c r="E131">
        <v>17.119</v>
      </c>
      <c r="F131">
        <v>1750.72</v>
      </c>
      <c r="G131">
        <v>-109.0924</v>
      </c>
    </row>
    <row r="132" spans="1:7" x14ac:dyDescent="0.2">
      <c r="A132" t="s">
        <v>550</v>
      </c>
      <c r="B132">
        <v>-90.152500000000003</v>
      </c>
      <c r="C132">
        <v>-18.022099999999998</v>
      </c>
      <c r="D132">
        <v>-294.73700000000002</v>
      </c>
      <c r="E132">
        <v>-13.183</v>
      </c>
      <c r="F132">
        <v>2279.35</v>
      </c>
      <c r="G132">
        <v>-312.75909999999999</v>
      </c>
    </row>
    <row r="133" spans="1:7" x14ac:dyDescent="0.2">
      <c r="A133" t="s">
        <v>551</v>
      </c>
      <c r="B133">
        <v>-94.168099999999995</v>
      </c>
      <c r="C133">
        <v>-41.461500000000001</v>
      </c>
      <c r="D133">
        <v>-244.96</v>
      </c>
      <c r="E133">
        <v>-3.7145800000000002</v>
      </c>
      <c r="F133">
        <v>1888.68</v>
      </c>
      <c r="G133">
        <v>-286.42149999999998</v>
      </c>
    </row>
    <row r="134" spans="1:7" x14ac:dyDescent="0.2">
      <c r="A134" t="s">
        <v>552</v>
      </c>
      <c r="B134">
        <v>-53.146000000000001</v>
      </c>
      <c r="C134">
        <v>-48.103099999999998</v>
      </c>
      <c r="D134">
        <v>46.793999999999997</v>
      </c>
      <c r="E134">
        <v>-14.4017</v>
      </c>
      <c r="F134">
        <v>1867.75</v>
      </c>
      <c r="G134">
        <v>-1.3090999999999999</v>
      </c>
    </row>
    <row r="135" spans="1:7" x14ac:dyDescent="0.2">
      <c r="A135" t="s">
        <v>553</v>
      </c>
      <c r="B135">
        <v>-27.520399999999999</v>
      </c>
      <c r="C135">
        <v>-18.4452</v>
      </c>
      <c r="D135">
        <v>7.5502500000000001</v>
      </c>
      <c r="E135">
        <v>-10.5852</v>
      </c>
      <c r="F135">
        <v>2241.9</v>
      </c>
      <c r="G135">
        <v>-10.89495</v>
      </c>
    </row>
    <row r="136" spans="1:7" x14ac:dyDescent="0.2">
      <c r="A136" t="s">
        <v>554</v>
      </c>
      <c r="B136">
        <v>-66.416399999999996</v>
      </c>
      <c r="C136">
        <v>-41.306800000000003</v>
      </c>
      <c r="D136">
        <v>-60.177799999999998</v>
      </c>
      <c r="E136">
        <v>-13.074</v>
      </c>
      <c r="F136">
        <v>1968.11</v>
      </c>
      <c r="G136">
        <v>-101.4846</v>
      </c>
    </row>
    <row r="137" spans="1:7" x14ac:dyDescent="0.2">
      <c r="A137" t="s">
        <v>555</v>
      </c>
      <c r="B137">
        <v>-41.714100000000002</v>
      </c>
      <c r="C137">
        <v>-21.6921</v>
      </c>
      <c r="D137">
        <v>-24.263300000000001</v>
      </c>
      <c r="E137">
        <v>-15.1693</v>
      </c>
      <c r="F137">
        <v>1218.53</v>
      </c>
      <c r="G137">
        <v>-45.955399999999997</v>
      </c>
    </row>
    <row r="138" spans="1:7" x14ac:dyDescent="0.2">
      <c r="A138" t="s">
        <v>556</v>
      </c>
      <c r="B138">
        <v>-93.685000000000002</v>
      </c>
      <c r="C138">
        <v>-47.778100000000002</v>
      </c>
      <c r="D138">
        <v>-302.27800000000002</v>
      </c>
      <c r="E138">
        <v>14.5487</v>
      </c>
      <c r="F138">
        <v>2656.75</v>
      </c>
      <c r="G138">
        <v>-350.05610000000001</v>
      </c>
    </row>
    <row r="139" spans="1:7" x14ac:dyDescent="0.2">
      <c r="A139" t="s">
        <v>576</v>
      </c>
      <c r="B139">
        <v>-163.03319999999999</v>
      </c>
      <c r="C139">
        <v>-121.684</v>
      </c>
      <c r="D139">
        <v>-101.002</v>
      </c>
      <c r="E139">
        <v>-21.148800000000001</v>
      </c>
      <c r="F139">
        <v>3590.88</v>
      </c>
      <c r="G139">
        <v>-222.68599999999901</v>
      </c>
    </row>
    <row r="140" spans="1:7" x14ac:dyDescent="0.2">
      <c r="A140" t="s">
        <v>577</v>
      </c>
      <c r="B140">
        <v>-141.12090000000001</v>
      </c>
      <c r="C140">
        <v>-96.388599999999997</v>
      </c>
      <c r="D140">
        <v>-204.03800000000001</v>
      </c>
      <c r="E140">
        <v>-3.92469</v>
      </c>
      <c r="F140">
        <v>4656.16</v>
      </c>
      <c r="G140">
        <v>-300.42660000000001</v>
      </c>
    </row>
    <row r="141" spans="1:7" x14ac:dyDescent="0.2">
      <c r="A141" t="s">
        <v>578</v>
      </c>
      <c r="B141">
        <v>-86.267099999999999</v>
      </c>
      <c r="C141">
        <v>-46.221200000000003</v>
      </c>
      <c r="D141">
        <v>-223.65899999999999</v>
      </c>
      <c r="E141">
        <v>4.6858899999999997</v>
      </c>
      <c r="F141">
        <v>2776.2</v>
      </c>
      <c r="G141">
        <v>-269.8802</v>
      </c>
    </row>
    <row r="142" spans="1:7" x14ac:dyDescent="0.2">
      <c r="A142" t="s">
        <v>579</v>
      </c>
      <c r="B142">
        <v>-104.58410000000001</v>
      </c>
      <c r="C142">
        <v>-56.277299999999997</v>
      </c>
      <c r="D142">
        <v>-165.78899999999999</v>
      </c>
      <c r="E142">
        <v>-15.148999999999999</v>
      </c>
      <c r="F142">
        <v>2035.02</v>
      </c>
      <c r="G142">
        <v>-222.06629999999899</v>
      </c>
    </row>
    <row r="143" spans="1:7" x14ac:dyDescent="0.2">
      <c r="A143" t="s">
        <v>580</v>
      </c>
      <c r="B143">
        <v>-46.101300000000002</v>
      </c>
      <c r="C143">
        <v>-20.082100000000001</v>
      </c>
      <c r="D143">
        <v>-70.391999999999996</v>
      </c>
      <c r="E143">
        <v>-11.940799999999999</v>
      </c>
      <c r="F143">
        <v>2530.6799999999998</v>
      </c>
      <c r="G143">
        <v>-90.474099999999893</v>
      </c>
    </row>
    <row r="144" spans="1:7" x14ac:dyDescent="0.2">
      <c r="A144" t="s">
        <v>581</v>
      </c>
      <c r="B144">
        <v>-47.9833</v>
      </c>
      <c r="C144">
        <v>-20.886299999999999</v>
      </c>
      <c r="D144">
        <v>-131.65199999999999</v>
      </c>
      <c r="E144">
        <v>-0.76656000000000002</v>
      </c>
      <c r="F144">
        <v>2021.38</v>
      </c>
      <c r="G144">
        <v>-152.53829999999999</v>
      </c>
    </row>
    <row r="145" spans="1:7" x14ac:dyDescent="0.2">
      <c r="A145" t="s">
        <v>582</v>
      </c>
      <c r="B145">
        <v>-62.697200000000002</v>
      </c>
      <c r="C145">
        <v>-34.8523</v>
      </c>
      <c r="D145">
        <v>-51.580800000000004</v>
      </c>
      <c r="E145">
        <v>-17.528700000000001</v>
      </c>
      <c r="F145">
        <v>2014.83</v>
      </c>
      <c r="G145">
        <v>-86.433099999999996</v>
      </c>
    </row>
    <row r="146" spans="1:7" x14ac:dyDescent="0.2">
      <c r="A146" t="s">
        <v>583</v>
      </c>
      <c r="B146">
        <v>-85.188599999999994</v>
      </c>
      <c r="C146">
        <v>-33.54</v>
      </c>
      <c r="D146">
        <v>-98.7667</v>
      </c>
      <c r="E146">
        <v>-31.895299999999999</v>
      </c>
      <c r="F146">
        <v>1920.88</v>
      </c>
      <c r="G146">
        <v>-132.30670000000001</v>
      </c>
    </row>
    <row r="147" spans="1:7" x14ac:dyDescent="0.2">
      <c r="A147" t="s">
        <v>584</v>
      </c>
      <c r="B147">
        <v>-82.049800000000005</v>
      </c>
      <c r="C147">
        <v>-40.525100000000002</v>
      </c>
      <c r="D147">
        <v>-26.206800000000001</v>
      </c>
      <c r="E147">
        <v>-36.283299999999997</v>
      </c>
      <c r="F147">
        <v>2647.14</v>
      </c>
      <c r="G147">
        <v>-66.731899999999996</v>
      </c>
    </row>
    <row r="148" spans="1:7" x14ac:dyDescent="0.2">
      <c r="A148" t="s">
        <v>585</v>
      </c>
      <c r="B148">
        <v>-99.147000000000006</v>
      </c>
      <c r="C148">
        <v>-57.807600000000001</v>
      </c>
      <c r="D148">
        <v>-56.305900000000001</v>
      </c>
      <c r="E148">
        <v>-30.078199999999999</v>
      </c>
      <c r="F148">
        <v>2620.1999999999998</v>
      </c>
      <c r="G148">
        <v>-114.1135</v>
      </c>
    </row>
    <row r="149" spans="1:7" x14ac:dyDescent="0.2">
      <c r="A149" t="s">
        <v>612</v>
      </c>
      <c r="B149">
        <v>-81.099299999999999</v>
      </c>
      <c r="C149">
        <v>-50.102499999999999</v>
      </c>
      <c r="D149">
        <v>-100.901</v>
      </c>
      <c r="E149">
        <v>-10.816599999999999</v>
      </c>
      <c r="F149">
        <v>2095.66</v>
      </c>
      <c r="G149">
        <v>-151.0035</v>
      </c>
    </row>
    <row r="150" spans="1:7" x14ac:dyDescent="0.2">
      <c r="A150" t="s">
        <v>613</v>
      </c>
      <c r="B150">
        <v>-108.7748</v>
      </c>
      <c r="C150">
        <v>-38.688499999999998</v>
      </c>
      <c r="D150">
        <v>-294.24700000000001</v>
      </c>
      <c r="E150">
        <v>-11.2369</v>
      </c>
      <c r="F150">
        <v>2848.66</v>
      </c>
      <c r="G150">
        <v>-332.93549999999999</v>
      </c>
    </row>
    <row r="151" spans="1:7" x14ac:dyDescent="0.2">
      <c r="A151" t="s">
        <v>614</v>
      </c>
      <c r="B151">
        <v>-71.016900000000007</v>
      </c>
      <c r="C151">
        <v>-28.990200000000002</v>
      </c>
      <c r="D151">
        <v>-68.421400000000006</v>
      </c>
      <c r="E151">
        <v>-28.342400000000001</v>
      </c>
      <c r="F151">
        <v>2042.91</v>
      </c>
      <c r="G151">
        <v>-97.411600000000007</v>
      </c>
    </row>
    <row r="152" spans="1:7" x14ac:dyDescent="0.2">
      <c r="A152" t="s">
        <v>615</v>
      </c>
      <c r="B152">
        <v>-63.432299999999998</v>
      </c>
      <c r="C152">
        <v>-28.203499999999998</v>
      </c>
      <c r="D152">
        <v>-102.879</v>
      </c>
      <c r="E152">
        <v>-14.653</v>
      </c>
      <c r="F152">
        <v>1584.4</v>
      </c>
      <c r="G152">
        <v>-131.08250000000001</v>
      </c>
    </row>
    <row r="153" spans="1:7" x14ac:dyDescent="0.2">
      <c r="A153" t="s">
        <v>616</v>
      </c>
      <c r="B153">
        <v>-98.546599999999998</v>
      </c>
      <c r="C153">
        <v>-39.380400000000002</v>
      </c>
      <c r="D153">
        <v>-80.598399999999998</v>
      </c>
      <c r="E153">
        <v>-43.046500000000002</v>
      </c>
      <c r="F153">
        <v>2863.24</v>
      </c>
      <c r="G153">
        <v>-119.97880000000001</v>
      </c>
    </row>
    <row r="154" spans="1:7" x14ac:dyDescent="0.2">
      <c r="A154" t="s">
        <v>617</v>
      </c>
      <c r="B154">
        <v>-12.794700000000001</v>
      </c>
      <c r="C154">
        <v>5.4390499999999999</v>
      </c>
      <c r="D154">
        <v>22.6189</v>
      </c>
      <c r="E154">
        <v>-22.7575</v>
      </c>
      <c r="F154">
        <v>2011.31</v>
      </c>
      <c r="G154">
        <v>28.057949999999899</v>
      </c>
    </row>
    <row r="155" spans="1:7" x14ac:dyDescent="0.2">
      <c r="A155" t="s">
        <v>618</v>
      </c>
      <c r="B155">
        <v>-51.512799999999999</v>
      </c>
      <c r="C155">
        <v>-28.786999999999999</v>
      </c>
      <c r="D155">
        <v>-8.3426500000000008</v>
      </c>
      <c r="E155">
        <v>-21.057300000000001</v>
      </c>
      <c r="F155">
        <v>1674.24</v>
      </c>
      <c r="G155">
        <v>-37.129649999999998</v>
      </c>
    </row>
    <row r="156" spans="1:7" x14ac:dyDescent="0.2">
      <c r="A156" t="s">
        <v>619</v>
      </c>
      <c r="B156">
        <v>-60.073300000000003</v>
      </c>
      <c r="C156">
        <v>-36.336599999999997</v>
      </c>
      <c r="D156">
        <v>-20.353899999999999</v>
      </c>
      <c r="E156">
        <v>-19.665900000000001</v>
      </c>
      <c r="F156">
        <v>1711.44</v>
      </c>
      <c r="G156">
        <v>-56.6905</v>
      </c>
    </row>
    <row r="157" spans="1:7" x14ac:dyDescent="0.2">
      <c r="A157" t="s">
        <v>620</v>
      </c>
      <c r="B157">
        <v>-69.063199999999995</v>
      </c>
      <c r="C157">
        <v>-34.712200000000003</v>
      </c>
      <c r="D157">
        <v>-44.078800000000001</v>
      </c>
      <c r="E157">
        <v>-25.5352</v>
      </c>
      <c r="F157">
        <v>1997.04</v>
      </c>
      <c r="G157">
        <v>-78.790999999999997</v>
      </c>
    </row>
    <row r="158" spans="1:7" x14ac:dyDescent="0.2">
      <c r="A158" t="s">
        <v>621</v>
      </c>
      <c r="B158">
        <v>-68.013599999999997</v>
      </c>
      <c r="C158">
        <v>-26.7712</v>
      </c>
      <c r="D158">
        <v>-2.8933300000000002</v>
      </c>
      <c r="E158">
        <v>-40.663699999999999</v>
      </c>
      <c r="F158">
        <v>2152.4699999999998</v>
      </c>
      <c r="G158">
        <v>-29.664529999999999</v>
      </c>
    </row>
    <row r="159" spans="1:7" x14ac:dyDescent="0.2">
      <c r="A159" t="s">
        <v>654</v>
      </c>
      <c r="B159">
        <v>-36.603999999999999</v>
      </c>
      <c r="C159">
        <v>-13.881500000000001</v>
      </c>
      <c r="D159">
        <v>-64.961399999999998</v>
      </c>
      <c r="E159">
        <v>-9.7302599999999995</v>
      </c>
      <c r="F159">
        <v>2071.83</v>
      </c>
      <c r="G159">
        <v>-78.8429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2064ED-00CC-CC43-B2A9-AA564DE7B084}">
  <dimension ref="A1:I159"/>
  <sheetViews>
    <sheetView tabSelected="1" zoomScale="160" workbookViewId="0">
      <selection activeCell="E6" sqref="E6"/>
    </sheetView>
  </sheetViews>
  <sheetFormatPr baseColWidth="10" defaultRowHeight="15" x14ac:dyDescent="0.2"/>
  <cols>
    <col min="1" max="1" width="15.1640625" bestFit="1" customWidth="1"/>
    <col min="2" max="2" width="14.1640625" bestFit="1" customWidth="1"/>
    <col min="3" max="3" width="12.33203125" bestFit="1" customWidth="1"/>
  </cols>
  <sheetData>
    <row r="1" spans="1:9" x14ac:dyDescent="0.2">
      <c r="A1" t="s">
        <v>9</v>
      </c>
      <c r="B1" t="s">
        <v>669</v>
      </c>
      <c r="C1" t="s">
        <v>671</v>
      </c>
      <c r="D1" t="s">
        <v>672</v>
      </c>
      <c r="E1" t="s">
        <v>673</v>
      </c>
      <c r="F1" t="s">
        <v>670</v>
      </c>
      <c r="G1" t="s">
        <v>674</v>
      </c>
      <c r="H1" t="s">
        <v>675</v>
      </c>
      <c r="I1" t="s">
        <v>676</v>
      </c>
    </row>
    <row r="2" spans="1:9" x14ac:dyDescent="0.2">
      <c r="A2" t="s">
        <v>17</v>
      </c>
      <c r="B2">
        <v>0.75415527820587103</v>
      </c>
      <c r="C2">
        <v>0.68757194280624301</v>
      </c>
      <c r="D2">
        <v>0.35898920893669101</v>
      </c>
      <c r="E2">
        <v>0.35898920893669101</v>
      </c>
      <c r="F2">
        <v>0.85294675827026301</v>
      </c>
      <c r="G2">
        <v>0.817948818206787</v>
      </c>
      <c r="H2">
        <v>1.0836533308029099</v>
      </c>
      <c r="I2">
        <v>11.802267074584901</v>
      </c>
    </row>
    <row r="3" spans="1:9" x14ac:dyDescent="0.2">
      <c r="A3" t="s">
        <v>22</v>
      </c>
      <c r="B3">
        <v>0.75571817159652699</v>
      </c>
      <c r="C3">
        <v>0.72629392147064198</v>
      </c>
      <c r="D3">
        <v>0.395728319883346</v>
      </c>
      <c r="E3">
        <v>0.395728319883346</v>
      </c>
      <c r="F3">
        <v>0.84571564197540205</v>
      </c>
      <c r="G3">
        <v>0.82593524456024103</v>
      </c>
      <c r="H3">
        <v>0.77521014213562001</v>
      </c>
      <c r="I3">
        <v>11.4998121261596</v>
      </c>
    </row>
    <row r="4" spans="1:9" x14ac:dyDescent="0.2">
      <c r="A4" t="s">
        <v>25</v>
      </c>
      <c r="B4">
        <v>0.69234174489974898</v>
      </c>
      <c r="C4">
        <v>0.63048964738845803</v>
      </c>
      <c r="D4">
        <v>0.18149623274803101</v>
      </c>
      <c r="E4">
        <v>0.18149623274803101</v>
      </c>
      <c r="F4">
        <v>0.82005316019058205</v>
      </c>
      <c r="G4">
        <v>0.82038247585296598</v>
      </c>
      <c r="H4">
        <v>1.16933906078338</v>
      </c>
      <c r="I4">
        <v>14.6355876922607</v>
      </c>
    </row>
    <row r="5" spans="1:9" x14ac:dyDescent="0.2">
      <c r="A5" t="s">
        <v>28</v>
      </c>
      <c r="B5">
        <v>0.74398201704025202</v>
      </c>
      <c r="C5">
        <v>0.71383017301559404</v>
      </c>
      <c r="D5">
        <v>0.47189810872077897</v>
      </c>
      <c r="E5">
        <v>0.47189810872077897</v>
      </c>
      <c r="F5">
        <v>0.81200295686721802</v>
      </c>
      <c r="G5">
        <v>0.78567981719970703</v>
      </c>
      <c r="H5">
        <v>1.07881247997283</v>
      </c>
      <c r="I5">
        <v>10.041102409362701</v>
      </c>
    </row>
    <row r="6" spans="1:9" x14ac:dyDescent="0.2">
      <c r="A6" t="s">
        <v>31</v>
      </c>
      <c r="B6">
        <v>0.71980398893356301</v>
      </c>
      <c r="C6">
        <v>0.70593911409377996</v>
      </c>
      <c r="D6">
        <v>0.21304698288440699</v>
      </c>
      <c r="E6">
        <v>0.21304698288440699</v>
      </c>
      <c r="F6">
        <v>0.84649318456649703</v>
      </c>
      <c r="G6">
        <v>0.830480456352233</v>
      </c>
      <c r="H6">
        <v>0.80822128057479803</v>
      </c>
      <c r="I6">
        <v>14.0890789031982</v>
      </c>
    </row>
    <row r="7" spans="1:9" x14ac:dyDescent="0.2">
      <c r="A7" t="s">
        <v>37</v>
      </c>
      <c r="B7">
        <v>0.77087610960006703</v>
      </c>
      <c r="C7">
        <v>0.73171389102935702</v>
      </c>
      <c r="D7">
        <v>0.486899644136428</v>
      </c>
      <c r="E7">
        <v>0.486899644136428</v>
      </c>
      <c r="F7">
        <v>0.84187018871307295</v>
      </c>
      <c r="G7">
        <v>0.81176805496215798</v>
      </c>
      <c r="H7">
        <v>0.97839140892028797</v>
      </c>
      <c r="I7">
        <v>10.1590614318847</v>
      </c>
    </row>
    <row r="8" spans="1:9" x14ac:dyDescent="0.2">
      <c r="A8" t="s">
        <v>43</v>
      </c>
      <c r="B8">
        <v>0.71880441904067904</v>
      </c>
      <c r="C8">
        <v>0.64081668853759699</v>
      </c>
      <c r="D8">
        <v>0.23494185507297499</v>
      </c>
      <c r="E8">
        <v>0.23494185507297499</v>
      </c>
      <c r="F8">
        <v>0.83977001905441195</v>
      </c>
      <c r="G8">
        <v>0.80331450700759799</v>
      </c>
      <c r="H8">
        <v>1.06814289093017</v>
      </c>
      <c r="I8">
        <v>14.430839538574199</v>
      </c>
    </row>
    <row r="9" spans="1:9" x14ac:dyDescent="0.2">
      <c r="A9" t="s">
        <v>44</v>
      </c>
      <c r="B9">
        <v>0.71272468566894498</v>
      </c>
      <c r="C9">
        <v>0.68400758504867498</v>
      </c>
      <c r="D9">
        <v>0.243177905678749</v>
      </c>
      <c r="E9">
        <v>0.243177905678749</v>
      </c>
      <c r="F9">
        <v>0.830111384391784</v>
      </c>
      <c r="G9">
        <v>0.81016820669174106</v>
      </c>
      <c r="H9">
        <v>0.90686088800430298</v>
      </c>
      <c r="I9">
        <v>14.026887893676699</v>
      </c>
    </row>
    <row r="10" spans="1:9" x14ac:dyDescent="0.2">
      <c r="A10" t="s">
        <v>45</v>
      </c>
      <c r="B10">
        <v>0.75301879644393899</v>
      </c>
      <c r="C10">
        <v>0.71154332160949696</v>
      </c>
      <c r="D10">
        <v>0.40729996562004001</v>
      </c>
      <c r="E10">
        <v>0.40729996562004001</v>
      </c>
      <c r="F10">
        <v>0.83944851160049405</v>
      </c>
      <c r="G10">
        <v>0.83662503957748402</v>
      </c>
      <c r="H10">
        <v>1.01268315315246</v>
      </c>
      <c r="I10">
        <v>12.1234331130981</v>
      </c>
    </row>
    <row r="11" spans="1:9" x14ac:dyDescent="0.2">
      <c r="A11" t="s">
        <v>46</v>
      </c>
      <c r="B11">
        <v>0.81929773092269897</v>
      </c>
      <c r="C11">
        <v>0.83928716182708696</v>
      </c>
      <c r="D11">
        <v>0.75960779190063399</v>
      </c>
      <c r="E11">
        <v>0.75960779190063399</v>
      </c>
      <c r="F11">
        <v>0.834220170974731</v>
      </c>
      <c r="G11">
        <v>0.81946939229965199</v>
      </c>
      <c r="H11">
        <v>0.73626941442489602</v>
      </c>
      <c r="I11">
        <v>5.3240942955017001</v>
      </c>
    </row>
    <row r="12" spans="1:9" x14ac:dyDescent="0.2">
      <c r="A12" t="s">
        <v>47</v>
      </c>
      <c r="B12">
        <v>0.74976444244384699</v>
      </c>
      <c r="C12">
        <v>0.74070662260055498</v>
      </c>
      <c r="D12">
        <v>0.41880747675895602</v>
      </c>
      <c r="E12">
        <v>0.41880747675895602</v>
      </c>
      <c r="F12">
        <v>0.83250367641448897</v>
      </c>
      <c r="G12">
        <v>0.82924324274063099</v>
      </c>
      <c r="H12">
        <v>0.84532815217971802</v>
      </c>
      <c r="I12">
        <v>10.785566329956</v>
      </c>
    </row>
    <row r="13" spans="1:9" x14ac:dyDescent="0.2">
      <c r="A13" t="s">
        <v>48</v>
      </c>
      <c r="B13">
        <v>0.72190535068511896</v>
      </c>
      <c r="C13">
        <v>0.68652784824371305</v>
      </c>
      <c r="D13">
        <v>0.23305879533290799</v>
      </c>
      <c r="E13">
        <v>0.23305879533290799</v>
      </c>
      <c r="F13">
        <v>0.84411698579788197</v>
      </c>
      <c r="G13">
        <v>0.81349176168441695</v>
      </c>
      <c r="H13">
        <v>0.87035125494003296</v>
      </c>
      <c r="I13">
        <v>13.596777915954499</v>
      </c>
    </row>
    <row r="14" spans="1:9" x14ac:dyDescent="0.2">
      <c r="A14" t="s">
        <v>53</v>
      </c>
      <c r="B14">
        <v>0.73971116542816095</v>
      </c>
      <c r="C14">
        <v>0.68620526790618896</v>
      </c>
      <c r="D14">
        <v>0.33190605044364901</v>
      </c>
      <c r="E14">
        <v>0.33190605044364901</v>
      </c>
      <c r="F14">
        <v>0.84166240692138605</v>
      </c>
      <c r="G14">
        <v>0.80987924337386996</v>
      </c>
      <c r="H14">
        <v>0.996373951435089</v>
      </c>
      <c r="I14">
        <v>12.2048292160034</v>
      </c>
    </row>
    <row r="15" spans="1:9" x14ac:dyDescent="0.2">
      <c r="A15" t="s">
        <v>69</v>
      </c>
      <c r="B15">
        <v>0.69408172369003296</v>
      </c>
      <c r="C15">
        <v>0.62126654386520297</v>
      </c>
      <c r="D15">
        <v>0.19048057496547699</v>
      </c>
      <c r="E15">
        <v>0.19048057496547699</v>
      </c>
      <c r="F15">
        <v>0.81998199224472001</v>
      </c>
      <c r="G15">
        <v>0.75061655044555597</v>
      </c>
      <c r="H15">
        <v>1.1705459356307899</v>
      </c>
      <c r="I15">
        <v>14.5476884841918</v>
      </c>
    </row>
    <row r="16" spans="1:9" x14ac:dyDescent="0.2">
      <c r="A16" t="s">
        <v>70</v>
      </c>
      <c r="B16">
        <v>0.72847265005111606</v>
      </c>
      <c r="C16">
        <v>0.68983942270278897</v>
      </c>
      <c r="D16">
        <v>0.23142573237419101</v>
      </c>
      <c r="E16">
        <v>0.23142573237419101</v>
      </c>
      <c r="F16">
        <v>0.85273438692092896</v>
      </c>
      <c r="G16">
        <v>0.82350641489028897</v>
      </c>
      <c r="H16">
        <v>0.84063225984573298</v>
      </c>
      <c r="I16">
        <v>14.8557596206665</v>
      </c>
    </row>
    <row r="17" spans="1:9" x14ac:dyDescent="0.2">
      <c r="A17" t="s">
        <v>71</v>
      </c>
      <c r="B17">
        <v>0.82704830169677701</v>
      </c>
      <c r="C17">
        <v>0.82654422521591098</v>
      </c>
      <c r="D17">
        <v>0.74880594015121404</v>
      </c>
      <c r="E17">
        <v>0.74880594015121404</v>
      </c>
      <c r="F17">
        <v>0.84660893678665095</v>
      </c>
      <c r="G17">
        <v>0.81039512157440097</v>
      </c>
      <c r="H17">
        <v>0.77530974149703902</v>
      </c>
      <c r="I17">
        <v>6.1766490936279297</v>
      </c>
    </row>
    <row r="18" spans="1:9" x14ac:dyDescent="0.2">
      <c r="A18" t="s">
        <v>72</v>
      </c>
      <c r="B18">
        <v>0.773778855800628</v>
      </c>
      <c r="C18">
        <v>0.76836907863616899</v>
      </c>
      <c r="D18">
        <v>0.49772796034812899</v>
      </c>
      <c r="E18">
        <v>0.49772796034812899</v>
      </c>
      <c r="F18">
        <v>0.84279161691665605</v>
      </c>
      <c r="G18">
        <v>0.81019508838653498</v>
      </c>
      <c r="H18">
        <v>0.78222465515136697</v>
      </c>
      <c r="I18">
        <v>9.8819007873535103</v>
      </c>
    </row>
    <row r="19" spans="1:9" x14ac:dyDescent="0.2">
      <c r="A19" t="s">
        <v>73</v>
      </c>
      <c r="B19">
        <v>0.75139218568801802</v>
      </c>
      <c r="C19">
        <v>0.67641443014144897</v>
      </c>
      <c r="D19">
        <v>0.28220036625862099</v>
      </c>
      <c r="E19">
        <v>0.28220036625862099</v>
      </c>
      <c r="F19">
        <v>0.86869013309478704</v>
      </c>
      <c r="G19">
        <v>0.81508117914199796</v>
      </c>
      <c r="H19">
        <v>0.98582518100738503</v>
      </c>
      <c r="I19">
        <v>14.0888271331787</v>
      </c>
    </row>
    <row r="20" spans="1:9" x14ac:dyDescent="0.2">
      <c r="A20" t="s">
        <v>74</v>
      </c>
      <c r="B20">
        <v>0.70494002103805498</v>
      </c>
      <c r="C20">
        <v>0.63993167877197199</v>
      </c>
      <c r="D20">
        <v>0.20483581721782601</v>
      </c>
      <c r="E20">
        <v>0.20483581721782601</v>
      </c>
      <c r="F20">
        <v>0.82996606826782204</v>
      </c>
      <c r="G20">
        <v>0.775809645652771</v>
      </c>
      <c r="H20">
        <v>1.1104924678802399</v>
      </c>
      <c r="I20">
        <v>14.180904388427701</v>
      </c>
    </row>
    <row r="21" spans="1:9" x14ac:dyDescent="0.2">
      <c r="A21" t="s">
        <v>75</v>
      </c>
      <c r="B21">
        <v>0.73809736967086703</v>
      </c>
      <c r="C21">
        <v>0.75170695781707697</v>
      </c>
      <c r="D21">
        <v>0.416638374328613</v>
      </c>
      <c r="E21">
        <v>0.416638374328613</v>
      </c>
      <c r="F21">
        <v>0.818462073802948</v>
      </c>
      <c r="G21">
        <v>0.76571482419967596</v>
      </c>
      <c r="H21">
        <v>0.806546211242675</v>
      </c>
      <c r="I21">
        <v>11.2586154937744</v>
      </c>
    </row>
    <row r="22" spans="1:9" x14ac:dyDescent="0.2">
      <c r="A22" t="s">
        <v>76</v>
      </c>
      <c r="B22">
        <v>0.72381824254989602</v>
      </c>
      <c r="C22">
        <v>0.70379734039306596</v>
      </c>
      <c r="D22">
        <v>0.25029471516609098</v>
      </c>
      <c r="E22">
        <v>0.25029471516609098</v>
      </c>
      <c r="F22">
        <v>0.842199087142944</v>
      </c>
      <c r="G22">
        <v>0.82553750276565496</v>
      </c>
      <c r="H22">
        <v>0.76880484819412198</v>
      </c>
      <c r="I22">
        <v>12.3328762054443</v>
      </c>
    </row>
    <row r="23" spans="1:9" x14ac:dyDescent="0.2">
      <c r="A23" t="s">
        <v>101</v>
      </c>
      <c r="B23">
        <v>0.73979759216308505</v>
      </c>
      <c r="C23">
        <v>0.70079207420349099</v>
      </c>
      <c r="D23">
        <v>0.327955663204193</v>
      </c>
      <c r="E23">
        <v>0.327955663204193</v>
      </c>
      <c r="F23">
        <v>0.84275805950164795</v>
      </c>
      <c r="G23">
        <v>0.80376750230789096</v>
      </c>
      <c r="H23">
        <v>0.97297054529189997</v>
      </c>
      <c r="I23">
        <v>11.1663618087768</v>
      </c>
    </row>
    <row r="24" spans="1:9" x14ac:dyDescent="0.2">
      <c r="A24" t="s">
        <v>102</v>
      </c>
      <c r="B24">
        <v>0.79259103536605802</v>
      </c>
      <c r="C24">
        <v>0.81187558174133301</v>
      </c>
      <c r="D24">
        <v>0.57429444789886397</v>
      </c>
      <c r="E24">
        <v>0.57429444789886397</v>
      </c>
      <c r="F24">
        <v>0.847165167331695</v>
      </c>
      <c r="G24">
        <v>0.77396219968795699</v>
      </c>
      <c r="H24">
        <v>0.70132589340209905</v>
      </c>
      <c r="I24">
        <v>7.3446707725524902</v>
      </c>
    </row>
    <row r="25" spans="1:9" x14ac:dyDescent="0.2">
      <c r="A25" t="s">
        <v>103</v>
      </c>
      <c r="B25">
        <v>0.72539579868316595</v>
      </c>
      <c r="C25">
        <v>0.68014436960220304</v>
      </c>
      <c r="D25">
        <v>0.289359450340271</v>
      </c>
      <c r="E25">
        <v>0.289359450340271</v>
      </c>
      <c r="F25">
        <v>0.83440482616424505</v>
      </c>
      <c r="G25">
        <v>0.786951184272766</v>
      </c>
      <c r="H25">
        <v>0.99619626998901301</v>
      </c>
      <c r="I25">
        <v>12.8745975494384</v>
      </c>
    </row>
    <row r="26" spans="1:9" x14ac:dyDescent="0.2">
      <c r="A26" t="s">
        <v>104</v>
      </c>
      <c r="B26">
        <v>0.810125291347503</v>
      </c>
      <c r="C26">
        <v>0.84787726402282704</v>
      </c>
      <c r="D26">
        <v>0.700309157371521</v>
      </c>
      <c r="E26">
        <v>0.700309157371521</v>
      </c>
      <c r="F26">
        <v>0.83757925033569303</v>
      </c>
      <c r="G26">
        <v>0.807472884654998</v>
      </c>
      <c r="H26">
        <v>0.63718032836913996</v>
      </c>
      <c r="I26">
        <v>5.0712103843688903</v>
      </c>
    </row>
    <row r="27" spans="1:9" x14ac:dyDescent="0.2">
      <c r="A27" t="s">
        <v>105</v>
      </c>
      <c r="B27">
        <v>0.73539751768112105</v>
      </c>
      <c r="C27">
        <v>0.69704073667526201</v>
      </c>
      <c r="D27">
        <v>0.34192809462547302</v>
      </c>
      <c r="E27">
        <v>0.34192809462547302</v>
      </c>
      <c r="F27">
        <v>0.83376491069793701</v>
      </c>
      <c r="G27">
        <v>0.76333695650100697</v>
      </c>
      <c r="H27">
        <v>0.87421166896820002</v>
      </c>
      <c r="I27">
        <v>11.638552665710399</v>
      </c>
    </row>
    <row r="28" spans="1:9" x14ac:dyDescent="0.2">
      <c r="A28" t="s">
        <v>106</v>
      </c>
      <c r="B28">
        <v>0.72136753797531095</v>
      </c>
      <c r="C28">
        <v>0.71205598115920998</v>
      </c>
      <c r="D28">
        <v>0.29727917909622098</v>
      </c>
      <c r="E28">
        <v>0.29727917909622098</v>
      </c>
      <c r="F28">
        <v>0.82738959789276101</v>
      </c>
      <c r="G28">
        <v>0.78296440839767401</v>
      </c>
      <c r="H28">
        <v>0.90441304445266701</v>
      </c>
      <c r="I28">
        <v>12.942893028259199</v>
      </c>
    </row>
    <row r="29" spans="1:9" x14ac:dyDescent="0.2">
      <c r="A29" t="s">
        <v>107</v>
      </c>
      <c r="B29">
        <v>0.71572500467300404</v>
      </c>
      <c r="C29">
        <v>0.72806853055953902</v>
      </c>
      <c r="D29">
        <v>0.30207392573356601</v>
      </c>
      <c r="E29">
        <v>0.30207392573356601</v>
      </c>
      <c r="F29">
        <v>0.81913775205612105</v>
      </c>
      <c r="G29">
        <v>0.77163416147232</v>
      </c>
      <c r="H29">
        <v>0.79544240236282304</v>
      </c>
      <c r="I29">
        <v>12.650205612182599</v>
      </c>
    </row>
    <row r="30" spans="1:9" x14ac:dyDescent="0.2">
      <c r="A30" t="s">
        <v>108</v>
      </c>
      <c r="B30">
        <v>0.71036428213119496</v>
      </c>
      <c r="C30">
        <v>0.63805818557739202</v>
      </c>
      <c r="D30">
        <v>0.17063522338867099</v>
      </c>
      <c r="E30">
        <v>0.17063522338867099</v>
      </c>
      <c r="F30">
        <v>0.84529656171798695</v>
      </c>
      <c r="G30">
        <v>0.79154992103576605</v>
      </c>
      <c r="H30">
        <v>1.0998398065567001</v>
      </c>
      <c r="I30">
        <v>15.221936225891101</v>
      </c>
    </row>
    <row r="31" spans="1:9" x14ac:dyDescent="0.2">
      <c r="A31" t="s">
        <v>174</v>
      </c>
      <c r="B31">
        <v>0.80892372131347601</v>
      </c>
      <c r="C31">
        <v>0.82489520311355502</v>
      </c>
      <c r="D31">
        <v>0.67853844165802002</v>
      </c>
      <c r="E31">
        <v>0.67853844165802002</v>
      </c>
      <c r="F31">
        <v>0.84152007102966297</v>
      </c>
      <c r="G31">
        <v>0.82651257514953602</v>
      </c>
      <c r="H31">
        <v>0.73253870010375899</v>
      </c>
      <c r="I31">
        <v>6.3259634971618599</v>
      </c>
    </row>
    <row r="32" spans="1:9" x14ac:dyDescent="0.2">
      <c r="A32" t="s">
        <v>175</v>
      </c>
      <c r="B32">
        <v>0.72774231433868397</v>
      </c>
      <c r="C32">
        <v>0.671139895915985</v>
      </c>
      <c r="D32">
        <v>0.295719504356384</v>
      </c>
      <c r="E32">
        <v>0.295719504356384</v>
      </c>
      <c r="F32">
        <v>0.83574795722961404</v>
      </c>
      <c r="G32">
        <v>0.82045638561248702</v>
      </c>
      <c r="H32">
        <v>1.03963351249694</v>
      </c>
      <c r="I32">
        <v>13.6597175598144</v>
      </c>
    </row>
    <row r="33" spans="1:9" x14ac:dyDescent="0.2">
      <c r="A33" t="s">
        <v>176</v>
      </c>
      <c r="B33">
        <v>0.74340492486953702</v>
      </c>
      <c r="C33">
        <v>0.67403560876846302</v>
      </c>
      <c r="D33">
        <v>0.33723926544189398</v>
      </c>
      <c r="E33">
        <v>0.33723926544189398</v>
      </c>
      <c r="F33">
        <v>0.84494632482528598</v>
      </c>
      <c r="G33">
        <v>0.80789828300475997</v>
      </c>
      <c r="H33">
        <v>1.1166603565216</v>
      </c>
      <c r="I33">
        <v>13.1145792007446</v>
      </c>
    </row>
    <row r="34" spans="1:9" x14ac:dyDescent="0.2">
      <c r="A34" t="s">
        <v>177</v>
      </c>
      <c r="B34">
        <v>0.75908154249191195</v>
      </c>
      <c r="C34">
        <v>0.75687533617019598</v>
      </c>
      <c r="D34">
        <v>0.42159703373908902</v>
      </c>
      <c r="E34">
        <v>0.42159703373908902</v>
      </c>
      <c r="F34">
        <v>0.84345263242721502</v>
      </c>
      <c r="G34">
        <v>0.77259880304336503</v>
      </c>
      <c r="H34">
        <v>0.84714359045028598</v>
      </c>
      <c r="I34">
        <v>12.187592506408601</v>
      </c>
    </row>
    <row r="35" spans="1:9" x14ac:dyDescent="0.2">
      <c r="A35" t="s">
        <v>178</v>
      </c>
      <c r="B35">
        <v>0.77910029888152998</v>
      </c>
      <c r="C35">
        <v>0.79972648620605402</v>
      </c>
      <c r="D35">
        <v>0.51593607664108199</v>
      </c>
      <c r="E35">
        <v>0.51593607664108199</v>
      </c>
      <c r="F35">
        <v>0.84489130973815896</v>
      </c>
      <c r="G35">
        <v>0.82454168796539296</v>
      </c>
      <c r="H35">
        <v>0.694968402385711</v>
      </c>
      <c r="I35">
        <v>9.5850276947021396</v>
      </c>
    </row>
    <row r="36" spans="1:9" x14ac:dyDescent="0.2">
      <c r="A36" t="s">
        <v>179</v>
      </c>
      <c r="B36">
        <v>0.73596811294555597</v>
      </c>
      <c r="C36">
        <v>0.68301266431808405</v>
      </c>
      <c r="D36">
        <v>0.22254507243633201</v>
      </c>
      <c r="E36">
        <v>0.22254507243633201</v>
      </c>
      <c r="F36">
        <v>0.86432385444641102</v>
      </c>
      <c r="G36">
        <v>0.85016727447509699</v>
      </c>
      <c r="H36">
        <v>0.86420005559921198</v>
      </c>
      <c r="I36">
        <v>13.2892303466796</v>
      </c>
    </row>
    <row r="37" spans="1:9" x14ac:dyDescent="0.2">
      <c r="A37" t="s">
        <v>180</v>
      </c>
      <c r="B37">
        <v>0.733451187610626</v>
      </c>
      <c r="C37">
        <v>0.70066070556640603</v>
      </c>
      <c r="D37">
        <v>0.41274306178092901</v>
      </c>
      <c r="E37">
        <v>0.41274306178092901</v>
      </c>
      <c r="F37">
        <v>0.81362819671630804</v>
      </c>
      <c r="G37">
        <v>0.78215330839157104</v>
      </c>
      <c r="H37">
        <v>1.1309757232666</v>
      </c>
      <c r="I37">
        <v>10.2511806488037</v>
      </c>
    </row>
    <row r="38" spans="1:9" x14ac:dyDescent="0.2">
      <c r="A38" t="s">
        <v>181</v>
      </c>
      <c r="B38">
        <v>0.81772899627685502</v>
      </c>
      <c r="C38">
        <v>0.84343892335891701</v>
      </c>
      <c r="D38">
        <v>0.72199559211730902</v>
      </c>
      <c r="E38">
        <v>0.72199559211730902</v>
      </c>
      <c r="F38">
        <v>0.84166240692138605</v>
      </c>
      <c r="G38">
        <v>0.82369506359100297</v>
      </c>
      <c r="H38">
        <v>0.74630832672119096</v>
      </c>
      <c r="I38">
        <v>5.7179946899414</v>
      </c>
    </row>
    <row r="39" spans="1:9" x14ac:dyDescent="0.2">
      <c r="A39" t="s">
        <v>182</v>
      </c>
      <c r="B39">
        <v>0.77127665281295699</v>
      </c>
      <c r="C39">
        <v>0.74932086467742898</v>
      </c>
      <c r="D39">
        <v>0.48671770095825101</v>
      </c>
      <c r="E39">
        <v>0.48671770095825101</v>
      </c>
      <c r="F39">
        <v>0.84241634607314997</v>
      </c>
      <c r="G39">
        <v>0.79983103275298995</v>
      </c>
      <c r="H39">
        <v>1.00478398799896</v>
      </c>
      <c r="I39">
        <v>9.9000349044799805</v>
      </c>
    </row>
    <row r="40" spans="1:9" x14ac:dyDescent="0.2">
      <c r="A40" t="s">
        <v>183</v>
      </c>
      <c r="B40">
        <v>0.790194451808929</v>
      </c>
      <c r="C40">
        <v>0.78597527742385798</v>
      </c>
      <c r="D40">
        <v>0.53578197956085205</v>
      </c>
      <c r="E40">
        <v>0.53578197956085205</v>
      </c>
      <c r="F40">
        <v>0.85379749536514205</v>
      </c>
      <c r="G40">
        <v>0.82035464048385598</v>
      </c>
      <c r="H40">
        <v>0.76676607131957997</v>
      </c>
      <c r="I40">
        <v>9.5384664535522408</v>
      </c>
    </row>
    <row r="41" spans="1:9" x14ac:dyDescent="0.2">
      <c r="A41" t="s">
        <v>184</v>
      </c>
      <c r="B41">
        <v>0.72011679410934404</v>
      </c>
      <c r="C41">
        <v>0.71244484186172397</v>
      </c>
      <c r="D41">
        <v>0.28232148289680398</v>
      </c>
      <c r="E41">
        <v>0.28232148289680398</v>
      </c>
      <c r="F41">
        <v>0.82956558465957597</v>
      </c>
      <c r="G41">
        <v>0.80272638797759999</v>
      </c>
      <c r="H41">
        <v>0.85406136512756303</v>
      </c>
      <c r="I41">
        <v>12.9057521820068</v>
      </c>
    </row>
    <row r="42" spans="1:9" x14ac:dyDescent="0.2">
      <c r="A42" t="s">
        <v>185</v>
      </c>
      <c r="B42">
        <v>0.75407421588897705</v>
      </c>
      <c r="C42">
        <v>0.71721059083938599</v>
      </c>
      <c r="D42">
        <v>0.45456293225288302</v>
      </c>
      <c r="E42">
        <v>0.45456293225288302</v>
      </c>
      <c r="F42">
        <v>0.82895201444625799</v>
      </c>
      <c r="G42">
        <v>0.81504005193710305</v>
      </c>
      <c r="H42">
        <v>1.0251533985137899</v>
      </c>
      <c r="I42">
        <v>11.0774736404418</v>
      </c>
    </row>
    <row r="43" spans="1:9" x14ac:dyDescent="0.2">
      <c r="A43" t="s">
        <v>186</v>
      </c>
      <c r="B43">
        <v>0.75368905067443803</v>
      </c>
      <c r="C43">
        <v>0.74701422452926602</v>
      </c>
      <c r="D43">
        <v>0.46655067801475503</v>
      </c>
      <c r="E43">
        <v>0.46655067801475503</v>
      </c>
      <c r="F43">
        <v>0.82547366619110096</v>
      </c>
      <c r="G43">
        <v>0.80048584938049305</v>
      </c>
      <c r="H43">
        <v>0.94526743888854903</v>
      </c>
      <c r="I43">
        <v>11.180772781371999</v>
      </c>
    </row>
    <row r="44" spans="1:9" x14ac:dyDescent="0.2">
      <c r="A44" t="s">
        <v>187</v>
      </c>
      <c r="B44">
        <v>0.74017256498336703</v>
      </c>
      <c r="C44">
        <v>0.732383072376251</v>
      </c>
      <c r="D44">
        <v>0.37189295887946999</v>
      </c>
      <c r="E44">
        <v>0.37189295887946999</v>
      </c>
      <c r="F44">
        <v>0.83224242925643899</v>
      </c>
      <c r="G44">
        <v>0.817352294921875</v>
      </c>
      <c r="H44">
        <v>0.77678787708282404</v>
      </c>
      <c r="I44">
        <v>12.6645393371582</v>
      </c>
    </row>
    <row r="45" spans="1:9" x14ac:dyDescent="0.2">
      <c r="A45" t="s">
        <v>188</v>
      </c>
      <c r="B45">
        <v>0.75884163379669101</v>
      </c>
      <c r="C45">
        <v>0.78142160177230802</v>
      </c>
      <c r="D45">
        <v>0.43648910522460899</v>
      </c>
      <c r="E45">
        <v>0.43648910522460899</v>
      </c>
      <c r="F45">
        <v>0.83942973613739003</v>
      </c>
      <c r="G45">
        <v>0.80562847852706898</v>
      </c>
      <c r="H45">
        <v>0.75465267896652199</v>
      </c>
      <c r="I45">
        <v>10.123434066772401</v>
      </c>
    </row>
    <row r="46" spans="1:9" x14ac:dyDescent="0.2">
      <c r="A46" t="s">
        <v>189</v>
      </c>
      <c r="B46">
        <v>0.81338882446288996</v>
      </c>
      <c r="C46">
        <v>0.82528352737426702</v>
      </c>
      <c r="D46">
        <v>0.708698689937591</v>
      </c>
      <c r="E46">
        <v>0.708698689937591</v>
      </c>
      <c r="F46">
        <v>0.83956140279769897</v>
      </c>
      <c r="G46">
        <v>0.818264961242675</v>
      </c>
      <c r="H46">
        <v>0.75572276115417403</v>
      </c>
      <c r="I46">
        <v>5.6697144508361799</v>
      </c>
    </row>
    <row r="47" spans="1:9" x14ac:dyDescent="0.2">
      <c r="A47" t="s">
        <v>190</v>
      </c>
      <c r="B47">
        <v>0.72180086374282804</v>
      </c>
      <c r="C47">
        <v>0.681060910224914</v>
      </c>
      <c r="D47">
        <v>0.298393994569778</v>
      </c>
      <c r="E47">
        <v>0.298393994569778</v>
      </c>
      <c r="F47">
        <v>0.82765257358551003</v>
      </c>
      <c r="G47">
        <v>0.80256289243698098</v>
      </c>
      <c r="H47">
        <v>1.0336546897888099</v>
      </c>
      <c r="I47">
        <v>11.8746643066406</v>
      </c>
    </row>
    <row r="48" spans="1:9" x14ac:dyDescent="0.2">
      <c r="A48" t="s">
        <v>191</v>
      </c>
      <c r="B48">
        <v>0.79064857959747303</v>
      </c>
      <c r="C48">
        <v>0.78901076316833496</v>
      </c>
      <c r="D48">
        <v>0.57384896278381303</v>
      </c>
      <c r="E48">
        <v>0.57384896278381303</v>
      </c>
      <c r="F48">
        <v>0.84484845399856501</v>
      </c>
      <c r="G48">
        <v>0.81351047754287698</v>
      </c>
      <c r="H48">
        <v>0.84687083959579401</v>
      </c>
      <c r="I48">
        <v>8.8625020980834908</v>
      </c>
    </row>
    <row r="49" spans="1:9" x14ac:dyDescent="0.2">
      <c r="A49" t="s">
        <v>192</v>
      </c>
      <c r="B49">
        <v>0.835102498531341</v>
      </c>
      <c r="C49">
        <v>0.82340192794799805</v>
      </c>
      <c r="D49">
        <v>0.69853961467742898</v>
      </c>
      <c r="E49">
        <v>0.69853961467742898</v>
      </c>
      <c r="F49">
        <v>0.86924314498901301</v>
      </c>
      <c r="G49">
        <v>0.86814850568771296</v>
      </c>
      <c r="H49">
        <v>0.76921349763870195</v>
      </c>
      <c r="I49">
        <v>5.9283962249755797</v>
      </c>
    </row>
    <row r="50" spans="1:9" x14ac:dyDescent="0.2">
      <c r="A50" t="s">
        <v>193</v>
      </c>
      <c r="B50">
        <v>0.75051254034042303</v>
      </c>
      <c r="C50">
        <v>0.77422922849655096</v>
      </c>
      <c r="D50">
        <v>0.42962953448295499</v>
      </c>
      <c r="E50">
        <v>0.42962953448295499</v>
      </c>
      <c r="F50">
        <v>0.83073323965072599</v>
      </c>
      <c r="G50">
        <v>0.77976226806640603</v>
      </c>
      <c r="H50">
        <v>0.75297147035598699</v>
      </c>
      <c r="I50">
        <v>10.9371900558471</v>
      </c>
    </row>
    <row r="51" spans="1:9" x14ac:dyDescent="0.2">
      <c r="A51" t="s">
        <v>263</v>
      </c>
      <c r="B51">
        <v>0.82669717073440496</v>
      </c>
      <c r="C51">
        <v>0.85897958278655995</v>
      </c>
      <c r="D51">
        <v>0.75752753019332797</v>
      </c>
      <c r="E51">
        <v>0.75752753019332797</v>
      </c>
      <c r="F51">
        <v>0.84398955106735196</v>
      </c>
      <c r="G51">
        <v>0.81370377540588301</v>
      </c>
      <c r="H51">
        <v>0.71438246965408303</v>
      </c>
      <c r="I51">
        <v>5.9974837303161603</v>
      </c>
    </row>
    <row r="52" spans="1:9" x14ac:dyDescent="0.2">
      <c r="A52" t="s">
        <v>264</v>
      </c>
      <c r="B52">
        <v>0.73800337314605702</v>
      </c>
      <c r="C52">
        <v>0.73619854450225797</v>
      </c>
      <c r="D52">
        <v>0.320519179105758</v>
      </c>
      <c r="E52">
        <v>0.320519179105758</v>
      </c>
      <c r="F52">
        <v>0.84237438440322798</v>
      </c>
      <c r="G52">
        <v>0.82334393262863104</v>
      </c>
      <c r="H52">
        <v>0.78005242347717196</v>
      </c>
      <c r="I52">
        <v>13.1595029830932</v>
      </c>
    </row>
    <row r="53" spans="1:9" x14ac:dyDescent="0.2">
      <c r="A53" t="s">
        <v>265</v>
      </c>
      <c r="B53">
        <v>0.75407642126083296</v>
      </c>
      <c r="C53">
        <v>0.70034527778625399</v>
      </c>
      <c r="D53">
        <v>0.33316853642463601</v>
      </c>
      <c r="E53">
        <v>0.33316853642463601</v>
      </c>
      <c r="F53">
        <v>0.85930341482162398</v>
      </c>
      <c r="G53">
        <v>0.83802157640457098</v>
      </c>
      <c r="H53">
        <v>0.90037208795547397</v>
      </c>
      <c r="I53">
        <v>12.859123229980399</v>
      </c>
    </row>
    <row r="54" spans="1:9" x14ac:dyDescent="0.2">
      <c r="A54" t="s">
        <v>266</v>
      </c>
      <c r="B54">
        <v>0.75442904233932495</v>
      </c>
      <c r="C54">
        <v>0.691411912441253</v>
      </c>
      <c r="D54">
        <v>0.31680259108543302</v>
      </c>
      <c r="E54">
        <v>0.31680259108543302</v>
      </c>
      <c r="F54">
        <v>0.86383569240570002</v>
      </c>
      <c r="G54">
        <v>0.83155751228332497</v>
      </c>
      <c r="H54">
        <v>0.98282057046890203</v>
      </c>
      <c r="I54">
        <v>12.427736282348601</v>
      </c>
    </row>
    <row r="55" spans="1:9" x14ac:dyDescent="0.2">
      <c r="A55" t="s">
        <v>267</v>
      </c>
      <c r="B55">
        <v>0.73679459095001198</v>
      </c>
      <c r="C55">
        <v>0.69841027259826605</v>
      </c>
      <c r="D55">
        <v>0.34076860547065702</v>
      </c>
      <c r="E55">
        <v>0.34076860547065702</v>
      </c>
      <c r="F55">
        <v>0.83580106496810902</v>
      </c>
      <c r="G55">
        <v>0.81426608562469405</v>
      </c>
      <c r="H55">
        <v>1.02039217948913</v>
      </c>
      <c r="I55">
        <v>12.7506551742553</v>
      </c>
    </row>
    <row r="56" spans="1:9" x14ac:dyDescent="0.2">
      <c r="A56" t="s">
        <v>268</v>
      </c>
      <c r="B56">
        <v>0.86429995298385598</v>
      </c>
      <c r="C56">
        <v>0.90119075775146396</v>
      </c>
      <c r="D56">
        <v>0.86218088865280096</v>
      </c>
      <c r="E56">
        <v>0.86218088865280096</v>
      </c>
      <c r="F56">
        <v>0.86482977867126398</v>
      </c>
      <c r="G56">
        <v>0.86136353015899603</v>
      </c>
      <c r="H56">
        <v>0.56932646036148005</v>
      </c>
      <c r="I56">
        <v>3.03840112686157</v>
      </c>
    </row>
    <row r="57" spans="1:9" x14ac:dyDescent="0.2">
      <c r="A57" t="s">
        <v>269</v>
      </c>
      <c r="B57">
        <v>0.75938892364501898</v>
      </c>
      <c r="C57">
        <v>0.748149514198303</v>
      </c>
      <c r="D57">
        <v>0.48895353078842102</v>
      </c>
      <c r="E57">
        <v>0.48895353078842102</v>
      </c>
      <c r="F57">
        <v>0.82699775695800704</v>
      </c>
      <c r="G57">
        <v>0.79680883884429898</v>
      </c>
      <c r="H57">
        <v>0.91468966007232599</v>
      </c>
      <c r="I57">
        <v>10.0771780014038</v>
      </c>
    </row>
    <row r="58" spans="1:9" x14ac:dyDescent="0.2">
      <c r="A58" t="s">
        <v>270</v>
      </c>
      <c r="B58">
        <v>0.80004400014877297</v>
      </c>
      <c r="C58">
        <v>0.80856013298034601</v>
      </c>
      <c r="D58">
        <v>0.67623698711395197</v>
      </c>
      <c r="E58">
        <v>0.67623698711395197</v>
      </c>
      <c r="F58">
        <v>0.83099567890167203</v>
      </c>
      <c r="G58">
        <v>0.79038500785827603</v>
      </c>
      <c r="H58">
        <v>0.85296833515167203</v>
      </c>
      <c r="I58">
        <v>6.9122037887573198</v>
      </c>
    </row>
    <row r="59" spans="1:9" x14ac:dyDescent="0.2">
      <c r="A59" t="s">
        <v>271</v>
      </c>
      <c r="B59">
        <v>0.76246285438537598</v>
      </c>
      <c r="C59">
        <v>0.73982626199722201</v>
      </c>
      <c r="D59">
        <v>0.38374283909797602</v>
      </c>
      <c r="E59">
        <v>0.38374283909797602</v>
      </c>
      <c r="F59">
        <v>0.85714286565780595</v>
      </c>
      <c r="G59">
        <v>0.81907409429550104</v>
      </c>
      <c r="H59">
        <v>0.816944360733032</v>
      </c>
      <c r="I59">
        <v>11.1406641006469</v>
      </c>
    </row>
    <row r="60" spans="1:9" x14ac:dyDescent="0.2">
      <c r="A60" t="s">
        <v>272</v>
      </c>
      <c r="B60">
        <v>0.79759711027145297</v>
      </c>
      <c r="C60">
        <v>0.786515712738037</v>
      </c>
      <c r="D60">
        <v>0.57279425859451205</v>
      </c>
      <c r="E60">
        <v>0.57279425859451205</v>
      </c>
      <c r="F60">
        <v>0.85379779338836603</v>
      </c>
      <c r="G60">
        <v>0.816592097282409</v>
      </c>
      <c r="H60">
        <v>0.82594257593154896</v>
      </c>
      <c r="I60">
        <v>8.3165054321288991</v>
      </c>
    </row>
    <row r="61" spans="1:9" x14ac:dyDescent="0.2">
      <c r="A61" t="s">
        <v>273</v>
      </c>
      <c r="B61">
        <v>0.77344059944152799</v>
      </c>
      <c r="C61">
        <v>0.74929922819137496</v>
      </c>
      <c r="D61">
        <v>0.43310651183128301</v>
      </c>
      <c r="E61">
        <v>0.43310651183128301</v>
      </c>
      <c r="F61">
        <v>0.85852414369583097</v>
      </c>
      <c r="G61">
        <v>0.82642859220504705</v>
      </c>
      <c r="H61">
        <v>0.84791499376296997</v>
      </c>
      <c r="I61">
        <v>11.1439085006713</v>
      </c>
    </row>
    <row r="62" spans="1:9" x14ac:dyDescent="0.2">
      <c r="A62" t="s">
        <v>274</v>
      </c>
      <c r="B62">
        <v>0.71886837482452304</v>
      </c>
      <c r="C62">
        <v>0.73499339818954401</v>
      </c>
      <c r="D62">
        <v>0.28083837032318099</v>
      </c>
      <c r="E62">
        <v>0.28083837032318099</v>
      </c>
      <c r="F62">
        <v>0.82837587594985895</v>
      </c>
      <c r="G62">
        <v>0.79332411289214999</v>
      </c>
      <c r="H62">
        <v>0.79131102561950595</v>
      </c>
      <c r="I62">
        <v>13.490683555603001</v>
      </c>
    </row>
    <row r="63" spans="1:9" x14ac:dyDescent="0.2">
      <c r="A63" t="s">
        <v>275</v>
      </c>
      <c r="B63">
        <v>0.73153275251388505</v>
      </c>
      <c r="C63">
        <v>0.70999592542648304</v>
      </c>
      <c r="D63">
        <v>0.278225898742675</v>
      </c>
      <c r="E63">
        <v>0.278225898742675</v>
      </c>
      <c r="F63">
        <v>0.84485942125320401</v>
      </c>
      <c r="G63">
        <v>0.81364399194717396</v>
      </c>
      <c r="H63">
        <v>0.85380309820175104</v>
      </c>
      <c r="I63">
        <v>13.841838836669901</v>
      </c>
    </row>
    <row r="64" spans="1:9" x14ac:dyDescent="0.2">
      <c r="A64" t="s">
        <v>276</v>
      </c>
      <c r="B64">
        <v>0.72696632146835305</v>
      </c>
      <c r="C64">
        <v>0.70655018091201705</v>
      </c>
      <c r="D64">
        <v>0.31178355216979903</v>
      </c>
      <c r="E64">
        <v>0.31178355216979903</v>
      </c>
      <c r="F64">
        <v>0.83076202869415205</v>
      </c>
      <c r="G64">
        <v>0.79719805717468195</v>
      </c>
      <c r="H64">
        <v>0.93948596715927102</v>
      </c>
      <c r="I64">
        <v>11.857697486877401</v>
      </c>
    </row>
    <row r="65" spans="1:9" x14ac:dyDescent="0.2">
      <c r="A65" t="s">
        <v>277</v>
      </c>
      <c r="B65">
        <v>0.70613622665405196</v>
      </c>
      <c r="C65">
        <v>0.71682369709014804</v>
      </c>
      <c r="D65">
        <v>0.26888716220855702</v>
      </c>
      <c r="E65">
        <v>0.26888716220855702</v>
      </c>
      <c r="F65">
        <v>0.81544852256774902</v>
      </c>
      <c r="G65">
        <v>0.77791416645050004</v>
      </c>
      <c r="H65">
        <v>0.82955586910247803</v>
      </c>
      <c r="I65">
        <v>12.853151321411101</v>
      </c>
    </row>
    <row r="66" spans="1:9" x14ac:dyDescent="0.2">
      <c r="A66" t="s">
        <v>278</v>
      </c>
      <c r="B66">
        <v>0.71692395210266102</v>
      </c>
      <c r="C66">
        <v>0.669012010097503</v>
      </c>
      <c r="D66">
        <v>0.24831774830818101</v>
      </c>
      <c r="E66">
        <v>0.24831774830818101</v>
      </c>
      <c r="F66">
        <v>0.83407551050186102</v>
      </c>
      <c r="G66">
        <v>0.82023727893829301</v>
      </c>
      <c r="H66">
        <v>1.05742740631103</v>
      </c>
      <c r="I66">
        <v>12.48544216156</v>
      </c>
    </row>
    <row r="67" spans="1:9" x14ac:dyDescent="0.2">
      <c r="A67" t="s">
        <v>279</v>
      </c>
      <c r="B67">
        <v>0.74469846487045199</v>
      </c>
      <c r="C67">
        <v>0.70431864261627197</v>
      </c>
      <c r="D67">
        <v>0.244236290454864</v>
      </c>
      <c r="E67">
        <v>0.244236290454864</v>
      </c>
      <c r="F67">
        <v>0.86981397867202703</v>
      </c>
      <c r="G67">
        <v>0.83591157197952204</v>
      </c>
      <c r="H67">
        <v>0.86993432044982899</v>
      </c>
      <c r="I67">
        <v>13.953497886657701</v>
      </c>
    </row>
    <row r="68" spans="1:9" x14ac:dyDescent="0.2">
      <c r="A68" t="s">
        <v>280</v>
      </c>
      <c r="B68">
        <v>0.76861661672592096</v>
      </c>
      <c r="C68">
        <v>0.75221478939056396</v>
      </c>
      <c r="D68">
        <v>0.43317946791648798</v>
      </c>
      <c r="E68">
        <v>0.43317946791648798</v>
      </c>
      <c r="F68">
        <v>0.85247588157653797</v>
      </c>
      <c r="G68">
        <v>0.82428741455078103</v>
      </c>
      <c r="H68">
        <v>0.83746469020843495</v>
      </c>
      <c r="I68">
        <v>11.923035621643001</v>
      </c>
    </row>
    <row r="69" spans="1:9" x14ac:dyDescent="0.2">
      <c r="A69" t="s">
        <v>281</v>
      </c>
      <c r="B69">
        <v>0.70206636190414395</v>
      </c>
      <c r="C69">
        <v>0.67553412914276101</v>
      </c>
      <c r="D69">
        <v>0.19825081527233099</v>
      </c>
      <c r="E69">
        <v>0.19825081527233099</v>
      </c>
      <c r="F69">
        <v>0.82802021503448398</v>
      </c>
      <c r="G69">
        <v>0.80878126621246305</v>
      </c>
      <c r="H69">
        <v>0.89026480913162198</v>
      </c>
      <c r="I69">
        <v>14.113053321838301</v>
      </c>
    </row>
    <row r="70" spans="1:9" x14ac:dyDescent="0.2">
      <c r="A70" t="s">
        <v>282</v>
      </c>
      <c r="B70">
        <v>0.71348303556442205</v>
      </c>
      <c r="C70">
        <v>0.68875372409820501</v>
      </c>
      <c r="D70">
        <v>0.205957606434822</v>
      </c>
      <c r="E70">
        <v>0.205957606434822</v>
      </c>
      <c r="F70">
        <v>0.84036439657211304</v>
      </c>
      <c r="G70">
        <v>0.81977885961532504</v>
      </c>
      <c r="H70">
        <v>0.84954559803009</v>
      </c>
      <c r="I70">
        <v>13.362995147705</v>
      </c>
    </row>
    <row r="71" spans="1:9" x14ac:dyDescent="0.2">
      <c r="A71" t="s">
        <v>283</v>
      </c>
      <c r="B71">
        <v>0.72945517301559404</v>
      </c>
      <c r="C71">
        <v>0.70287740230560303</v>
      </c>
      <c r="D71">
        <v>0.42076990008354098</v>
      </c>
      <c r="E71">
        <v>0.42076990008354098</v>
      </c>
      <c r="F71">
        <v>0.80662649869918801</v>
      </c>
      <c r="G71">
        <v>0.7605841755867</v>
      </c>
      <c r="H71">
        <v>1.15229952335357</v>
      </c>
      <c r="I71">
        <v>11.1410827636718</v>
      </c>
    </row>
    <row r="72" spans="1:9" x14ac:dyDescent="0.2">
      <c r="A72" t="s">
        <v>284</v>
      </c>
      <c r="B72">
        <v>0.73457700014114302</v>
      </c>
      <c r="C72">
        <v>0.70224601030349698</v>
      </c>
      <c r="D72">
        <v>0.30515050888061501</v>
      </c>
      <c r="E72">
        <v>0.30515050888061501</v>
      </c>
      <c r="F72">
        <v>0.84193360805511397</v>
      </c>
      <c r="G72">
        <v>0.82059240341186501</v>
      </c>
      <c r="H72">
        <v>0.92798155546188299</v>
      </c>
      <c r="I72">
        <v>12.5118770599365</v>
      </c>
    </row>
    <row r="73" spans="1:9" x14ac:dyDescent="0.2">
      <c r="A73" t="s">
        <v>285</v>
      </c>
      <c r="B73">
        <v>0.72749537229537897</v>
      </c>
      <c r="C73">
        <v>0.69153368473052901</v>
      </c>
      <c r="D73">
        <v>0.19796842336654599</v>
      </c>
      <c r="E73">
        <v>0.19796842336654599</v>
      </c>
      <c r="F73">
        <v>0.859877049922943</v>
      </c>
      <c r="G73">
        <v>0.83097869157791104</v>
      </c>
      <c r="H73">
        <v>0.85763162374496404</v>
      </c>
      <c r="I73">
        <v>14.309312820434499</v>
      </c>
    </row>
    <row r="74" spans="1:9" x14ac:dyDescent="0.2">
      <c r="A74" t="s">
        <v>286</v>
      </c>
      <c r="B74">
        <v>0.82884424924850397</v>
      </c>
      <c r="C74">
        <v>0.86191844940185502</v>
      </c>
      <c r="D74">
        <v>0.75442939996719305</v>
      </c>
      <c r="E74">
        <v>0.75442939996719305</v>
      </c>
      <c r="F74">
        <v>0.84744799137115401</v>
      </c>
      <c r="G74">
        <v>0.81499391794204701</v>
      </c>
      <c r="H74">
        <v>0.69433081150054898</v>
      </c>
      <c r="I74">
        <v>5.5618257522582999</v>
      </c>
    </row>
    <row r="75" spans="1:9" x14ac:dyDescent="0.2">
      <c r="A75" t="s">
        <v>287</v>
      </c>
      <c r="B75">
        <v>0.70093792676925604</v>
      </c>
      <c r="C75">
        <v>0.65446007251739502</v>
      </c>
      <c r="D75">
        <v>0.2033212184906</v>
      </c>
      <c r="E75">
        <v>0.2033212184906</v>
      </c>
      <c r="F75">
        <v>0.82534211874008101</v>
      </c>
      <c r="G75">
        <v>0.73009091615676802</v>
      </c>
      <c r="H75">
        <v>1.0646051168441699</v>
      </c>
      <c r="I75">
        <v>14.9545221328735</v>
      </c>
    </row>
    <row r="76" spans="1:9" x14ac:dyDescent="0.2">
      <c r="A76" t="s">
        <v>288</v>
      </c>
      <c r="B76">
        <v>0.81172293424606301</v>
      </c>
      <c r="C76">
        <v>0.810583055019378</v>
      </c>
      <c r="D76">
        <v>0.730232954025268</v>
      </c>
      <c r="E76">
        <v>0.730232954025268</v>
      </c>
      <c r="F76">
        <v>0.83209538459777799</v>
      </c>
      <c r="G76">
        <v>0.81253677606582597</v>
      </c>
      <c r="H76">
        <v>0.92476129531860296</v>
      </c>
      <c r="I76">
        <v>6.6527476310729901</v>
      </c>
    </row>
    <row r="77" spans="1:9" x14ac:dyDescent="0.2">
      <c r="A77" t="s">
        <v>289</v>
      </c>
      <c r="B77">
        <v>0.71299803256988503</v>
      </c>
      <c r="C77">
        <v>0.63289743661880404</v>
      </c>
      <c r="D77">
        <v>0.22196504473686199</v>
      </c>
      <c r="E77">
        <v>0.22196504473686199</v>
      </c>
      <c r="F77">
        <v>0.83575624227523804</v>
      </c>
      <c r="G77">
        <v>0.82350772619247403</v>
      </c>
      <c r="H77">
        <v>1.1779690980911199</v>
      </c>
      <c r="I77">
        <v>16.1624641418457</v>
      </c>
    </row>
    <row r="78" spans="1:9" x14ac:dyDescent="0.2">
      <c r="A78" t="s">
        <v>290</v>
      </c>
      <c r="B78">
        <v>0.80823439359664895</v>
      </c>
      <c r="C78">
        <v>0.87807840108871404</v>
      </c>
      <c r="D78">
        <v>0.75003641843795699</v>
      </c>
      <c r="E78">
        <v>0.75003641843795699</v>
      </c>
      <c r="F78">
        <v>0.82278388738632202</v>
      </c>
      <c r="G78">
        <v>0.73388606309890703</v>
      </c>
      <c r="H78">
        <v>0.58411651849746704</v>
      </c>
      <c r="I78">
        <v>4.0556945800781197</v>
      </c>
    </row>
    <row r="79" spans="1:9" x14ac:dyDescent="0.2">
      <c r="A79" t="s">
        <v>291</v>
      </c>
      <c r="B79">
        <v>0.73377269506454401</v>
      </c>
      <c r="C79">
        <v>0.66777896881103505</v>
      </c>
      <c r="D79">
        <v>0.27121332287788302</v>
      </c>
      <c r="E79">
        <v>0.27121332287788302</v>
      </c>
      <c r="F79">
        <v>0.849412500858306</v>
      </c>
      <c r="G79">
        <v>0.79196077585220304</v>
      </c>
      <c r="H79">
        <v>1.04450511932373</v>
      </c>
      <c r="I79">
        <v>14.462408065795801</v>
      </c>
    </row>
    <row r="80" spans="1:9" x14ac:dyDescent="0.2">
      <c r="A80" t="s">
        <v>292</v>
      </c>
      <c r="B80">
        <v>0.78169530630111606</v>
      </c>
      <c r="C80">
        <v>0.79637348651885898</v>
      </c>
      <c r="D80">
        <v>0.53594380617141701</v>
      </c>
      <c r="E80">
        <v>0.53594380617141701</v>
      </c>
      <c r="F80">
        <v>0.84313315153121904</v>
      </c>
      <c r="G80">
        <v>0.82892751693725497</v>
      </c>
      <c r="H80">
        <v>0.74284309148788397</v>
      </c>
      <c r="I80">
        <v>9.3898735046386701</v>
      </c>
    </row>
    <row r="81" spans="1:9" x14ac:dyDescent="0.2">
      <c r="A81" t="s">
        <v>341</v>
      </c>
      <c r="B81">
        <v>0.81210708618163996</v>
      </c>
      <c r="C81">
        <v>0.83514624834060602</v>
      </c>
      <c r="D81">
        <v>0.75890719890594405</v>
      </c>
      <c r="E81">
        <v>0.75890719890594405</v>
      </c>
      <c r="F81">
        <v>0.82540708780288696</v>
      </c>
      <c r="G81">
        <v>0.79147124290466297</v>
      </c>
      <c r="H81">
        <v>0.80327171087265004</v>
      </c>
      <c r="I81">
        <v>5.8953127861022896</v>
      </c>
    </row>
    <row r="82" spans="1:9" x14ac:dyDescent="0.2">
      <c r="A82" t="s">
        <v>369</v>
      </c>
      <c r="B82">
        <v>0.82090038061141901</v>
      </c>
      <c r="C82">
        <v>0.84540420770645097</v>
      </c>
      <c r="D82">
        <v>0.77803289890289296</v>
      </c>
      <c r="E82">
        <v>0.77803289890289296</v>
      </c>
      <c r="F82">
        <v>0.83161723613739003</v>
      </c>
      <c r="G82">
        <v>0.81838172674178999</v>
      </c>
      <c r="H82">
        <v>0.77496492862701405</v>
      </c>
      <c r="I82">
        <v>5.5212469100952104</v>
      </c>
    </row>
    <row r="83" spans="1:9" x14ac:dyDescent="0.2">
      <c r="A83" t="s">
        <v>385</v>
      </c>
      <c r="B83">
        <v>0.73433685302734297</v>
      </c>
      <c r="C83">
        <v>0.73113274574279696</v>
      </c>
      <c r="D83">
        <v>0.36615201830863903</v>
      </c>
      <c r="E83">
        <v>0.36615201830863903</v>
      </c>
      <c r="F83">
        <v>0.82638305425643899</v>
      </c>
      <c r="G83">
        <v>0.80606144666671697</v>
      </c>
      <c r="H83">
        <v>0.83417409658431996</v>
      </c>
      <c r="I83">
        <v>12.050909042358301</v>
      </c>
    </row>
    <row r="84" spans="1:9" x14ac:dyDescent="0.2">
      <c r="A84" t="s">
        <v>386</v>
      </c>
      <c r="B84">
        <v>0.71712881326675404</v>
      </c>
      <c r="C84">
        <v>0.70191681385040205</v>
      </c>
      <c r="D84">
        <v>0.22259272634982999</v>
      </c>
      <c r="E84">
        <v>0.22259272634982999</v>
      </c>
      <c r="F84">
        <v>0.84076279401779097</v>
      </c>
      <c r="G84">
        <v>0.80296820402145297</v>
      </c>
      <c r="H84">
        <v>0.88573908805847101</v>
      </c>
      <c r="I84">
        <v>14.431021690368601</v>
      </c>
    </row>
    <row r="85" spans="1:9" x14ac:dyDescent="0.2">
      <c r="A85" t="s">
        <v>387</v>
      </c>
      <c r="B85">
        <v>0.79639625549316395</v>
      </c>
      <c r="C85">
        <v>0.81068432331085205</v>
      </c>
      <c r="D85">
        <v>0.65832418203353804</v>
      </c>
      <c r="E85">
        <v>0.65832418203353804</v>
      </c>
      <c r="F85">
        <v>0.83091425895690896</v>
      </c>
      <c r="G85">
        <v>0.78497505187988204</v>
      </c>
      <c r="H85">
        <v>0.85042732954025202</v>
      </c>
      <c r="I85">
        <v>7.6826267242431596</v>
      </c>
    </row>
    <row r="86" spans="1:9" x14ac:dyDescent="0.2">
      <c r="A86" t="s">
        <v>392</v>
      </c>
      <c r="B86">
        <v>0.72115963697433405</v>
      </c>
      <c r="C86">
        <v>0.68695938587188698</v>
      </c>
      <c r="D86">
        <v>0.28087374567985501</v>
      </c>
      <c r="E86">
        <v>0.28087374567985501</v>
      </c>
      <c r="F86">
        <v>0.83123111724853505</v>
      </c>
      <c r="G86">
        <v>0.79307067394256503</v>
      </c>
      <c r="H86">
        <v>1.0428885221481301</v>
      </c>
      <c r="I86">
        <v>12.8500986099243</v>
      </c>
    </row>
    <row r="87" spans="1:9" x14ac:dyDescent="0.2">
      <c r="A87" t="s">
        <v>396</v>
      </c>
      <c r="B87">
        <v>0.76415592432022095</v>
      </c>
      <c r="C87">
        <v>0.75190752744674605</v>
      </c>
      <c r="D87">
        <v>0.41396194696426297</v>
      </c>
      <c r="E87">
        <v>0.41396194696426297</v>
      </c>
      <c r="F87">
        <v>0.85170441865920998</v>
      </c>
      <c r="G87">
        <v>0.82209676504135099</v>
      </c>
      <c r="H87">
        <v>0.786643266677856</v>
      </c>
      <c r="I87">
        <v>10.8350009918212</v>
      </c>
    </row>
    <row r="88" spans="1:9" x14ac:dyDescent="0.2">
      <c r="A88" t="s">
        <v>397</v>
      </c>
      <c r="B88">
        <v>0.749395251274108</v>
      </c>
      <c r="C88">
        <v>0.74046200513839699</v>
      </c>
      <c r="D88">
        <v>0.48639646172523499</v>
      </c>
      <c r="E88">
        <v>0.48639646172523499</v>
      </c>
      <c r="F88">
        <v>0.81514489650726296</v>
      </c>
      <c r="G88">
        <v>0.81336504220962502</v>
      </c>
      <c r="H88">
        <v>0.98773890733718805</v>
      </c>
      <c r="I88">
        <v>10.186743736266999</v>
      </c>
    </row>
    <row r="89" spans="1:9" x14ac:dyDescent="0.2">
      <c r="A89" t="s">
        <v>398</v>
      </c>
      <c r="B89">
        <v>0.79240101575851396</v>
      </c>
      <c r="C89">
        <v>0.82003980875015203</v>
      </c>
      <c r="D89">
        <v>0.62871503829955999</v>
      </c>
      <c r="E89">
        <v>0.62871503829955999</v>
      </c>
      <c r="F89">
        <v>0.83332252502441395</v>
      </c>
      <c r="G89">
        <v>0.82552576065063399</v>
      </c>
      <c r="H89">
        <v>0.72943764925002996</v>
      </c>
      <c r="I89">
        <v>7.2193336486816397</v>
      </c>
    </row>
    <row r="90" spans="1:9" x14ac:dyDescent="0.2">
      <c r="A90" t="s">
        <v>399</v>
      </c>
      <c r="B90">
        <v>0.786005139350891</v>
      </c>
      <c r="C90">
        <v>0.81860148906707697</v>
      </c>
      <c r="D90">
        <v>0.61594086885452204</v>
      </c>
      <c r="E90">
        <v>0.61594086885452204</v>
      </c>
      <c r="F90">
        <v>0.82852119207382202</v>
      </c>
      <c r="G90">
        <v>0.79125750064849798</v>
      </c>
      <c r="H90">
        <v>0.721479952335357</v>
      </c>
      <c r="I90">
        <v>7.2886576652526802</v>
      </c>
    </row>
    <row r="91" spans="1:9" x14ac:dyDescent="0.2">
      <c r="A91" t="s">
        <v>400</v>
      </c>
      <c r="B91">
        <v>0.72810649871826105</v>
      </c>
      <c r="C91">
        <v>0.71238267421722401</v>
      </c>
      <c r="D91">
        <v>0.31235763430595398</v>
      </c>
      <c r="E91">
        <v>0.31235763430595398</v>
      </c>
      <c r="F91">
        <v>0.83204370737075795</v>
      </c>
      <c r="G91">
        <v>0.79272371530532804</v>
      </c>
      <c r="H91">
        <v>0.89425551891326904</v>
      </c>
      <c r="I91">
        <v>12.487723350524901</v>
      </c>
    </row>
    <row r="92" spans="1:9" x14ac:dyDescent="0.2">
      <c r="A92" t="s">
        <v>401</v>
      </c>
      <c r="B92">
        <v>0.77725094556808405</v>
      </c>
      <c r="C92">
        <v>0.79209065437316895</v>
      </c>
      <c r="D92">
        <v>0.57966959476470903</v>
      </c>
      <c r="E92">
        <v>0.57966959476470903</v>
      </c>
      <c r="F92">
        <v>0.826646327972412</v>
      </c>
      <c r="G92">
        <v>0.81107836961746205</v>
      </c>
      <c r="H92">
        <v>0.76527369022369296</v>
      </c>
      <c r="I92">
        <v>8.05615139007568</v>
      </c>
    </row>
    <row r="93" spans="1:9" x14ac:dyDescent="0.2">
      <c r="A93" t="s">
        <v>402</v>
      </c>
      <c r="B93">
        <v>0.81871604919433505</v>
      </c>
      <c r="C93">
        <v>0.84053206443786599</v>
      </c>
      <c r="D93">
        <v>0.79449808597564697</v>
      </c>
      <c r="E93">
        <v>0.79449808597564697</v>
      </c>
      <c r="F93">
        <v>0.82477056980133001</v>
      </c>
      <c r="G93">
        <v>0.79059714078903198</v>
      </c>
      <c r="H93">
        <v>0.83833205699920599</v>
      </c>
      <c r="I93">
        <v>4.6003975868225098</v>
      </c>
    </row>
    <row r="94" spans="1:9" x14ac:dyDescent="0.2">
      <c r="A94" t="s">
        <v>403</v>
      </c>
      <c r="B94">
        <v>0.79241961240768399</v>
      </c>
      <c r="C94">
        <v>0.78115099668502797</v>
      </c>
      <c r="D94">
        <v>0.54547721147537198</v>
      </c>
      <c r="E94">
        <v>0.54547721147537198</v>
      </c>
      <c r="F94">
        <v>0.85415524244308405</v>
      </c>
      <c r="G94">
        <v>0.81289321184158303</v>
      </c>
      <c r="H94">
        <v>0.85130530595779397</v>
      </c>
      <c r="I94">
        <v>8.6898918151855398</v>
      </c>
    </row>
    <row r="95" spans="1:9" x14ac:dyDescent="0.2">
      <c r="A95" t="s">
        <v>404</v>
      </c>
      <c r="B95">
        <v>0.74043738842010498</v>
      </c>
      <c r="C95">
        <v>0.75205618143081598</v>
      </c>
      <c r="D95">
        <v>0.34116914868354797</v>
      </c>
      <c r="E95">
        <v>0.34116914868354797</v>
      </c>
      <c r="F95">
        <v>0.840254426002502</v>
      </c>
      <c r="G95">
        <v>0.81066763401031405</v>
      </c>
      <c r="H95">
        <v>0.75631743669509799</v>
      </c>
      <c r="I95">
        <v>12.8972854614257</v>
      </c>
    </row>
    <row r="96" spans="1:9" x14ac:dyDescent="0.2">
      <c r="A96" t="s">
        <v>405</v>
      </c>
      <c r="B96">
        <v>0.71825653314590399</v>
      </c>
      <c r="C96">
        <v>0.69676864147186202</v>
      </c>
      <c r="D96">
        <v>0.278604596853256</v>
      </c>
      <c r="E96">
        <v>0.278604596853256</v>
      </c>
      <c r="F96">
        <v>0.82816952466964699</v>
      </c>
      <c r="G96">
        <v>0.78538119792938199</v>
      </c>
      <c r="H96">
        <v>0.91777116060256902</v>
      </c>
      <c r="I96">
        <v>13.5496311187744</v>
      </c>
    </row>
    <row r="97" spans="1:9" x14ac:dyDescent="0.2">
      <c r="A97" t="s">
        <v>406</v>
      </c>
      <c r="B97">
        <v>0.70911997556686401</v>
      </c>
      <c r="C97">
        <v>0.68797069787979104</v>
      </c>
      <c r="D97">
        <v>0.211212277412414</v>
      </c>
      <c r="E97">
        <v>0.211212277412414</v>
      </c>
      <c r="F97">
        <v>0.83359694480895996</v>
      </c>
      <c r="G97">
        <v>0.75163239240646296</v>
      </c>
      <c r="H97">
        <v>0.87505358457565297</v>
      </c>
      <c r="I97">
        <v>14.686615943908601</v>
      </c>
    </row>
    <row r="98" spans="1:9" x14ac:dyDescent="0.2">
      <c r="A98" t="s">
        <v>407</v>
      </c>
      <c r="B98">
        <v>0.75111776590347201</v>
      </c>
      <c r="C98">
        <v>0.75019258260726895</v>
      </c>
      <c r="D98">
        <v>0.49598640203475902</v>
      </c>
      <c r="E98">
        <v>0.49598640203475902</v>
      </c>
      <c r="F98">
        <v>0.81490057706832797</v>
      </c>
      <c r="G98">
        <v>0.76845598220825195</v>
      </c>
      <c r="H98">
        <v>0.99144619703292802</v>
      </c>
      <c r="I98">
        <v>9.6393375396728498</v>
      </c>
    </row>
    <row r="99" spans="1:9" x14ac:dyDescent="0.2">
      <c r="A99" t="s">
        <v>408</v>
      </c>
      <c r="B99">
        <v>0.779854536056518</v>
      </c>
      <c r="C99">
        <v>0.82090455293655396</v>
      </c>
      <c r="D99">
        <v>0.56622630357742298</v>
      </c>
      <c r="E99">
        <v>0.56622630357742298</v>
      </c>
      <c r="F99">
        <v>0.83326160907745295</v>
      </c>
      <c r="G99">
        <v>0.77006602287292403</v>
      </c>
      <c r="H99">
        <v>0.69407820701599099</v>
      </c>
      <c r="I99">
        <v>8.9130048751831001</v>
      </c>
    </row>
    <row r="100" spans="1:9" x14ac:dyDescent="0.2">
      <c r="A100" t="s">
        <v>409</v>
      </c>
      <c r="B100">
        <v>0.72152489423751798</v>
      </c>
      <c r="C100">
        <v>0.74676287174224798</v>
      </c>
      <c r="D100">
        <v>0.288253903388977</v>
      </c>
      <c r="E100">
        <v>0.288253903388977</v>
      </c>
      <c r="F100">
        <v>0.82984268665313698</v>
      </c>
      <c r="G100">
        <v>0.78554725646972601</v>
      </c>
      <c r="H100">
        <v>0.68409556150436401</v>
      </c>
      <c r="I100">
        <v>12.073945045471101</v>
      </c>
    </row>
    <row r="101" spans="1:9" x14ac:dyDescent="0.2">
      <c r="A101" t="s">
        <v>410</v>
      </c>
      <c r="B101">
        <v>0.83610630035400302</v>
      </c>
      <c r="C101">
        <v>0.84268671274185103</v>
      </c>
      <c r="D101">
        <v>0.77078574895858698</v>
      </c>
      <c r="E101">
        <v>0.77078574895858698</v>
      </c>
      <c r="F101">
        <v>0.852436482906341</v>
      </c>
      <c r="G101">
        <v>0.81368064880371005</v>
      </c>
      <c r="H101">
        <v>0.76028227806091297</v>
      </c>
      <c r="I101">
        <v>4.7662644386291504</v>
      </c>
    </row>
    <row r="102" spans="1:9" x14ac:dyDescent="0.2">
      <c r="A102" t="s">
        <v>411</v>
      </c>
      <c r="B102">
        <v>0.76376408338546697</v>
      </c>
      <c r="C102">
        <v>0.76661968231201105</v>
      </c>
      <c r="D102">
        <v>0.51673424243927002</v>
      </c>
      <c r="E102">
        <v>0.51673424243927002</v>
      </c>
      <c r="F102">
        <v>0.82552158832550004</v>
      </c>
      <c r="G102">
        <v>0.80153703689575195</v>
      </c>
      <c r="H102">
        <v>0.90441364049911499</v>
      </c>
      <c r="I102">
        <v>9.7570371627807599</v>
      </c>
    </row>
    <row r="103" spans="1:9" x14ac:dyDescent="0.2">
      <c r="A103" t="s">
        <v>412</v>
      </c>
      <c r="B103">
        <v>0.78943318128585804</v>
      </c>
      <c r="C103">
        <v>0.82033276557922297</v>
      </c>
      <c r="D103">
        <v>0.62698274850845304</v>
      </c>
      <c r="E103">
        <v>0.62698274850845304</v>
      </c>
      <c r="F103">
        <v>0.83004581928253096</v>
      </c>
      <c r="G103">
        <v>0.80910909175872803</v>
      </c>
      <c r="H103">
        <v>0.70494288206100397</v>
      </c>
      <c r="I103">
        <v>7.4440569877624503</v>
      </c>
    </row>
    <row r="104" spans="1:9" x14ac:dyDescent="0.2">
      <c r="A104" t="s">
        <v>413</v>
      </c>
      <c r="B104">
        <v>0.72240173816680897</v>
      </c>
      <c r="C104">
        <v>0.63218688964843694</v>
      </c>
      <c r="D104">
        <v>0.20949113368988001</v>
      </c>
      <c r="E104">
        <v>0.20949113368988001</v>
      </c>
      <c r="F104">
        <v>0.85062938928604104</v>
      </c>
      <c r="G104">
        <v>0.84204000234603804</v>
      </c>
      <c r="H104">
        <v>1.14777100086212</v>
      </c>
      <c r="I104">
        <v>14.4387817382812</v>
      </c>
    </row>
    <row r="105" spans="1:9" x14ac:dyDescent="0.2">
      <c r="A105" t="s">
        <v>414</v>
      </c>
      <c r="B105">
        <v>0.767217457294464</v>
      </c>
      <c r="C105">
        <v>0.71494609117507901</v>
      </c>
      <c r="D105">
        <v>0.39725252985954201</v>
      </c>
      <c r="E105">
        <v>0.39725252985954201</v>
      </c>
      <c r="F105">
        <v>0.85970866680145197</v>
      </c>
      <c r="G105">
        <v>0.84026134014129605</v>
      </c>
      <c r="H105">
        <v>0.953052937984466</v>
      </c>
      <c r="I105">
        <v>11.245597839355399</v>
      </c>
    </row>
    <row r="106" spans="1:9" x14ac:dyDescent="0.2">
      <c r="A106" t="s">
        <v>415</v>
      </c>
      <c r="B106">
        <v>0.721283018589019</v>
      </c>
      <c r="C106">
        <v>0.66362553834915095</v>
      </c>
      <c r="D106">
        <v>0.230600506067276</v>
      </c>
      <c r="E106">
        <v>0.230600506067276</v>
      </c>
      <c r="F106">
        <v>0.84395360946655196</v>
      </c>
      <c r="G106">
        <v>0.83354997634887695</v>
      </c>
      <c r="H106">
        <v>0.99985742568969704</v>
      </c>
      <c r="I106">
        <v>14.0627422332763</v>
      </c>
    </row>
    <row r="107" spans="1:9" x14ac:dyDescent="0.2">
      <c r="A107" t="s">
        <v>416</v>
      </c>
      <c r="B107">
        <v>0.73096936941146795</v>
      </c>
      <c r="C107">
        <v>0.74537473917007402</v>
      </c>
      <c r="D107">
        <v>0.37800416350364602</v>
      </c>
      <c r="E107">
        <v>0.37800416350364602</v>
      </c>
      <c r="F107">
        <v>0.81921070814132602</v>
      </c>
      <c r="G107">
        <v>0.80444639921188299</v>
      </c>
      <c r="H107">
        <v>0.87489825487136796</v>
      </c>
      <c r="I107">
        <v>11.173556327819799</v>
      </c>
    </row>
    <row r="108" spans="1:9" x14ac:dyDescent="0.2">
      <c r="A108" t="s">
        <v>417</v>
      </c>
      <c r="B108">
        <v>0.78041160106658902</v>
      </c>
      <c r="C108">
        <v>0.74520838260650601</v>
      </c>
      <c r="D108">
        <v>0.57076883316039995</v>
      </c>
      <c r="E108">
        <v>0.57076883316039995</v>
      </c>
      <c r="F108">
        <v>0.83282226324081399</v>
      </c>
      <c r="G108">
        <v>0.78906017541885298</v>
      </c>
      <c r="H108">
        <v>1.08041560649871</v>
      </c>
      <c r="I108">
        <v>7.9751038551330504</v>
      </c>
    </row>
    <row r="109" spans="1:9" x14ac:dyDescent="0.2">
      <c r="A109" t="s">
        <v>418</v>
      </c>
      <c r="B109">
        <v>0.77070891857147195</v>
      </c>
      <c r="C109">
        <v>0.76713937520980802</v>
      </c>
      <c r="D109">
        <v>0.40833410620689298</v>
      </c>
      <c r="E109">
        <v>0.40833410620689298</v>
      </c>
      <c r="F109">
        <v>0.86130261421203602</v>
      </c>
      <c r="G109">
        <v>0.826896011829376</v>
      </c>
      <c r="H109">
        <v>0.74026834964752197</v>
      </c>
      <c r="I109">
        <v>11.4160385131835</v>
      </c>
    </row>
    <row r="110" spans="1:9" x14ac:dyDescent="0.2">
      <c r="A110" t="s">
        <v>419</v>
      </c>
      <c r="B110">
        <v>0.71997588872909501</v>
      </c>
      <c r="C110">
        <v>0.696913182735443</v>
      </c>
      <c r="D110">
        <v>0.397290289402008</v>
      </c>
      <c r="E110">
        <v>0.397290289402008</v>
      </c>
      <c r="F110">
        <v>0.80064731836318903</v>
      </c>
      <c r="G110">
        <v>0.76547110080718905</v>
      </c>
      <c r="H110">
        <v>1.2958672046661299</v>
      </c>
      <c r="I110">
        <v>11.995244979858301</v>
      </c>
    </row>
    <row r="111" spans="1:9" x14ac:dyDescent="0.2">
      <c r="A111" t="s">
        <v>420</v>
      </c>
      <c r="B111">
        <v>0.74002325534820501</v>
      </c>
      <c r="C111">
        <v>0.75268936157226496</v>
      </c>
      <c r="D111">
        <v>0.36876398324966397</v>
      </c>
      <c r="E111">
        <v>0.36876398324966397</v>
      </c>
      <c r="F111">
        <v>0.83283805847167902</v>
      </c>
      <c r="G111">
        <v>0.799707531929016</v>
      </c>
      <c r="H111">
        <v>0.75340634584426802</v>
      </c>
      <c r="I111">
        <v>10.554872512817299</v>
      </c>
    </row>
    <row r="112" spans="1:9" x14ac:dyDescent="0.2">
      <c r="A112" t="s">
        <v>421</v>
      </c>
      <c r="B112">
        <v>0.79256147146224898</v>
      </c>
      <c r="C112">
        <v>0.822518050670623</v>
      </c>
      <c r="D112">
        <v>0.63458091020584095</v>
      </c>
      <c r="E112">
        <v>0.63458091020584095</v>
      </c>
      <c r="F112">
        <v>0.83205658197402899</v>
      </c>
      <c r="G112">
        <v>0.78204882144927901</v>
      </c>
      <c r="H112">
        <v>0.74374306201934803</v>
      </c>
      <c r="I112">
        <v>7.2335095405578604</v>
      </c>
    </row>
    <row r="113" spans="1:9" x14ac:dyDescent="0.2">
      <c r="A113" t="s">
        <v>422</v>
      </c>
      <c r="B113">
        <v>0.71810537576675404</v>
      </c>
      <c r="C113">
        <v>0.68584656715393</v>
      </c>
      <c r="D113">
        <v>0.24534092843532501</v>
      </c>
      <c r="E113">
        <v>0.24534092843532501</v>
      </c>
      <c r="F113">
        <v>0.83629649877548196</v>
      </c>
      <c r="G113">
        <v>0.79109376668929998</v>
      </c>
      <c r="H113">
        <v>0.98202031850814797</v>
      </c>
      <c r="I113">
        <v>13.303198814391999</v>
      </c>
    </row>
    <row r="114" spans="1:9" x14ac:dyDescent="0.2">
      <c r="A114" t="s">
        <v>423</v>
      </c>
      <c r="B114">
        <v>0.74509519338607699</v>
      </c>
      <c r="C114">
        <v>0.72562342882156305</v>
      </c>
      <c r="D114">
        <v>0.31636154651641801</v>
      </c>
      <c r="E114">
        <v>0.31636154651641801</v>
      </c>
      <c r="F114">
        <v>0.85227853059768599</v>
      </c>
      <c r="G114">
        <v>0.812103390693664</v>
      </c>
      <c r="H114">
        <v>0.84381049871444702</v>
      </c>
      <c r="I114">
        <v>12.9715042114257</v>
      </c>
    </row>
    <row r="115" spans="1:9" x14ac:dyDescent="0.2">
      <c r="A115" t="s">
        <v>424</v>
      </c>
      <c r="B115">
        <v>0.71213692426681496</v>
      </c>
      <c r="C115">
        <v>0.72178685665130604</v>
      </c>
      <c r="D115">
        <v>0.21947076916694599</v>
      </c>
      <c r="E115">
        <v>0.21947076916694599</v>
      </c>
      <c r="F115">
        <v>0.83530348539352395</v>
      </c>
      <c r="G115">
        <v>0.82004129886627197</v>
      </c>
      <c r="H115">
        <v>0.70909553766250599</v>
      </c>
      <c r="I115">
        <v>14.4857921600341</v>
      </c>
    </row>
    <row r="116" spans="1:9" x14ac:dyDescent="0.2">
      <c r="A116" t="s">
        <v>425</v>
      </c>
      <c r="B116">
        <v>0.71568757295608498</v>
      </c>
      <c r="C116">
        <v>0.66132181882858199</v>
      </c>
      <c r="D116">
        <v>0.200769558548927</v>
      </c>
      <c r="E116">
        <v>0.200769558548927</v>
      </c>
      <c r="F116">
        <v>0.84441703557968095</v>
      </c>
      <c r="G116">
        <v>0.837890565395355</v>
      </c>
      <c r="H116">
        <v>1.04329526424407</v>
      </c>
      <c r="I116">
        <v>13.8152770996093</v>
      </c>
    </row>
    <row r="117" spans="1:9" x14ac:dyDescent="0.2">
      <c r="A117" t="s">
        <v>502</v>
      </c>
      <c r="B117">
        <v>0.78937637805938698</v>
      </c>
      <c r="C117">
        <v>0.83942067623138406</v>
      </c>
      <c r="D117">
        <v>0.664248347282409</v>
      </c>
      <c r="E117">
        <v>0.664248347282409</v>
      </c>
      <c r="F117">
        <v>0.82065832614898604</v>
      </c>
      <c r="G117">
        <v>0.81068068742751997</v>
      </c>
      <c r="H117">
        <v>0.69748079776763905</v>
      </c>
      <c r="I117">
        <v>7.0017962455749503</v>
      </c>
    </row>
    <row r="118" spans="1:9" x14ac:dyDescent="0.2">
      <c r="A118" t="s">
        <v>503</v>
      </c>
      <c r="B118">
        <v>0.82646465301513605</v>
      </c>
      <c r="C118">
        <v>0.87443292140960605</v>
      </c>
      <c r="D118">
        <v>0.72955793142318703</v>
      </c>
      <c r="E118">
        <v>0.72955793142318703</v>
      </c>
      <c r="F118">
        <v>0.850691378116607</v>
      </c>
      <c r="G118">
        <v>0.83457386493682795</v>
      </c>
      <c r="H118">
        <v>0.56405419111251798</v>
      </c>
      <c r="I118">
        <v>5.6460399627685502</v>
      </c>
    </row>
    <row r="119" spans="1:9" x14ac:dyDescent="0.2">
      <c r="A119" t="s">
        <v>516</v>
      </c>
      <c r="B119">
        <v>0.83560985326766901</v>
      </c>
      <c r="C119">
        <v>0.85957854986190796</v>
      </c>
      <c r="D119">
        <v>0.84052211046218805</v>
      </c>
      <c r="E119">
        <v>0.84052211046218805</v>
      </c>
      <c r="F119">
        <v>0.83438169956207198</v>
      </c>
      <c r="G119">
        <v>0.79167562723159701</v>
      </c>
      <c r="H119">
        <v>0.74015605449676503</v>
      </c>
      <c r="I119">
        <v>3.56844902038574</v>
      </c>
    </row>
    <row r="120" spans="1:9" x14ac:dyDescent="0.2">
      <c r="A120" t="s">
        <v>517</v>
      </c>
      <c r="B120">
        <v>0.71433460712432795</v>
      </c>
      <c r="C120">
        <v>0.67154979705810502</v>
      </c>
      <c r="D120">
        <v>0.21080246567726099</v>
      </c>
      <c r="E120">
        <v>0.21080246567726099</v>
      </c>
      <c r="F120">
        <v>0.84021759033203103</v>
      </c>
      <c r="G120">
        <v>0.79634165763854903</v>
      </c>
      <c r="H120">
        <v>0.92367690801620395</v>
      </c>
      <c r="I120">
        <v>14.379422187805099</v>
      </c>
    </row>
    <row r="121" spans="1:9" x14ac:dyDescent="0.2">
      <c r="A121" t="s">
        <v>518</v>
      </c>
      <c r="B121">
        <v>0.75519794225692705</v>
      </c>
      <c r="C121">
        <v>0.71855467557907104</v>
      </c>
      <c r="D121">
        <v>0.454442858695983</v>
      </c>
      <c r="E121">
        <v>0.454442858695983</v>
      </c>
      <c r="F121">
        <v>0.83038663864135698</v>
      </c>
      <c r="G121">
        <v>0.78302669525146396</v>
      </c>
      <c r="H121">
        <v>1.0658936500549301</v>
      </c>
      <c r="I121">
        <v>11.230988502502401</v>
      </c>
    </row>
    <row r="122" spans="1:9" x14ac:dyDescent="0.2">
      <c r="A122" t="s">
        <v>519</v>
      </c>
      <c r="B122">
        <v>0.71655642986297596</v>
      </c>
      <c r="C122">
        <v>0.70472043752670199</v>
      </c>
      <c r="D122">
        <v>0.19515937566757199</v>
      </c>
      <c r="E122">
        <v>0.19515937566757199</v>
      </c>
      <c r="F122">
        <v>0.84690564870834295</v>
      </c>
      <c r="G122">
        <v>0.80496048927307096</v>
      </c>
      <c r="H122">
        <v>0.78731387853622403</v>
      </c>
      <c r="I122">
        <v>14.509835243225</v>
      </c>
    </row>
    <row r="123" spans="1:9" x14ac:dyDescent="0.2">
      <c r="A123" t="s">
        <v>520</v>
      </c>
      <c r="B123">
        <v>0.78452199697494496</v>
      </c>
      <c r="C123">
        <v>0.78970319032669001</v>
      </c>
      <c r="D123">
        <v>0.535611271858215</v>
      </c>
      <c r="E123">
        <v>0.535611271858215</v>
      </c>
      <c r="F123">
        <v>0.84674966335296598</v>
      </c>
      <c r="G123">
        <v>0.81397503614425604</v>
      </c>
      <c r="H123">
        <v>0.703949034214019</v>
      </c>
      <c r="I123">
        <v>9.1191816329956001</v>
      </c>
    </row>
    <row r="124" spans="1:9" x14ac:dyDescent="0.2">
      <c r="A124" t="s">
        <v>521</v>
      </c>
      <c r="B124">
        <v>0.77355569601058904</v>
      </c>
      <c r="C124">
        <v>0.75580364465713501</v>
      </c>
      <c r="D124">
        <v>0.495351612567901</v>
      </c>
      <c r="E124">
        <v>0.495351612567901</v>
      </c>
      <c r="F124">
        <v>0.84310674667358398</v>
      </c>
      <c r="G124">
        <v>0.80826032161712602</v>
      </c>
      <c r="H124">
        <v>0.87484389543533303</v>
      </c>
      <c r="I124">
        <v>10.907122611999499</v>
      </c>
    </row>
    <row r="125" spans="1:9" x14ac:dyDescent="0.2">
      <c r="A125" t="s">
        <v>522</v>
      </c>
      <c r="B125">
        <v>0.72720724344253496</v>
      </c>
      <c r="C125">
        <v>0.71108686923980702</v>
      </c>
      <c r="D125">
        <v>0.27160122990608199</v>
      </c>
      <c r="E125">
        <v>0.27160122990608199</v>
      </c>
      <c r="F125">
        <v>0.841108739376068</v>
      </c>
      <c r="G125">
        <v>0.81637924909591597</v>
      </c>
      <c r="H125">
        <v>0.77395451068878096</v>
      </c>
      <c r="I125">
        <v>12.9101915359497</v>
      </c>
    </row>
    <row r="126" spans="1:9" x14ac:dyDescent="0.2">
      <c r="A126" t="s">
        <v>523</v>
      </c>
      <c r="B126">
        <v>0.80198711156845004</v>
      </c>
      <c r="C126">
        <v>0.79239612817764205</v>
      </c>
      <c r="D126">
        <v>0.64652889966964699</v>
      </c>
      <c r="E126">
        <v>0.64652889966964699</v>
      </c>
      <c r="F126">
        <v>0.84085166454315097</v>
      </c>
      <c r="G126">
        <v>0.802218437194824</v>
      </c>
      <c r="H126">
        <v>0.83422380685806197</v>
      </c>
      <c r="I126">
        <v>7.1636967658996502</v>
      </c>
    </row>
    <row r="127" spans="1:9" x14ac:dyDescent="0.2">
      <c r="A127" t="s">
        <v>524</v>
      </c>
      <c r="B127">
        <v>0.75954598188400202</v>
      </c>
      <c r="C127">
        <v>0.75134211778640703</v>
      </c>
      <c r="D127">
        <v>0.43351700901985102</v>
      </c>
      <c r="E127">
        <v>0.43351700901985102</v>
      </c>
      <c r="F127">
        <v>0.841053247451782</v>
      </c>
      <c r="G127">
        <v>0.80944311618804898</v>
      </c>
      <c r="H127">
        <v>0.80755263566970803</v>
      </c>
      <c r="I127">
        <v>10.167578697204499</v>
      </c>
    </row>
    <row r="128" spans="1:9" x14ac:dyDescent="0.2">
      <c r="A128" t="s">
        <v>525</v>
      </c>
      <c r="B128">
        <v>0.73572558164596502</v>
      </c>
      <c r="C128">
        <v>0.73683083057403498</v>
      </c>
      <c r="D128">
        <v>0.34033665060996998</v>
      </c>
      <c r="E128">
        <v>0.34033665060996998</v>
      </c>
      <c r="F128">
        <v>0.83457279205322199</v>
      </c>
      <c r="G128">
        <v>0.790602326393127</v>
      </c>
      <c r="H128">
        <v>0.77889358997344904</v>
      </c>
      <c r="I128">
        <v>12.2286977767944</v>
      </c>
    </row>
    <row r="129" spans="1:9" x14ac:dyDescent="0.2">
      <c r="A129" t="s">
        <v>547</v>
      </c>
      <c r="B129">
        <v>0.79436051845550504</v>
      </c>
      <c r="C129">
        <v>0.81828862428665095</v>
      </c>
      <c r="D129">
        <v>0.56450778245925903</v>
      </c>
      <c r="E129">
        <v>0.56450778245925903</v>
      </c>
      <c r="F129">
        <v>0.85182368755340498</v>
      </c>
      <c r="G129">
        <v>0.80119502544402998</v>
      </c>
      <c r="H129">
        <v>0.68850249052047696</v>
      </c>
      <c r="I129">
        <v>8.6329803466796804</v>
      </c>
    </row>
    <row r="130" spans="1:9" x14ac:dyDescent="0.2">
      <c r="A130" t="s">
        <v>548</v>
      </c>
      <c r="B130">
        <v>0.70296609401702803</v>
      </c>
      <c r="C130">
        <v>0.672085762023925</v>
      </c>
      <c r="D130">
        <v>0.17913195490837</v>
      </c>
      <c r="E130">
        <v>0.17913195490837</v>
      </c>
      <c r="F130">
        <v>0.83392459154128995</v>
      </c>
      <c r="G130">
        <v>0.81068247556686401</v>
      </c>
      <c r="H130">
        <v>0.93259984254837003</v>
      </c>
      <c r="I130">
        <v>14.548133850097599</v>
      </c>
    </row>
    <row r="131" spans="1:9" x14ac:dyDescent="0.2">
      <c r="A131" t="s">
        <v>549</v>
      </c>
      <c r="B131">
        <v>0.74186962842941195</v>
      </c>
      <c r="C131">
        <v>0.73662400245666504</v>
      </c>
      <c r="D131">
        <v>0.29104861617088301</v>
      </c>
      <c r="E131">
        <v>0.29104861617088301</v>
      </c>
      <c r="F131">
        <v>0.85457491874694802</v>
      </c>
      <c r="G131">
        <v>0.83090883493423395</v>
      </c>
      <c r="H131">
        <v>0.75367861986160201</v>
      </c>
      <c r="I131">
        <v>12.8886919021606</v>
      </c>
    </row>
    <row r="132" spans="1:9" x14ac:dyDescent="0.2">
      <c r="A132" t="s">
        <v>550</v>
      </c>
      <c r="B132">
        <v>0.70525974035262995</v>
      </c>
      <c r="C132">
        <v>0.67760831117630005</v>
      </c>
      <c r="D132">
        <v>0.20943990349769501</v>
      </c>
      <c r="E132">
        <v>0.20943990349769501</v>
      </c>
      <c r="F132">
        <v>0.82921463251113803</v>
      </c>
      <c r="G132">
        <v>0.80891424417495705</v>
      </c>
      <c r="H132">
        <v>0.93796718120574896</v>
      </c>
      <c r="I132">
        <v>13.723660469055099</v>
      </c>
    </row>
    <row r="133" spans="1:9" x14ac:dyDescent="0.2">
      <c r="A133" t="s">
        <v>551</v>
      </c>
      <c r="B133">
        <v>0.80347061157226496</v>
      </c>
      <c r="C133">
        <v>0.80294471979141202</v>
      </c>
      <c r="D133">
        <v>0.58467054367065396</v>
      </c>
      <c r="E133">
        <v>0.58467054367065396</v>
      </c>
      <c r="F133">
        <v>0.85817056894302302</v>
      </c>
      <c r="G133">
        <v>0.82014495134353604</v>
      </c>
      <c r="H133">
        <v>0.61812567710876398</v>
      </c>
      <c r="I133">
        <v>6.8296470642089799</v>
      </c>
    </row>
    <row r="134" spans="1:9" x14ac:dyDescent="0.2">
      <c r="A134" t="s">
        <v>552</v>
      </c>
      <c r="B134">
        <v>0.80357545614242498</v>
      </c>
      <c r="C134">
        <v>0.82835853099822998</v>
      </c>
      <c r="D134">
        <v>0.68111813068389804</v>
      </c>
      <c r="E134">
        <v>0.68111813068389804</v>
      </c>
      <c r="F134">
        <v>0.834189713001251</v>
      </c>
      <c r="G134">
        <v>0.80889213085174505</v>
      </c>
      <c r="H134">
        <v>0.76853555440902699</v>
      </c>
      <c r="I134">
        <v>6.6489887237548801</v>
      </c>
    </row>
    <row r="135" spans="1:9" x14ac:dyDescent="0.2">
      <c r="A135" t="s">
        <v>553</v>
      </c>
      <c r="B135">
        <v>0.82551956176757801</v>
      </c>
      <c r="C135">
        <v>0.87054270505905096</v>
      </c>
      <c r="D135">
        <v>0.78193420171737604</v>
      </c>
      <c r="E135">
        <v>0.78193420171737604</v>
      </c>
      <c r="F135">
        <v>0.83641588687896695</v>
      </c>
      <c r="G135">
        <v>0.80596995353698697</v>
      </c>
      <c r="H135">
        <v>0.641759812831878</v>
      </c>
      <c r="I135">
        <v>5.0937461853027299</v>
      </c>
    </row>
    <row r="136" spans="1:9" x14ac:dyDescent="0.2">
      <c r="A136" t="s">
        <v>554</v>
      </c>
      <c r="B136">
        <v>0.73580157756805398</v>
      </c>
      <c r="C136">
        <v>0.725560903549194</v>
      </c>
      <c r="D136">
        <v>0.38343691825866699</v>
      </c>
      <c r="E136">
        <v>0.38343691825866699</v>
      </c>
      <c r="F136">
        <v>0.82389271259307795</v>
      </c>
      <c r="G136">
        <v>0.81873130798339799</v>
      </c>
      <c r="H136">
        <v>0.92948979139328003</v>
      </c>
      <c r="I136">
        <v>11.6769561767578</v>
      </c>
    </row>
    <row r="137" spans="1:9" x14ac:dyDescent="0.2">
      <c r="A137" t="s">
        <v>555</v>
      </c>
      <c r="B137">
        <v>0.720031678676605</v>
      </c>
      <c r="C137">
        <v>0.69541478157043402</v>
      </c>
      <c r="D137">
        <v>0.236669972538948</v>
      </c>
      <c r="E137">
        <v>0.236669972538948</v>
      </c>
      <c r="F137">
        <v>0.84087210893630904</v>
      </c>
      <c r="G137">
        <v>0.804834604263305</v>
      </c>
      <c r="H137">
        <v>0.91602802276611295</v>
      </c>
      <c r="I137">
        <v>13.8097877502441</v>
      </c>
    </row>
    <row r="138" spans="1:9" x14ac:dyDescent="0.2">
      <c r="A138" t="s">
        <v>556</v>
      </c>
      <c r="B138">
        <v>0.71612870693206698</v>
      </c>
      <c r="C138">
        <v>0.68300414085388095</v>
      </c>
      <c r="D138">
        <v>0.25732201337814298</v>
      </c>
      <c r="E138">
        <v>0.25732201337814298</v>
      </c>
      <c r="F138">
        <v>0.83083033561706499</v>
      </c>
      <c r="G138">
        <v>0.761771440505981</v>
      </c>
      <c r="H138">
        <v>0.99736374616622903</v>
      </c>
      <c r="I138">
        <v>13.144868850708001</v>
      </c>
    </row>
    <row r="139" spans="1:9" x14ac:dyDescent="0.2">
      <c r="A139" t="s">
        <v>576</v>
      </c>
      <c r="B139">
        <v>0.69552010297775202</v>
      </c>
      <c r="C139">
        <v>0.65828549861907903</v>
      </c>
      <c r="D139">
        <v>0.21334934234619099</v>
      </c>
      <c r="E139">
        <v>0.21334934234619099</v>
      </c>
      <c r="F139">
        <v>0.81606274843215898</v>
      </c>
      <c r="G139">
        <v>0.78895682096481301</v>
      </c>
      <c r="H139">
        <v>1.0385664701461701</v>
      </c>
      <c r="I139">
        <v>13.6756143569946</v>
      </c>
    </row>
    <row r="140" spans="1:9" x14ac:dyDescent="0.2">
      <c r="A140" t="s">
        <v>577</v>
      </c>
      <c r="B140">
        <v>0.72639864683151201</v>
      </c>
      <c r="C140">
        <v>0.68732166290283203</v>
      </c>
      <c r="D140">
        <v>0.27729952335357599</v>
      </c>
      <c r="E140">
        <v>0.27729952335357599</v>
      </c>
      <c r="F140">
        <v>0.83867347240447998</v>
      </c>
      <c r="G140">
        <v>0.81173503398895197</v>
      </c>
      <c r="H140">
        <v>0.96287810802459695</v>
      </c>
      <c r="I140">
        <v>12.564104080200099</v>
      </c>
    </row>
    <row r="141" spans="1:9" x14ac:dyDescent="0.2">
      <c r="A141" t="s">
        <v>578</v>
      </c>
      <c r="B141">
        <v>0.70105051994323697</v>
      </c>
      <c r="C141">
        <v>0.63699173927307096</v>
      </c>
      <c r="D141">
        <v>0.182930082082748</v>
      </c>
      <c r="E141">
        <v>0.182930082082748</v>
      </c>
      <c r="F141">
        <v>0.83058065176010099</v>
      </c>
      <c r="G141">
        <v>0.75934463739395097</v>
      </c>
      <c r="H141">
        <v>1.10712349414825</v>
      </c>
      <c r="I141">
        <v>14.9578399658203</v>
      </c>
    </row>
    <row r="142" spans="1:9" x14ac:dyDescent="0.2">
      <c r="A142" t="s">
        <v>579</v>
      </c>
      <c r="B142">
        <v>0.800112724304199</v>
      </c>
      <c r="C142">
        <v>0.82682204246520996</v>
      </c>
      <c r="D142">
        <v>0.76066279411315896</v>
      </c>
      <c r="E142">
        <v>0.76066279411315896</v>
      </c>
      <c r="F142">
        <v>0.80997514724731401</v>
      </c>
      <c r="G142">
        <v>0.79178446531295699</v>
      </c>
      <c r="H142">
        <v>0.90077972412109297</v>
      </c>
      <c r="I142">
        <v>5.2763209342956499</v>
      </c>
    </row>
    <row r="143" spans="1:9" x14ac:dyDescent="0.2">
      <c r="A143" t="s">
        <v>580</v>
      </c>
      <c r="B143">
        <v>0.73297315835952703</v>
      </c>
      <c r="C143">
        <v>0.72747671604156405</v>
      </c>
      <c r="D143">
        <v>0.362576454877853</v>
      </c>
      <c r="E143">
        <v>0.362576454877853</v>
      </c>
      <c r="F143">
        <v>0.82557231187820401</v>
      </c>
      <c r="G143">
        <v>0.81563252210616999</v>
      </c>
      <c r="H143">
        <v>0.87090581655502297</v>
      </c>
      <c r="I143">
        <v>11.607232093811</v>
      </c>
    </row>
    <row r="144" spans="1:9" x14ac:dyDescent="0.2">
      <c r="A144" t="s">
        <v>581</v>
      </c>
      <c r="B144">
        <v>0.70896476507186801</v>
      </c>
      <c r="C144">
        <v>0.65510284900665205</v>
      </c>
      <c r="D144">
        <v>0.193720161914825</v>
      </c>
      <c r="E144">
        <v>0.193720161914825</v>
      </c>
      <c r="F144">
        <v>0.83777588605880704</v>
      </c>
      <c r="G144">
        <v>0.80783700942993097</v>
      </c>
      <c r="H144">
        <v>1.06902480125427</v>
      </c>
      <c r="I144">
        <v>14.0087270736694</v>
      </c>
    </row>
    <row r="145" spans="1:9" x14ac:dyDescent="0.2">
      <c r="A145" t="s">
        <v>582</v>
      </c>
      <c r="B145">
        <v>0.79194676876068104</v>
      </c>
      <c r="C145">
        <v>0.80164784193038896</v>
      </c>
      <c r="D145">
        <v>0.56874686479568404</v>
      </c>
      <c r="E145">
        <v>0.56874686479568404</v>
      </c>
      <c r="F145">
        <v>0.84774672985076904</v>
      </c>
      <c r="G145">
        <v>0.82495528459548895</v>
      </c>
      <c r="H145">
        <v>0.75645613670349099</v>
      </c>
      <c r="I145">
        <v>8.2594890594482404</v>
      </c>
    </row>
    <row r="146" spans="1:9" x14ac:dyDescent="0.2">
      <c r="A146" t="s">
        <v>583</v>
      </c>
      <c r="B146">
        <v>0.76037734746932895</v>
      </c>
      <c r="C146">
        <v>0.78393208980560303</v>
      </c>
      <c r="D146">
        <v>0.49629881978034901</v>
      </c>
      <c r="E146">
        <v>0.49629881978034901</v>
      </c>
      <c r="F146">
        <v>0.82639700174331598</v>
      </c>
      <c r="G146">
        <v>0.79958063364028897</v>
      </c>
      <c r="H146">
        <v>0.77538752555847101</v>
      </c>
      <c r="I146">
        <v>9.2541999816894496</v>
      </c>
    </row>
    <row r="147" spans="1:9" x14ac:dyDescent="0.2">
      <c r="A147" t="s">
        <v>584</v>
      </c>
      <c r="B147">
        <v>0.68903094530105502</v>
      </c>
      <c r="C147">
        <v>0.65038526058196999</v>
      </c>
      <c r="D147">
        <v>0.189495429396629</v>
      </c>
      <c r="E147">
        <v>0.189495429396629</v>
      </c>
      <c r="F147">
        <v>0.813914835453033</v>
      </c>
      <c r="G147">
        <v>0.78941869735717696</v>
      </c>
      <c r="H147">
        <v>1.10455977916717</v>
      </c>
      <c r="I147">
        <v>13.8796081542968</v>
      </c>
    </row>
    <row r="148" spans="1:9" x14ac:dyDescent="0.2">
      <c r="A148" t="s">
        <v>585</v>
      </c>
      <c r="B148">
        <v>0.757804155349731</v>
      </c>
      <c r="C148">
        <v>0.80242347717285101</v>
      </c>
      <c r="D148">
        <v>0.565299212932586</v>
      </c>
      <c r="E148">
        <v>0.565299212932586</v>
      </c>
      <c r="F148">
        <v>0.805930376052856</v>
      </c>
      <c r="G148">
        <v>0.77672624588012695</v>
      </c>
      <c r="H148">
        <v>0.75126773118972701</v>
      </c>
      <c r="I148">
        <v>7.9347805976867596</v>
      </c>
    </row>
    <row r="149" spans="1:9" x14ac:dyDescent="0.2">
      <c r="A149" t="s">
        <v>612</v>
      </c>
      <c r="B149">
        <v>0.71853727102279596</v>
      </c>
      <c r="C149">
        <v>0.74068492650985696</v>
      </c>
      <c r="D149">
        <v>0.38517248630523598</v>
      </c>
      <c r="E149">
        <v>0.38517248630523598</v>
      </c>
      <c r="F149">
        <v>0.80187845230102495</v>
      </c>
      <c r="G149">
        <v>0.78712987899780196</v>
      </c>
      <c r="H149">
        <v>0.85157459974288896</v>
      </c>
      <c r="I149">
        <v>13.5240983963012</v>
      </c>
    </row>
    <row r="150" spans="1:9" x14ac:dyDescent="0.2">
      <c r="A150" t="s">
        <v>613</v>
      </c>
      <c r="B150">
        <v>0.73691695928573597</v>
      </c>
      <c r="C150">
        <v>0.71317148208618097</v>
      </c>
      <c r="D150">
        <v>0.26376834511756803</v>
      </c>
      <c r="E150">
        <v>0.26376834511756803</v>
      </c>
      <c r="F150">
        <v>0.85520410537719704</v>
      </c>
      <c r="G150">
        <v>0.81489288806915205</v>
      </c>
      <c r="H150">
        <v>0.84681475162506104</v>
      </c>
      <c r="I150">
        <v>12.7340383529663</v>
      </c>
    </row>
    <row r="151" spans="1:9" x14ac:dyDescent="0.2">
      <c r="A151" t="s">
        <v>614</v>
      </c>
      <c r="B151">
        <v>0.73745316267013505</v>
      </c>
      <c r="C151">
        <v>0.72403115034103305</v>
      </c>
      <c r="D151">
        <v>0.362391978502273</v>
      </c>
      <c r="E151">
        <v>0.362391978502273</v>
      </c>
      <c r="F151">
        <v>0.831218481063842</v>
      </c>
      <c r="G151">
        <v>0.79082256555557195</v>
      </c>
      <c r="H151">
        <v>0.92683023214340199</v>
      </c>
      <c r="I151">
        <v>12.021002769470201</v>
      </c>
    </row>
    <row r="152" spans="1:9" x14ac:dyDescent="0.2">
      <c r="A152" t="s">
        <v>615</v>
      </c>
      <c r="B152">
        <v>0.75604391098022405</v>
      </c>
      <c r="C152">
        <v>0.72947239875793402</v>
      </c>
      <c r="D152">
        <v>0.38337430357933</v>
      </c>
      <c r="E152">
        <v>0.38337430357933</v>
      </c>
      <c r="F152">
        <v>0.84921133518218905</v>
      </c>
      <c r="G152">
        <v>0.82486838102340698</v>
      </c>
      <c r="H152">
        <v>0.94309967756271296</v>
      </c>
      <c r="I152">
        <v>11.7257280349731</v>
      </c>
    </row>
    <row r="153" spans="1:9" x14ac:dyDescent="0.2">
      <c r="A153" t="s">
        <v>616</v>
      </c>
      <c r="B153">
        <v>0.75792855024337702</v>
      </c>
      <c r="C153">
        <v>0.79527586698532104</v>
      </c>
      <c r="D153">
        <v>0.59947168827056796</v>
      </c>
      <c r="E153">
        <v>0.59947168827056796</v>
      </c>
      <c r="F153">
        <v>0.79754281044006303</v>
      </c>
      <c r="G153">
        <v>0.68949168920516901</v>
      </c>
      <c r="H153">
        <v>0.80841970443725497</v>
      </c>
      <c r="I153">
        <v>7.7654728889465297</v>
      </c>
    </row>
    <row r="154" spans="1:9" x14ac:dyDescent="0.2">
      <c r="A154" t="s">
        <v>617</v>
      </c>
      <c r="B154">
        <v>0.72037476301193204</v>
      </c>
      <c r="C154">
        <v>0.68701028823852495</v>
      </c>
      <c r="D154">
        <v>0.31653863191604598</v>
      </c>
      <c r="E154">
        <v>0.31653863191604598</v>
      </c>
      <c r="F154">
        <v>0.82133376598358099</v>
      </c>
      <c r="G154">
        <v>0.806826591491699</v>
      </c>
      <c r="H154">
        <v>1.0649498701095499</v>
      </c>
      <c r="I154">
        <v>13.415326118469199</v>
      </c>
    </row>
    <row r="155" spans="1:9" x14ac:dyDescent="0.2">
      <c r="A155" t="s">
        <v>618</v>
      </c>
      <c r="B155">
        <v>0.81731539964675903</v>
      </c>
      <c r="C155">
        <v>0.84689223766326904</v>
      </c>
      <c r="D155">
        <v>0.73945516347885099</v>
      </c>
      <c r="E155">
        <v>0.73945516347885099</v>
      </c>
      <c r="F155">
        <v>0.83678042888641302</v>
      </c>
      <c r="G155">
        <v>0.80131280422210605</v>
      </c>
      <c r="H155">
        <v>0.76881927251815796</v>
      </c>
      <c r="I155">
        <v>6.8906059265136701</v>
      </c>
    </row>
    <row r="156" spans="1:9" x14ac:dyDescent="0.2">
      <c r="A156" t="s">
        <v>619</v>
      </c>
      <c r="B156">
        <v>0.70845764875411898</v>
      </c>
      <c r="C156">
        <v>0.734000563621521</v>
      </c>
      <c r="D156">
        <v>0.295128613710403</v>
      </c>
      <c r="E156">
        <v>0.295128613710403</v>
      </c>
      <c r="F156">
        <v>0.81178992986678999</v>
      </c>
      <c r="G156">
        <v>0.73866736888885498</v>
      </c>
      <c r="H156">
        <v>0.80577433109283403</v>
      </c>
      <c r="I156">
        <v>11.715262413024901</v>
      </c>
    </row>
    <row r="157" spans="1:9" x14ac:dyDescent="0.2">
      <c r="A157" t="s">
        <v>620</v>
      </c>
      <c r="B157">
        <v>0.74368494749069203</v>
      </c>
      <c r="C157">
        <v>0.71222025156021096</v>
      </c>
      <c r="D157">
        <v>0.39454525709152199</v>
      </c>
      <c r="E157">
        <v>0.39454525709152199</v>
      </c>
      <c r="F157">
        <v>0.83096981048583896</v>
      </c>
      <c r="G157">
        <v>0.78156054019927901</v>
      </c>
      <c r="H157">
        <v>1.0040640830993599</v>
      </c>
      <c r="I157">
        <v>10.774791717529199</v>
      </c>
    </row>
    <row r="158" spans="1:9" x14ac:dyDescent="0.2">
      <c r="A158" t="s">
        <v>621</v>
      </c>
      <c r="B158">
        <v>0.78154224157333296</v>
      </c>
      <c r="C158">
        <v>0.74598449468612604</v>
      </c>
      <c r="D158">
        <v>0.59605312347412098</v>
      </c>
      <c r="E158">
        <v>0.59605312347412098</v>
      </c>
      <c r="F158">
        <v>0.82791453599929798</v>
      </c>
      <c r="G158">
        <v>0.70247340202331499</v>
      </c>
      <c r="H158">
        <v>0.88019502162933305</v>
      </c>
      <c r="I158">
        <v>7.2487998008728001</v>
      </c>
    </row>
    <row r="159" spans="1:9" x14ac:dyDescent="0.2">
      <c r="A159" t="s">
        <v>654</v>
      </c>
      <c r="B159">
        <v>0.80873060226440396</v>
      </c>
      <c r="C159">
        <v>0.831445932388305</v>
      </c>
      <c r="D159">
        <v>0.74269074201583796</v>
      </c>
      <c r="E159">
        <v>0.74269074201583796</v>
      </c>
      <c r="F159">
        <v>0.82524061203002896</v>
      </c>
      <c r="G159">
        <v>0.80352097749710005</v>
      </c>
      <c r="H159">
        <v>0.81778496503829901</v>
      </c>
      <c r="I159">
        <v>5.8206925392150799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Antibody Candidates</vt:lpstr>
      <vt:lpstr>Antigens</vt:lpstr>
      <vt:lpstr>Reference Antibodies</vt:lpstr>
      <vt:lpstr>Notes</vt:lpstr>
      <vt:lpstr>FASTA Generation</vt:lpstr>
      <vt:lpstr>HADDOCK3 Scores</vt:lpstr>
      <vt:lpstr>Boltz-2 Scores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Colby Ford</dc:creator>
  <dc:description/>
  <cp:lastModifiedBy>Colby Ford</cp:lastModifiedBy>
  <cp:revision>1</cp:revision>
  <dcterms:created xsi:type="dcterms:W3CDTF">2025-10-28T14:23:07Z</dcterms:created>
  <dcterms:modified xsi:type="dcterms:W3CDTF">2025-12-08T19:41:37Z</dcterms:modified>
  <dc:language>en-US</dc:language>
</cp:coreProperties>
</file>