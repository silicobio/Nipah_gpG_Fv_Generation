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62A477CD-67BF-41E2-85AF-E96625D48633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  <sheet name="20251109 Submission FASTA" sheetId="6" r:id="rId6"/>
    <sheet name="20251110 Submission FASTA" sheetId="7" r:id="rId7"/>
    <sheet name="20251111 Submission FASTA" sheetId="8" r:id="rId8"/>
  </sheets>
  <definedNames>
    <definedName name="_xlnm._FilterDatabase" localSheetId="0" hidden="1">'Antibody Candidates'!$A$1:$V$50</definedName>
  </definedNames>
  <calcPr calcId="191029" iterateDelta="1E-4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8" l="1"/>
  <c r="A30" i="8"/>
  <c r="A29" i="8"/>
  <c r="A28" i="8"/>
  <c r="A27" i="8"/>
  <c r="A26" i="8"/>
  <c r="A25" i="8"/>
  <c r="A24" i="8"/>
  <c r="A23" i="8"/>
  <c r="A22" i="8"/>
  <c r="G5" i="8"/>
  <c r="G4" i="8"/>
  <c r="G3" i="8"/>
  <c r="A31" i="7"/>
  <c r="A30" i="7"/>
  <c r="A29" i="7"/>
  <c r="A28" i="7"/>
  <c r="A27" i="7"/>
  <c r="A26" i="7"/>
  <c r="A25" i="7"/>
  <c r="A24" i="7"/>
  <c r="A23" i="7"/>
  <c r="A22" i="7"/>
  <c r="G5" i="7"/>
  <c r="G4" i="7"/>
  <c r="G3" i="7"/>
  <c r="M25" i="2" l="1"/>
  <c r="N25" i="2" s="1"/>
  <c r="O25" i="2" s="1"/>
  <c r="A31" i="6"/>
  <c r="A30" i="6"/>
  <c r="A29" i="6"/>
  <c r="A28" i="6"/>
  <c r="A27" i="6"/>
  <c r="A26" i="6"/>
  <c r="A25" i="6"/>
  <c r="A24" i="6"/>
  <c r="A23" i="6"/>
  <c r="A22" i="6"/>
  <c r="G5" i="6"/>
  <c r="G4" i="6"/>
  <c r="G3" i="6"/>
  <c r="A23" i="5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G5" i="5"/>
  <c r="G4" i="5"/>
  <c r="G3" i="5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<sst xmlns="http://schemas.openxmlformats.org/spreadsheetml/2006/main" count="651" uniqueCount="287">
  <si>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</si>
  <si>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</si>
  <si>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</si>
  <si>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</si>
  <si>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</si>
  <si>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</si>
  <si>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</si>
  <si>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</si>
  <si>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</si>
  <si>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</si>
  <si>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</si>
  <si>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</si>
  <si>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</si>
  <si>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</si>
  <si>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</si>
  <si>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</si>
  <si>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</si>
  <si>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</si>
  <si>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</si>
  <si>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</si>
  <si>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</si>
  <si>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</si>
  <si>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</si>
  <si>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</si>
  <si>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</si>
  <si>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</si>
  <si>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</si>
  <si>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</si>
  <si>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</si>
  <si>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</si>
  <si>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</si>
  <si>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</si>
  <si>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</si>
  <si>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</si>
  <si>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</si>
  <si>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</si>
  <si>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</si>
  <si>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</si>
  <si>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</si>
  <si>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</si>
  <si>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</si>
  <si>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</si>
  <si>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</si>
  <si>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</si>
  <si>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</si>
  <si>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</si>
  <si>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</si>
  <si>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</si>
  <si>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</si>
  <si>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</si>
  <si>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</si>
  <si>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</si>
  <si>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</si>
  <si>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</si>
  <si>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</si>
  <si>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</si>
  <si>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</si>
  <si>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</si>
  <si>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</si>
  <si>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</si>
  <si>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</si>
  <si>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</si>
  <si>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</si>
  <si>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</si>
  <si>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</si>
  <si>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</si>
  <si>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</si>
  <si>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</si>
  <si>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</si>
  <si>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</si>
  <si>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</si>
  <si>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</si>
  <si>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</si>
  <si>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</si>
  <si>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</si>
  <si>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</si>
  <si>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</si>
  <si>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</si>
  <si>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</si>
  <si>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</si>
  <si>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</si>
  <si>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</si>
  <si>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</si>
  <si>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</si>
  <si>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</si>
  <si>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</si>
  <si>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</si>
  <si>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</si>
  <si>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</si>
  <si>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</si>
  <si>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</si>
  <si>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</si>
  <si>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</si>
  <si>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</si>
  <si>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</si>
  <si>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</si>
  <si>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</si>
  <si>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</si>
  <si>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</si>
  <si>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</si>
  <si>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</si>
  <si>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</si>
  <si>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</si>
  <si>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</si>
  <si>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</si>
  <si>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</si>
  <si>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</si>
  <si>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</si>
  <si>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</si>
  <si>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</si>
  <si>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</si>
  <si>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</si>
  <si>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</si>
  <si>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</si>
  <si>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</si>
  <si>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</si>
  <si>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</si>
  <si>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</si>
  <si>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</si>
  <si>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</si>
  <si>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</si>
  <si>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</si>
  <si>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</si>
  <si>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</si>
  <si>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</si>
  <si>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</si>
  <si>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</si>
  <si>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</si>
  <si>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</si>
  <si>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</si>
  <si>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</si>
  <si>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</si>
  <si>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</si>
  <si>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</si>
  <si>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</si>
  <si>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</si>
  <si>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</si>
  <si>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</si>
  <si>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</si>
  <si>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</si>
  <si>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</si>
  <si>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</si>
  <si>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</si>
  <si>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</si>
  <si>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</si>
  <si>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</si>
  <si>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</si>
  <si>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</si>
  <si>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</si>
  <si>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</si>
  <si>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</si>
  <si>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</si>
  <si>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</si>
  <si>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</si>
  <si>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</si>
  <si>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</si>
  <si>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</si>
  <si>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</si>
  <si>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</si>
  <si>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</si>
  <si>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</si>
  <si>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</si>
  <si>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</si>
  <si>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</si>
  <si>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</si>
  <si>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</si>
  <si>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</si>
  <si>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</si>
  <si>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</si>
  <si>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</si>
  <si>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</si>
  <si>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</si>
  <si>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</si>
  <si>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</si>
  <si>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</si>
  <si>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</si>
  <si>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</si>
  <si>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</si>
  <si>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</si>
  <si>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</si>
  <si>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</si>
  <si>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</si>
  <si>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</si>
  <si>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</si>
  <si>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</si>
  <si>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</si>
  <si>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</si>
  <si>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</si>
  <si>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</si>
  <si>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</si>
  <si>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</si>
  <si>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</si>
  <si>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</si>
  <si>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</si>
  <si>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</si>
  <si>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</si>
  <si>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</si>
  <si>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</si>
  <si>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</si>
  <si>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</si>
  <si>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</si>
  <si>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</si>
  <si>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</si>
  <si>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</si>
  <si>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</si>
  <si>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</si>
  <si>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</si>
  <si>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</si>
  <si>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</si>
  <si>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</si>
  <si>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</si>
  <si>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</si>
  <si>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</si>
  <si>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</si>
  <si>
    <t>SISLTESGGGTVAPGSSVTLTCTASGFNFSKYSVAWVRQPPGQPLQWVALISPDGSKKWYHPDVKGRATISKDNSKNTSYLTLSNLQPSDTATYYCGIIPGGNIHGDYSMTHWGQGTQLTVVAGGGSGGGSGGGSGGGSMITLTQSPLSLSAKVGDTVTITCTASSPVDDLVSWYQQKPGQPLRLLIRNASERAPGVSSRFSGSGSDTTFTLTISSVQEEDFATYYCQQTSKLPYTFGQGTTLSRA</t>
  </si>
  <si>
    <t>AVTLTESGGGTVAPGSSVTLTCTASGFNFSKYILAWVRQAPGQPLEWVASISPDGSKTRYHPAVKGRATASKDNSKNTAYLELKDLRPEDTATYYCGIIPQGSVHGDYSMTHWGQGTELRVEAGGGSGGGSGGGSGGGSPVVLTQSPLSLSAKVGDTVTITCTASSPVDNLVSWYKQAPGQPLQLLIYNATTRAPGVPSRFTGSGSDTTFTLTISSLQPEDFAVYYCQQTYKFPITFGQGTRLTPA</t>
  </si>
  <si>
    <t>PVKLVESGGGTVAPGSSVTLTCKASGFNFSKYMVQWVRQAPGGAFQWVGLISPDGSTKWYHPDVEGRFTISKDNSKNTAYLEMRNLTPADTAVYYCGIVPQGSVHGDYSITHWGQGVTLTVTAGGGSGGGSGGGSGGGSVVQLTQSPPELSAKVGEKVTITCTASSPVDNLVSWYQQKPGGAPKLLIYNATTLAPGVPSRFSGSGSDTVFTLTIDSLQAEDFATYYCQQTSRLPFTFGQGTVLRPA</t>
  </si>
  <si>
    <t>AIKLTESGGGTVKPGSSVTLTCQASGFNFSKYIMAWVRQAPGQPLQWVAQISPDNSVKRYHPEVEGRFTASKDNSKNTAYLEMKNLTPADTATYYCAIIPQGSTQGDYSMVHWGQGVELKVVAGGGSGGGSGGGSGGGSPVVLTQSPASLKAAVGDTVTITCTASAPVDNLVSWYKQAPGQPPQLLIYNASTLAPGVPSRFTGSGSDTSFTLTISSLQEEDFATYYCQETSKFPITFGQGTKLEKK</t>
  </si>
  <si>
    <t>SIKLTESGGGVVAPGESVTLTCTASGFNFSKYEMAWVRQAPGGPLEFVAVISPDGSTTRYHPRVEGRATISRDNSKNTAYLTLRDLTPADTAVYYCGIIPGGSVHGDRALSHWGQGVRLEVRAGGGSGGGSGGGSGGGSMVTLTQSPSSLSAKVGDKVTISCTASEPVDDLVSWYKQAPGGPPQLLISRASTRAPGVPSRFSGSGSDTNFTLTIESLQSSDFATYYCQQTYKFPDTFGQGTTLSEA</t>
  </si>
  <si>
    <t xml:space="preserve">SVTLVESGDQTVAPGGSVTLSCTSSGGSFGNSGVSWVKQQPGGPLQWIGGIIPSLGISKVSPEYAGRVTISSDSSNNTAYLTISNLTAADTATYYCALGEGEDVFASSPFASNVNLGALSVWGQGTKVTVSGGGSGGGSGGGSITVTQSPSSPSLKVGETATLTCTLSAPVPRSNVAWYKQQPGQPPTLLIYGGSTRAPGVPSRYSGSGSGTTFTLTITALKPEDFATYYCQVYGENPSFGQGTTLKLK </t>
  </si>
  <si>
    <t>SITLVQSGDVTVAPGGSVTLTCTSSGGSFGNKAVAWVRQRPGGPYEWLGFIIPAYGVSRYNPAYEGRVTISVDSASNTASLTISNLTAADTATYYCALGEGEIVYAASPFDENYKLGALYIWGQGTKVTVSGGGSGGGSGGGSITLTQSPSSPSLSVGETATLTCTASAPVPKSNVAWYKQLPGQPPELLIYGGSTRASGVPSRYSGSGSGTTFTLTISSLTADDFATYYCQVYGENPSFGEGTTLTLK</t>
  </si>
  <si>
    <t>SVTLVQSGDQTVPIGGSVTLSCTANGGSFGNKGVAWVRQRPGGPYEFLGFIKPAIGESRYHPKYKGRVTISSDVSSNTAYLTISNLTPEDTAVYYCALGEAEDVFAAHPFKTDLLLGALSIWGQGTRVTVTGGGSGGGSGGGSITVTQSPSSPSLSVGETAVLTCTLSQPVPQSQVAWYKQLPGQPPTLLISGGSTRASGVPSRYSGSGSGTTFTLTISSLLPEDFATYYCQVVGKEPSFGQGTTLTLK</t>
  </si>
  <si>
    <t>SVKLVQSGDQTVPVGGSVTLSCTASGGSFGNYGVAWVRQRPGGPLEYIGSIIPAYGISTVNPKYEGRVTISADPTNNTAYLTISNLTPEDTATYYCALGPGEVVFASSPFDIDVLTGALWVWGEGTKVTVTGGGSGGGSGGGSITVTQSPSSPSLKVGETATLTCTLSAPVAKSNVAWYKQLPGQPPELLIYGGSTRASGVPSRYSGSGSGTTFTLTISSLQPEDFATYYCQVVGKNPSFGQGTLLKLK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</si>
  <si>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</si>
  <si>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</si>
  <si>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</si>
  <si>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</si>
  <si>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</si>
  <si>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</si>
  <si>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</si>
  <si>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</si>
  <si>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</si>
  <si>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</si>
  <si>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</si>
  <si>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</si>
  <si>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</si>
  <si>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</si>
  <si>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</si>
  <si>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</si>
  <si>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</si>
  <si>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</si>
  <si>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</si>
  <si>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</si>
  <si>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</si>
  <si>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</si>
  <si>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</si>
  <si>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</si>
  <si>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</si>
  <si>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</si>
  <si>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</si>
  <si>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</si>
  <si>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</si>
  <si>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</si>
  <si>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</si>
  <si>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</si>
  <si>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</si>
  <si>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</si>
  <si>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</si>
  <si>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</si>
  <si>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</si>
  <si>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VQLQESGPGLVKPSQSLSLTCTVTGYSITTGYAWNWIRQFPGNKLEWMGYISYSGSTYYPSLKSRISITRDTSKNQFFLQLSIVTTEDTATYYCARGTTLPDYVDFWGQGTSVTVSSGGGSGGGSGGGSGGGSDIQLTQSPSSLSASVGDRVTITCRASQTISTYLNWYQQKPGKAPKLLIYAASTLQSGVPSRFSGSGSGTDFTLTISSLQPEDFATYFCLQHFWTPPITFGQGTRLEIK</t>
  </si>
  <si>
    <t>QVQLQESGPGLVKPSETLSVTCTVSGGSIGSNNYWSWIRQPAGKGLEWIGYIYYSGSTNYNPSLKSRVTMSVDTSKNQFSLKLSSVTAADTAVYYCVRNYYDSSDSSGYYFMDVWGQGTTVTVSSGGGSGGGSGGGSDIVMTQSPLSLSVTPGEPASISCRSSQSLLHSNGYNYLDWYLQKPGQSPQLLIYLGSNRASGVPDRFSGSGSGTDFTLKISRVEAEDVGVYYCMQALQTPTFGQGTRLEIK</t>
  </si>
  <si>
    <t>QVQLVQSGAEVKKPGESLKISCKGSGYRFSSYWIGWVRQMPGKGLEWMGIIYPGDSDTRYSPSFQGQVTISADKSISTAYLQWSSLKASDTAMYYCARQGPDYYYGMDVWGQGTTVTVSSGGGSGGGSGGGSGGGSDIQMTQSPSTLSASVGDRVTITCRASQSISSWLAWYQQKPGKAPKLLIYKASELQSGVPSRFSGSGSGTEFTLTISSLQPDDFATYYCQQYINSYTFGQGTKVEIK</t>
  </si>
  <si>
    <t>QVQLQQSGPELVKPGASVKLSCKASGYTFTDYYMHWVKQRPGQGLEWIGEINPNSGGTNTYDQKFKGRATLTVDKSSSTAYLQLSSLTSEDSAVYYCARSPPWYFDYWGQGTTLTVSGGGSGGGSGGGSGGGSDIVMTQSPSSMFASVGETVTITCRASENIYSNLAWYQQKPGQSPKLLIYWASTRHTGVPDRFTGSGSGTDFTLTISSVQAEDLALYYCQHYGSYSFTFGSGTKLEIK</t>
  </si>
  <si>
    <t>EVQLVESGGGLVQPGGSLRLSCAASGFNVSYSSIHWVRQAPGKGLEWVASISSYYGYTYYADSVKGRFTISADTSKNTAYLQMNSLRAEDTAVYYCARSRNYVYSSGYLDFWGQGTLVTVSSGGGSGGGSGGGSGGGSDIQMTQSPSSLSASVGDRVTITCRASQSVSSAVAWYQQKPGKAPKLLIYSASSLYSGVPSRFSGSRSGTDFTLTISSLQPEDFATYYCQQSSYSSPPTFGQGTKVEIK</t>
  </si>
  <si>
    <t>EVQLVESGGGLVQPGGSLRLSCAASGFNIYYSSIHWVRQAPGKGLEWVASISPYYGSTSYADSVKGRFTISADTSKNTAYLQMNSLRAEDTAVYYCARDYGHYYYAMDYWGQGTLVTVSSGGGSGGGSGGGSGGGSEIVMTQSPATLSVSPGERATLSCRASQSVSSYLAWYQQKPGQAPRLLIYGASTRATGIPARFSGSGSGTEFTLTISSLQSEDSAVYYCQQYNNWPPITFGQGTRLEIK</t>
  </si>
  <si>
    <t>QVQLQESGPGLVKPSETLSLSCVVSGDSSSTNYYWGWIRQPPGKGLEWIGYIYGSGDTAYNPSLKSRVTISVDTSKNQFSLKLSSVTAADTAVYYCARRSWGYGYNGYSTYYYYYYFDQGYFDVWGPGTLVTGGGSGGGSGGGSDIQMTQSPSSLSASVGDRVTITCRASQSIGSYLNWYQQKPGKAPKLLIYAASTLQSGVPSRFSGSGSGTEFTLTISSLQPEDFATYYCQQSYSWGQGTKVEIK</t>
  </si>
  <si>
    <t>QVQLVQSGAEVKKPGASVKVSCKASGYTFTSYGISWVRQAPGQGLEWMGWISAHNGDTNYAQKFQGRVTMTRDTSITTAYMELRSDDTAVYYCARDGSVGGFYWGQGTLVTVSSGGGSGGGSGGGSGGGSEIVLTQSPGTLSLSPGERATLSCRASQSVSSYLAWYQQKPGQAPRLLIYGASSRATGIPDRFSGSGSGTDFTLTISRLEPEDFAVYYCQQYGSSPITFGQGTRLEIK</t>
  </si>
  <si>
    <t>EVQLLESGGGLVQPGGSLRLSCAASGFNVSYSSIHWVRQAPGKGLEWVASISPYYGSTSYADSVKGRFTISADTSKNTAYLQMNSLRAEDTAVYYCARSYYWYWSGWGTLVTVSSGGGSGGGSGGGSGGGSDIQMTQSPSSLSASVGDRVTITCRASQSVSSAVAWYQQKPGKAPKLLIYSASSLYSGVPSRFSGSRSGTDFTLTISSLQPEDFATYYCQQSYGSPPTFGQGTKVEIK</t>
  </si>
  <si>
    <t>QVQLQESGPGLVKPSQTLSLTCTVSGGSISSGHYAWWIRQPPGKGLEWIACIYSSSGSTYYNPSLKSRITISVDTSKNQFSLKLSSVTAADTAVYYCARRQRGYDYDYYYGMDVWGQGTTVTVSSGGGSGGGSGGGSGGGSDIQLTQSPSSLSASVGDRVTITCRASQGISRNLAWYQQKPGKAPKLLIYAASSLQSGVPSRFSGSGSGTDFTLTISSLQPEDFATYYCQQSNNWPITFGQGTKVEIK</t>
  </si>
  <si>
    <t>EVQLVESGGGLVQPGGSLRLSCAASGFNIYYSSIHWVRQAPGKGLEWVASIYSYYSSTSYADSVKGRFTISADTSKNTAYLQMNSLRAEDTAVYYCARVYGYLSYSYFYWGLDVWGQGTLVTVSGGGSGGGSGGGSGGGSDIQMTQSPSSLSASVGDRVTITCRASQSVSSAVAWYQQKPGKAPKLLIYSASSLYSGVPSRFSGSRSGTDFTLTISSLQPEDFATYYCQQYKYVPVTFGQGTKVEI</t>
  </si>
  <si>
    <t>EVQLQQSGAELVKPGASVKLSCTASGFNIKDTYVHWVKQRPEQGLEWIGRIDPANGYTKYDPKFQGKATITADTSSNTAYLQLSSLTSEDTAVYYCVRPLYDYYAMDYWGQGTTLTVSSGGGSGGGSGGGSGGGSDIVMTQSPSSLAMSAGRVSITCRTSQSISSYLNWVQQKPGKSPKLLIYWASTRESGVPDRFTGSGSGTDFTLTISRVEAEDLGVYYCMQGTHVPYTFGGGTKLEIK</t>
  </si>
  <si>
    <t>EVQLVESGGGLVKPGGSLRLSCAASGFTFSSYAMHWVRQAPGKGLEWVSAISGGGGSTYYADSVKGRFTISRDNSKNTLYLQMRAEDTAVYYCAKDDADWGQGTLVTVSSGGGSGGGSGGGSGGGSDIQMTQSPSSLSASVGDRVTITCRASQSVSSAVAWYQQKPGKAPKLLIYSASSLYSGVPSRFSGSRSGTDFTLTISSLQPEDFATYYCQQYKYVPFTFGQGTKVEIK</t>
  </si>
  <si>
    <t>QVQLQESGPGLVKPSQTLSLTCTVSGGSISSGSYYWIRQSPGKGLEWIGYIYYSGSTNYNPSLKSRVTISVDTSKNQFSLKLSSVTAADTAVYYCARHRYYDRGQGTLVTVSSGGGSGGGSGGGSGGGSDIQMTQSPASLSASVGETVTITCRASENIYSNLAWYQQKQGKSPQLLVYAATDLADGVPSRFSGSGSGTQFSLKINSLQPEDFGSYYCQHFWDTPWTFGQGTRVE</t>
  </si>
  <si>
    <t>EVQLVESGGGLVQPGGSLRLSCAASGFNLYSSSIHWVRQAPGKGLEWVAYISSSGTHYADSVKGRFTISADTSKNTAYLQMRAEDTAVYYCARVGHYYSSGGYYYAMDYWGQGTLVTVSSGGGSGGGSGGGSGGGSDIQMTQSPSSLSASVGDRVTITCRASQSVSSAVAWYQQKPGKAPKLLIYSASSLYSGVPSRFSGSRSGTDFTLTISSLQPEDFATYYCQQYSSYWTFGQGTKVEIK</t>
  </si>
  <si>
    <t>EVQLVESGGGLVQPGGSLRLSCAASGFNVVDSGISWVRQAPGKGLEWVSYISSSSGSTYYADSVKGRFTISADTSKNTAYLQMNSLRAEDTAVYYCARAHYYGSYFGSVVYYYGLDVWGQGTLVTVSSGGGSGGGSGGGSDIQMTQSPSSLSASVGDRVTITCRASQSVSSAVAWYQQKPGKAPKLLIYSASSLYSGVPSRFSGSRSGTDFTLTISSLQPEDFATYYCQQYDTYPITFGQGTKVEIK</t>
  </si>
  <si>
    <t>EVQLVESGGGLVQPGGSLRLSCAASGFNVYSSSIHWVRQAPGKGLEWVASISSYYGYTYYADSVKGRFTISADTSKNTAYLQMNSLRAEDTAVYYCARSYSTYYYGYWYFDVWGQGTLVTVSSGGGSGGGSGGGSGGGSDIQMTQSPSSLSAAVGDRVTITCRASQSVSSAVAWYQQKPGKAPKLLIYSASSLYSGVPSRFSGSRSGTDFTLTISSLQPEDFATYYCQQYNYYWLITFGQGTKVEIK</t>
  </si>
  <si>
    <t>QVQLQQPGAELVKPGASVKLSCKASGYTFTSDWIHWVKQRPGHGLEWIGEIIPSYGRANYNEKIQKKATLTADKSSSTAFMHLSSLTSEDSAVYYCARERGDGYFAVWGAGTTVTVSSGGGSGGGSGGGSGGGSDILLTQSPAILSVSPGERVSFSCRASQSIGTDIHWYQQRTNGSPRLLIKYASESISGIPSRFSGSGSGTDFTLSINSVESEDIANYYCQQSNRWPFTFGSGTKLEIK</t>
  </si>
  <si>
    <t>VRLLESGGGLVQPGGSLKLSCAASGFDYSRYWMSWVRQAPGKGLKWIGEINPVSSTINYTPSLKDKFIISRDNAKDTLYLQISKVRSEDTALYYCARLYYGYGYWYFDVWGAGTTVTVSSGGGSGGGSGGGSGGGSDIVLTQSPAIMSAAPGDKVTMTCSASSSVSYIHWYQQKSGTSPKRWIYDTSKLTSGVPVRFSGSGSGTSYSLTINTMEAEDAATYYCQQWSSHPQTFGGGTKLEIl</t>
  </si>
  <si>
    <t>QVQLQESGPGLVQPSQSLSLTCTVSGFSLTSYGVHWVRQSPGKGLEWLGVIWAGGSTDYNSALKSRLSISRDTSKNQVFLKMNSLQTDDTAMYYCAKHGSSNGDYWGQGTSVTVSSGGGSGGGSGGGSGGGSDIVMTQSPDSLAVSLGERATINCKSSQSVLYSSNNKNYLAWYQQKPEGQPPNLLIYWASTRESGVPDRFSGSGSGTDFTLTISSLQAEDVAVYYCQQYYSAPTFGQGTKLEIK</t>
  </si>
  <si>
    <t>antigen_source</t>
  </si>
  <si>
    <t>proteinbase</t>
  </si>
  <si>
    <t>nipah_gpG_comp</t>
  </si>
  <si>
    <t>A</t>
  </si>
  <si>
    <t>B</t>
  </si>
  <si>
    <t>From Protein Data Bank entry</t>
  </si>
  <si>
    <t>From Proteinbase competition evaluation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</si>
</sst>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1.564090046297" createdVersion="8" refreshedVersion="8" minRefreshableVersion="3" recordCount="50" xr:uid="{C69715DE-2A16-4198-9FD9-FAE4F60B2265}">
  <cacheSource type="worksheet">
    <worksheetSource ref="A1:T3000" sheet="Antibody Candidates"/>
  </cacheSource>
  <cacheFields count="19">
    <cacheField name="antibody_id" numFmtId="0">
      <sharedItems containsBlank="1" count="50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50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5-11-07T00:00:00" maxDate="2025-11-12T00:00:00" count="6">
        <d v="2025-11-07T00:00:00"/>
        <d v="2025-11-08T00:00:00"/>
        <d v="2025-11-09T00:00:00"/>
        <d v="2025-11-10T00:00:00"/>
        <d v="2025-11-1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4"/>
    <m/>
    <m/>
    <m/>
    <m/>
    <m/>
    <m/>
    <m/>
    <m/>
    <m/>
    <x v="49"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8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8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30A9A-0810-4D7B-BBE4-92BE215D0229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2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9">
    <i>
      <x v="16"/>
      <x v="2"/>
      <x v="22"/>
    </i>
    <i>
      <x v="17"/>
      <x v="2"/>
      <x v="7"/>
    </i>
    <i>
      <x v="18"/>
      <x v="2"/>
      <x v="14"/>
    </i>
    <i>
      <x v="19"/>
      <x v="2"/>
      <x/>
    </i>
    <i>
      <x v="20"/>
      <x v="2"/>
      <x v="21"/>
    </i>
    <i>
      <x v="21"/>
      <x v="3"/>
      <x v="27"/>
    </i>
    <i>
      <x v="24"/>
      <x v="3"/>
      <x v="25"/>
    </i>
    <i>
      <x v="25"/>
      <x v="3"/>
      <x v="28"/>
    </i>
    <i>
      <x v="26"/>
      <x v="3"/>
      <x v="26"/>
    </i>
  </rowItems>
  <colItems count="1">
    <i/>
  </colItems>
  <pageFields count="1">
    <pageField fld="18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4B109-E0E8-463A-8A38-71BCCBD1ABE8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29"/>
      <x v="1"/>
      <x v="29"/>
    </i>
    <i>
      <x v="30"/>
      <x v="1"/>
      <x v="30"/>
    </i>
    <i>
      <x v="31"/>
      <x v="1"/>
      <x v="31"/>
    </i>
    <i>
      <x v="32"/>
      <x v="1"/>
      <x v="32"/>
    </i>
    <i>
      <x v="33"/>
      <x v="1"/>
      <x v="33"/>
    </i>
    <i>
      <x v="34"/>
      <x v="1"/>
      <x v="34"/>
    </i>
    <i>
      <x v="35"/>
      <x v="1"/>
      <x v="35"/>
    </i>
    <i>
      <x v="36"/>
      <x v="1"/>
      <x v="36"/>
    </i>
    <i>
      <x v="37"/>
      <x v="1"/>
      <x v="37"/>
    </i>
    <i>
      <x v="38"/>
      <x v="1"/>
      <x v="38"/>
    </i>
  </rowItems>
  <colItems count="1">
    <i/>
  </colItems>
  <pageFields count="1">
    <pageField fld="18" item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CE7CB-DCA8-443D-A73C-3A819111AB4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39"/>
      <x v="1"/>
      <x v="39"/>
    </i>
    <i>
      <x v="40"/>
      <x v="1"/>
      <x v="40"/>
    </i>
    <i>
      <x v="41"/>
      <x v="1"/>
      <x v="41"/>
    </i>
    <i>
      <x v="42"/>
      <x v="1"/>
      <x v="42"/>
    </i>
    <i>
      <x v="43"/>
      <x v="1"/>
      <x v="43"/>
    </i>
    <i>
      <x v="44"/>
      <x v="1"/>
      <x v="44"/>
    </i>
    <i>
      <x v="45"/>
      <x v="1"/>
      <x v="45"/>
    </i>
    <i>
      <x v="46"/>
      <x v="1"/>
      <x v="46"/>
    </i>
    <i>
      <x v="47"/>
      <x v="1"/>
      <x v="47"/>
    </i>
    <i>
      <x v="48"/>
      <x v="1"/>
      <x v="48"/>
    </i>
  </rowItems>
  <colItems count="1">
    <i/>
  </colItems>
  <pageFields count="1">
    <pageField fld="18" item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tabSelected="1" zoomScaleNormal="100"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C36" sqref="C36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8.42578125" style="1" customWidth="1"/>
    <col min="8" max="8" width="8.7109375" style="1" bestFit="1" customWidth="1"/>
    <col min="9" max="9" width="54" style="2" customWidth="1"/>
    <col min="10" max="10" width="42.1406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1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19.140625" style="1" bestFit="1" customWidth="1"/>
    <col min="21" max="21" width="18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223</v>
      </c>
      <c r="V1" s="7" t="s">
        <v>224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1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9">
        <v>45968</v>
      </c>
      <c r="U2" s="2" t="s">
        <v>244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50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1">
        <f>LEN(M3)</f>
        <v>240</v>
      </c>
      <c r="O3" s="1" t="b">
        <f t="shared" ref="O3:O50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9">
        <v>45969</v>
      </c>
      <c r="U3" s="2" t="s">
        <v>234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1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9">
        <v>45969</v>
      </c>
      <c r="U4" s="2" t="s">
        <v>237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1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9">
        <v>45969</v>
      </c>
      <c r="U5" s="2" t="s">
        <v>235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1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9">
        <v>45969</v>
      </c>
      <c r="U6" s="2" t="s">
        <v>236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1">
        <f t="shared" ref="N7:N5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9">
        <v>45969</v>
      </c>
      <c r="U7" s="2" t="s">
        <v>240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1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9">
        <v>45968</v>
      </c>
      <c r="U8" s="2" t="s">
        <v>245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1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9">
        <v>45969</v>
      </c>
      <c r="U9" s="2" t="s">
        <v>238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1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9">
        <v>45968</v>
      </c>
      <c r="U10" s="2" t="s">
        <v>247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1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9">
        <v>45968</v>
      </c>
      <c r="U11" s="2" t="s">
        <v>246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1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9">
        <v>45969</v>
      </c>
      <c r="U12" s="2" t="s">
        <v>239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1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9">
        <v>45969</v>
      </c>
      <c r="U13" s="2" t="s">
        <v>241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1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9">
        <v>45968</v>
      </c>
      <c r="U14" s="2" t="s">
        <v>248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1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9">
        <v>45969</v>
      </c>
      <c r="U15" s="2" t="s">
        <v>242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1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9">
        <v>45968</v>
      </c>
      <c r="U16" s="2" t="s">
        <v>251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1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9">
        <v>45969</v>
      </c>
      <c r="U17" s="2" t="s">
        <v>243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1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9">
        <v>45970</v>
      </c>
      <c r="U18" s="2" t="s">
        <v>225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1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9">
        <v>45970</v>
      </c>
      <c r="U19" s="2" t="s">
        <v>226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1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9">
        <v>45970</v>
      </c>
      <c r="U20" s="2" t="s">
        <v>227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1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9">
        <v>45970</v>
      </c>
      <c r="U21" s="2" t="s">
        <v>229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1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9">
        <v>45970</v>
      </c>
      <c r="U22" s="2" t="s">
        <v>228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1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9">
        <v>45970</v>
      </c>
      <c r="U23" s="2" t="s">
        <v>233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1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9">
        <v>45968</v>
      </c>
      <c r="U24" s="2" t="s">
        <v>249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1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9">
        <v>45968</v>
      </c>
      <c r="U25" s="2" t="s">
        <v>250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1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9">
        <v>45970</v>
      </c>
      <c r="U26" s="2" t="s">
        <v>231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1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9">
        <v>45970</v>
      </c>
      <c r="U27" s="2" t="s">
        <v>230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1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9">
        <v>45970</v>
      </c>
      <c r="U28" s="2" t="s">
        <v>232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1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9">
        <v>45968</v>
      </c>
      <c r="U29" s="2" t="s">
        <v>252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1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9">
        <v>45968</v>
      </c>
      <c r="U30" s="2" t="s">
        <v>253</v>
      </c>
      <c r="V30" s="4">
        <v>0</v>
      </c>
    </row>
    <row r="31" spans="1:22" ht="60" x14ac:dyDescent="0.25">
      <c r="A31" s="1" t="s">
        <v>184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144</v>
      </c>
      <c r="J31" s="2" t="s">
        <v>145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1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9">
        <v>45971</v>
      </c>
    </row>
    <row r="32" spans="1:22" ht="75" x14ac:dyDescent="0.25">
      <c r="A32" s="1" t="s">
        <v>185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146</v>
      </c>
      <c r="J32" s="2" t="s">
        <v>147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1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9">
        <v>45971</v>
      </c>
    </row>
    <row r="33" spans="1:20" ht="75" x14ac:dyDescent="0.25">
      <c r="A33" s="1" t="s">
        <v>186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148</v>
      </c>
      <c r="J33" s="2" t="s">
        <v>149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1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9">
        <v>45971</v>
      </c>
    </row>
    <row r="34" spans="1:20" ht="60" x14ac:dyDescent="0.25">
      <c r="A34" s="1" t="s">
        <v>187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150</v>
      </c>
      <c r="J34" s="2" t="s">
        <v>151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1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9">
        <v>45971</v>
      </c>
    </row>
    <row r="35" spans="1:20" ht="75" x14ac:dyDescent="0.25">
      <c r="A35" s="1" t="s">
        <v>188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152</v>
      </c>
      <c r="J35" s="2" t="s">
        <v>153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1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9">
        <v>45971</v>
      </c>
    </row>
    <row r="36" spans="1:20" ht="75" x14ac:dyDescent="0.25">
      <c r="A36" s="1" t="s">
        <v>189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154</v>
      </c>
      <c r="J36" s="2" t="s">
        <v>155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1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9">
        <v>45971</v>
      </c>
    </row>
    <row r="37" spans="1:20" ht="75" x14ac:dyDescent="0.25">
      <c r="A37" s="1" t="s">
        <v>190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156</v>
      </c>
      <c r="J37" s="2" t="s">
        <v>157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1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9">
        <v>45971</v>
      </c>
    </row>
    <row r="38" spans="1:20" ht="60" x14ac:dyDescent="0.25">
      <c r="A38" s="1" t="s">
        <v>191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158</v>
      </c>
      <c r="J38" s="2" t="s">
        <v>159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1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9">
        <v>45971</v>
      </c>
    </row>
    <row r="39" spans="1:20" ht="60" x14ac:dyDescent="0.25">
      <c r="A39" s="1" t="s">
        <v>192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160</v>
      </c>
      <c r="J39" s="2" t="s">
        <v>161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1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9">
        <v>45971</v>
      </c>
    </row>
    <row r="40" spans="1:20" ht="75" x14ac:dyDescent="0.25">
      <c r="A40" s="1" t="s">
        <v>193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162</v>
      </c>
      <c r="J40" s="2" t="s">
        <v>163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1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9">
        <v>45971</v>
      </c>
    </row>
    <row r="41" spans="1:20" ht="75" x14ac:dyDescent="0.25">
      <c r="A41" s="1" t="s">
        <v>194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164</v>
      </c>
      <c r="J41" s="2" t="s">
        <v>165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1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9">
        <v>45972</v>
      </c>
    </row>
    <row r="42" spans="1:20" ht="60" x14ac:dyDescent="0.25">
      <c r="A42" s="1" t="s">
        <v>195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166</v>
      </c>
      <c r="J42" s="2" t="s">
        <v>167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1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9">
        <v>45972</v>
      </c>
    </row>
    <row r="43" spans="1:20" ht="60" x14ac:dyDescent="0.25">
      <c r="A43" s="1" t="s">
        <v>196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168</v>
      </c>
      <c r="J43" s="2" t="s">
        <v>169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1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9">
        <v>45972</v>
      </c>
    </row>
    <row r="44" spans="1:20" ht="60" x14ac:dyDescent="0.25">
      <c r="A44" s="1" t="s">
        <v>197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170</v>
      </c>
      <c r="J44" s="2" t="s">
        <v>171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1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9">
        <v>45972</v>
      </c>
    </row>
    <row r="45" spans="1:20" ht="60" x14ac:dyDescent="0.25">
      <c r="A45" s="1" t="s">
        <v>198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172</v>
      </c>
      <c r="J45" s="2" t="s">
        <v>173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1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9">
        <v>45972</v>
      </c>
    </row>
    <row r="46" spans="1:20" ht="75" x14ac:dyDescent="0.25">
      <c r="A46" s="1" t="s">
        <v>199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174</v>
      </c>
      <c r="J46" s="2" t="s">
        <v>175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1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9">
        <v>45972</v>
      </c>
    </row>
    <row r="47" spans="1:20" ht="75" x14ac:dyDescent="0.25">
      <c r="A47" s="1" t="s">
        <v>200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176</v>
      </c>
      <c r="J47" s="2" t="s">
        <v>177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1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9">
        <v>45972</v>
      </c>
    </row>
    <row r="48" spans="1:20" ht="60" x14ac:dyDescent="0.25">
      <c r="A48" s="1" t="s">
        <v>201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178</v>
      </c>
      <c r="J48" s="2" t="s">
        <v>179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1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9">
        <v>45972</v>
      </c>
    </row>
    <row r="49" spans="1:20" ht="60" x14ac:dyDescent="0.25">
      <c r="A49" s="1" t="s">
        <v>202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180</v>
      </c>
      <c r="J49" s="2" t="s">
        <v>181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1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9">
        <v>45972</v>
      </c>
    </row>
    <row r="50" spans="1:20" ht="75" x14ac:dyDescent="0.25">
      <c r="A50" s="1" t="s">
        <v>203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182</v>
      </c>
      <c r="J50" s="2" t="s">
        <v>183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1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9">
        <v>45972</v>
      </c>
    </row>
  </sheetData>
  <autoFilter ref="A1:V50" xr:uid="{00000000-0001-0000-0100-000000000000}"/>
  <phoneticPr fontId="1" type="noConversion"/>
  <conditionalFormatting sqref="K1:L1048576">
    <cfRule type="cellIs" dxfId="9" priority="14" operator="equal">
      <formula>TRUE</formula>
    </cfRule>
    <cfRule type="cellIs" dxfId="8" priority="15" operator="equal">
      <formula>FALSE</formula>
    </cfRule>
    <cfRule type="containsBlanks" dxfId="7" priority="15">
      <formula>LEN(TRIM(K1))=0</formula>
    </cfRule>
  </conditionalFormatting>
  <conditionalFormatting sqref="O2:O50">
    <cfRule type="containsBlanks" dxfId="6" priority="7">
      <formula>LEN(TRIM(O2))=0</formula>
    </cfRule>
  </conditionalFormatting>
  <conditionalFormatting sqref="O2:S2 O3:Q30 O31:O50 R3:S22">
    <cfRule type="cellIs" dxfId="5" priority="8" operator="equal">
      <formula>FALSE</formula>
    </cfRule>
    <cfRule type="cellIs" dxfId="4" priority="16" operator="equal">
      <formula>TRUE</formula>
    </cfRule>
  </conditionalFormatting>
  <conditionalFormatting sqref="P31:Q50">
    <cfRule type="cellIs" dxfId="3" priority="4" operator="equal">
      <formula>FALSE</formula>
    </cfRule>
    <cfRule type="cellIs" dxfId="2" priority="5" operator="equal">
      <formula>TRUE</formula>
    </cfRule>
  </conditionalFormatting>
  <conditionalFormatting sqref="R1:S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1:V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3"/>
  <sheetViews>
    <sheetView zoomScaleNormal="100" workbookViewId="0">
      <selection activeCell="A3" sqref="A3"/>
    </sheetView>
  </sheetViews>
  <sheetFormatPr defaultColWidth="9.140625" defaultRowHeight="15" x14ac:dyDescent="0.25"/>
  <cols>
    <col min="1" max="1" width="16.42578125" style="1" bestFit="1" customWidth="1"/>
    <col min="2" max="3" width="14.42578125" style="1" customWidth="1"/>
    <col min="4" max="4" width="78.425781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280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258</v>
      </c>
      <c r="H1" s="1" t="s">
        <v>257</v>
      </c>
      <c r="I1" s="1" t="s">
        <v>132</v>
      </c>
      <c r="J1" s="1" t="s">
        <v>133</v>
      </c>
    </row>
    <row r="2" spans="1:10" ht="105" x14ac:dyDescent="0.25">
      <c r="A2" s="1" t="s">
        <v>4</v>
      </c>
      <c r="B2" s="1" t="s">
        <v>5</v>
      </c>
      <c r="C2" s="1" t="s">
        <v>283</v>
      </c>
      <c r="D2" s="2" t="s">
        <v>6</v>
      </c>
      <c r="E2" s="2" t="s">
        <v>7</v>
      </c>
      <c r="F2" s="2" t="s">
        <v>8</v>
      </c>
      <c r="G2" s="2" t="s">
        <v>256</v>
      </c>
      <c r="H2" s="2" t="s">
        <v>254</v>
      </c>
      <c r="I2" s="1">
        <v>0.79488899999999996</v>
      </c>
      <c r="J2" s="1">
        <v>0.72998799999999997</v>
      </c>
    </row>
    <row r="3" spans="1:10" ht="120" x14ac:dyDescent="0.25">
      <c r="A3" s="1" t="s">
        <v>282</v>
      </c>
      <c r="B3" s="1" t="s">
        <v>281</v>
      </c>
      <c r="C3" s="1" t="s">
        <v>284</v>
      </c>
      <c r="D3" s="2" t="s">
        <v>255</v>
      </c>
      <c r="F3" s="2" t="s">
        <v>259</v>
      </c>
      <c r="G3" s="2" t="s">
        <v>256</v>
      </c>
      <c r="H3" s="2" t="s">
        <v>254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5"/>
  <sheetViews>
    <sheetView workbookViewId="0">
      <selection activeCell="E7" sqref="E7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x14ac:dyDescent="0.25">
      <c r="A4" s="4" t="s">
        <v>283</v>
      </c>
      <c r="B4" s="2" t="s">
        <v>285</v>
      </c>
    </row>
    <row r="5" spans="1:2" x14ac:dyDescent="0.25">
      <c r="A5" s="4" t="s">
        <v>284</v>
      </c>
      <c r="B5" s="2" t="s">
        <v>286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10">
        <v>45968</v>
      </c>
    </row>
    <row r="4" spans="1:3" x14ac:dyDescent="0.25">
      <c r="A4" t="s">
        <v>17</v>
      </c>
      <c r="B4" t="s">
        <v>18</v>
      </c>
      <c r="C4" t="s">
        <v>134</v>
      </c>
    </row>
    <row r="5" spans="1:3" x14ac:dyDescent="0.25">
      <c r="A5" t="s">
        <v>43</v>
      </c>
      <c r="B5" t="s">
        <v>51</v>
      </c>
      <c r="C5" t="s">
        <v>135</v>
      </c>
    </row>
    <row r="6" spans="1:3" x14ac:dyDescent="0.25">
      <c r="A6" t="s">
        <v>45</v>
      </c>
      <c r="B6" t="s">
        <v>51</v>
      </c>
      <c r="C6" t="s">
        <v>136</v>
      </c>
    </row>
    <row r="7" spans="1:3" x14ac:dyDescent="0.25">
      <c r="A7" t="s">
        <v>46</v>
      </c>
      <c r="B7" t="s">
        <v>51</v>
      </c>
      <c r="C7" t="s">
        <v>137</v>
      </c>
    </row>
    <row r="8" spans="1:3" x14ac:dyDescent="0.25">
      <c r="A8" t="s">
        <v>53</v>
      </c>
      <c r="B8" t="s">
        <v>51</v>
      </c>
      <c r="C8" t="s">
        <v>138</v>
      </c>
    </row>
    <row r="9" spans="1:3" x14ac:dyDescent="0.25">
      <c r="A9" t="s">
        <v>70</v>
      </c>
      <c r="B9" t="s">
        <v>51</v>
      </c>
      <c r="C9" t="s">
        <v>139</v>
      </c>
    </row>
    <row r="10" spans="1:3" x14ac:dyDescent="0.25">
      <c r="A10" t="s">
        <v>102</v>
      </c>
      <c r="B10" t="s">
        <v>109</v>
      </c>
      <c r="C10" t="s">
        <v>140</v>
      </c>
    </row>
    <row r="11" spans="1:3" x14ac:dyDescent="0.25">
      <c r="A11" t="s">
        <v>103</v>
      </c>
      <c r="B11" t="s">
        <v>109</v>
      </c>
      <c r="C11" t="s">
        <v>141</v>
      </c>
    </row>
    <row r="12" spans="1:3" x14ac:dyDescent="0.25">
      <c r="A12" t="s">
        <v>107</v>
      </c>
      <c r="B12" t="s">
        <v>109</v>
      </c>
      <c r="C12" t="s">
        <v>142</v>
      </c>
    </row>
    <row r="13" spans="1:3" x14ac:dyDescent="0.25">
      <c r="A13" t="s">
        <v>108</v>
      </c>
      <c r="B13" t="s">
        <v>109</v>
      </c>
      <c r="C13" t="s">
        <v>143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G31"/>
  <sheetViews>
    <sheetView workbookViewId="0">
      <selection activeCell="C36" sqref="C36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8" t="s">
        <v>98</v>
      </c>
      <c r="B2" s="10">
        <v>45969</v>
      </c>
    </row>
    <row r="3" spans="1:7" x14ac:dyDescent="0.25">
      <c r="G3" t="str">
        <f>_xlfn.CONCAT("&gt;",A10,"|anti-Nipha virus glycoprotein G Fv sequence|Designed by Silico Biosciences using: ",B10,"\n",C10)</f>
        <v xml:space="preserve">&gt;sbio-nipahgpg-013|anti-Nipha virus glycoprotein G Fv sequence|Designed by Silico Biosciences using: peleke-1 + ProteinMPNN\nEVSLVESGGGTVKPGESVTLSCQASGFNFSKYRLAWVRQPPGQGLVWVSEISPDGTEVKYHPDVKGRFTASRDNSNSTAYLKMNNLQPSDTATYYCGIIPQDSSHGDYSISHWGQGTQLTVSAGGGSGGGSGGGSGGGSTITLTQSPSSLSASVGDTVTINCTASRPIGDFLSWYKQKPGQPPQLLIYRSSTLASGVSSRYSGSGSDTNFTLTISSLQSDDFATYYCQQTYTLPITFGQGTTLTKK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4" spans="1:7" x14ac:dyDescent="0.25">
      <c r="A4" t="s">
        <v>22</v>
      </c>
      <c r="B4" t="s">
        <v>18</v>
      </c>
      <c r="C4" t="s">
        <v>204</v>
      </c>
      <c r="G4" t="str">
        <f>_xlfn.CONCAT("&gt;",A11,"|anti-Nipha virus glycoprotein G Fv sequence|Designed by Silico Biosciences using: ",B11,"\n",C11)</f>
        <v>&gt;sbio-nipahgpg-014|anti-Nipha virus glycoprotein G Fv sequence|Designed by Silico Biosciences using: peleke-1 + ProteinMPNN\nAVSLVESGGGTYAPGSSVTLSCQGSGFNFSKVRKVWVRQPPGGPLEYVAEISPDGSTTTYASSVAGRFTISKDNSNSTLYLSMSNLTPADTATYYCGLIPGDSEHGDRSISHWGQGTLVTVSAGGGSGGGSGGGSGGGSAITLTQSPSSLSASVGDTVTINCTASQPIGNFLSWYKQKPGQPPQLLIYNASTLAPGVSSRYSGSGSDTNFTLTISSLQSEDFATYYCQQTSRLPVTFGQGTTINKK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5" spans="1:7" x14ac:dyDescent="0.25">
      <c r="A5" t="s">
        <v>25</v>
      </c>
      <c r="B5" t="s">
        <v>18</v>
      </c>
      <c r="C5" t="s">
        <v>205</v>
      </c>
      <c r="G5" t="str">
        <f>_xlfn.CONCAT("&gt;",A12,"|anti-Nipha virus glycoprotein G Fv sequence|Designed by Silico Biosciences using: ",B12,"\n",C12)</f>
        <v xml:space="preserve">&gt;sbio-nipahgpg-016|anti-Nipha virus glycoprotein G Fv sequence|Designed by Silico Biosciences using: peleke-1 + ProteinMPNN\nPVSLVESGGGTVAPGSSVTLTCQASGFNFSKYIVAWVRQPPGQPLRFVAMITPDGSKVWLHPEVEGRFTPSKDNSKNTSYLQLKDLQPEDTATYYCGIIPQGSTHGDYSITHWGQGVVLTVTAGGGSGGGSGGGSGGGSMVTLTQSPSSLSASVGDTVTITCTASSPVDNLMSWYQQPPGQPLRLLIYNASTRAPGVSSRFSGSGSDTNFTLTISSLQASDFATYYCQQTYRLPVTFGQGTTLSAA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6" spans="1:7" x14ac:dyDescent="0.25">
      <c r="A6" t="s">
        <v>28</v>
      </c>
      <c r="B6" t="s">
        <v>18</v>
      </c>
      <c r="C6" t="s">
        <v>206</v>
      </c>
    </row>
    <row r="7" spans="1:7" x14ac:dyDescent="0.25">
      <c r="A7" t="s">
        <v>31</v>
      </c>
      <c r="B7" t="s">
        <v>18</v>
      </c>
      <c r="C7" t="s">
        <v>207</v>
      </c>
    </row>
    <row r="8" spans="1:7" x14ac:dyDescent="0.25">
      <c r="A8" t="s">
        <v>37</v>
      </c>
      <c r="B8" t="s">
        <v>35</v>
      </c>
      <c r="C8" t="s">
        <v>208</v>
      </c>
    </row>
    <row r="9" spans="1:7" x14ac:dyDescent="0.25">
      <c r="A9" t="s">
        <v>44</v>
      </c>
      <c r="B9" t="s">
        <v>51</v>
      </c>
      <c r="C9" t="s">
        <v>209</v>
      </c>
    </row>
    <row r="10" spans="1:7" x14ac:dyDescent="0.25">
      <c r="A10" t="s">
        <v>47</v>
      </c>
      <c r="B10" t="s">
        <v>51</v>
      </c>
      <c r="C10" t="s">
        <v>210</v>
      </c>
    </row>
    <row r="11" spans="1:7" x14ac:dyDescent="0.25">
      <c r="A11" t="s">
        <v>48</v>
      </c>
      <c r="B11" t="s">
        <v>51</v>
      </c>
      <c r="C11" t="s">
        <v>211</v>
      </c>
    </row>
    <row r="12" spans="1:7" x14ac:dyDescent="0.25">
      <c r="A12" t="s">
        <v>69</v>
      </c>
      <c r="B12" t="s">
        <v>51</v>
      </c>
      <c r="C12" t="s">
        <v>212</v>
      </c>
    </row>
    <row r="13" spans="1:7" x14ac:dyDescent="0.25">
      <c r="A13" t="s">
        <v>71</v>
      </c>
      <c r="B13" t="s">
        <v>51</v>
      </c>
      <c r="C13" t="s">
        <v>213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5C98-D213-4C3E-A62C-3D471ED52EA4}">
  <dimension ref="A2:G31"/>
  <sheetViews>
    <sheetView workbookViewId="0">
      <selection activeCell="A22" sqref="A22:A3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8" t="s">
        <v>98</v>
      </c>
      <c r="B2" s="10">
        <v>45970</v>
      </c>
    </row>
    <row r="3" spans="1:7" x14ac:dyDescent="0.25">
      <c r="G3" t="str">
        <f>_xlfn.CONCAT("&gt;",A10,"|anti-Nipha virus glycoprotein G Fv sequence|Designed by Silico Biosciences using: ",B10,"\n",C10)</f>
        <v>&gt;sbio-nipahgpg-027|anti-Nipha virus glycoprotein G Fv sequence|Designed by Silico Biosciences using: ProteinMPNN\nSITLVQSGDVTVAPGGSVTLTCTSSGGSFGNKAVAWVRQRPGGPYEWLGFIIPAYGVSRYNPAYEGRVTISVDSASNTASLTISNLTAADTATYYCALGEGEIVYAASPFDENYKLGALYIWGQGTKVTVSGGGSGGGSGGGSITLTQSPSSPSLSVGETATLTCTASAPVPKSNVAWYKQLPGQPPELLIYGGSTRASGVPSRYSGSGSGTTFTLTISSLTADDFATYYCQVYGENPSFGEGTTLTLK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4" spans="1:7" x14ac:dyDescent="0.25">
      <c r="A4" t="s">
        <v>72</v>
      </c>
      <c r="B4" t="s">
        <v>51</v>
      </c>
      <c r="C4" t="s">
        <v>214</v>
      </c>
      <c r="G4" t="str">
        <f>_xlfn.CONCAT("&gt;",A11,"|anti-Nipha virus glycoprotein G Fv sequence|Designed by Silico Biosciences using: ",B11,"\n",C11)</f>
        <v>&gt;sbio-nipahgpg-028|anti-Nipha virus glycoprotein G Fv sequence|Designed by Silico Biosciences using: ProteinMPNN\nSVTLVQSGDQTVPIGGSVTLSCTANGGSFGNKGVAWVRQRPGGPYEFLGFIKPAIGESRYHPKYKGRVTISSDVSSNTAYLTISNLTPEDTAVYYCALGEAEDVFAAHPFKTDLLLGALSIWGQGTRVTVTGGGSGGGSGGGSITVTQSPSSPSLSVGETAVLTCTLSQPVPQSQVAWYKQLPGQPPTLLISGGSTRASGVPSRYSGSGSGTTFTLTISSLLPEDFATYYCQVVGKEPSFGQGTTLTLK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5" spans="1:7" x14ac:dyDescent="0.25">
      <c r="A5" t="s">
        <v>73</v>
      </c>
      <c r="B5" t="s">
        <v>51</v>
      </c>
      <c r="C5" t="s">
        <v>215</v>
      </c>
      <c r="G5" t="str">
        <f>_xlfn.CONCAT("&gt;",A12,"|anti-Nipha virus glycoprotein G Fv sequence|Designed by Silico Biosciences using: ",B12,"\n",C12)</f>
        <v>&gt;sbio-nipahgpg-029|anti-Nipha virus glycoprotein G Fv sequence|Designed by Silico Biosciences using: ProteinMPNN\nSVKLVQSGDQTVPVGGSVTLSCTASGGSFGNYGVAWVRQRPGGPLEYIGSIIPAYGISTVNPKYEGRVTISADPTNNTAYLTISNLTPEDTATYYCALGPGEVVFASSPFDIDVLTGALWVWGEGTKVTVTGGGSGGGSGGGSITVTQSPSSPSLKVGETATLTCTLSAPVAKSNVAWYKQLPGQPPELLIYGGSTRASGVPSRYSGSGSGTTFTLTISSLQPEDFATYYCQVVGKNPSFGQGTLLKLK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6" spans="1:7" x14ac:dyDescent="0.25">
      <c r="A6" t="s">
        <v>74</v>
      </c>
      <c r="B6" t="s">
        <v>51</v>
      </c>
      <c r="C6" t="s">
        <v>216</v>
      </c>
    </row>
    <row r="7" spans="1:7" x14ac:dyDescent="0.25">
      <c r="A7" t="s">
        <v>75</v>
      </c>
      <c r="B7" t="s">
        <v>51</v>
      </c>
      <c r="C7" t="s">
        <v>217</v>
      </c>
    </row>
    <row r="8" spans="1:7" x14ac:dyDescent="0.25">
      <c r="A8" t="s">
        <v>76</v>
      </c>
      <c r="B8" t="s">
        <v>51</v>
      </c>
      <c r="C8" t="s">
        <v>218</v>
      </c>
    </row>
    <row r="9" spans="1:7" x14ac:dyDescent="0.25">
      <c r="A9" t="s">
        <v>101</v>
      </c>
      <c r="B9" t="s">
        <v>109</v>
      </c>
      <c r="C9" t="s">
        <v>219</v>
      </c>
    </row>
    <row r="10" spans="1:7" x14ac:dyDescent="0.25">
      <c r="A10" t="s">
        <v>104</v>
      </c>
      <c r="B10" t="s">
        <v>109</v>
      </c>
      <c r="C10" t="s">
        <v>220</v>
      </c>
    </row>
    <row r="11" spans="1:7" x14ac:dyDescent="0.25">
      <c r="A11" t="s">
        <v>105</v>
      </c>
      <c r="B11" t="s">
        <v>109</v>
      </c>
      <c r="C11" t="s">
        <v>221</v>
      </c>
    </row>
    <row r="12" spans="1:7" x14ac:dyDescent="0.25">
      <c r="A12" t="s">
        <v>106</v>
      </c>
      <c r="B12" t="s">
        <v>109</v>
      </c>
      <c r="C12" t="s">
        <v>222</v>
      </c>
    </row>
    <row r="22" spans="1:1" x14ac:dyDescent="0.25">
      <c r="A22" t="str">
        <f>_xlfn.CONCAT("&gt;",A4,"\n",C4)</f>
        <v>&gt;sbio-nipahgpg-019\nSISLTESGGGTVAPGSSVTLTCTASGFNFSKYSVAWVRQPPGQPLQWVALISPDGSKKWYHPDVKGRATISKDNSKNTSYLTLSNLQPSDTATYYCGIIPGGNIHGDYSMTHWGQGTQLTVVAGGGSGGGSGGGSGGGSMITLTQSPLSLSAKVGDTVTITCTASSPVDDLVSWYQQKPGQPLRLLIRNASERAPGVSSRFSGSGSDTTFTLTISSVQEEDFATYYCQQTSKLPYTFGQGTTLSRA</v>
      </c>
    </row>
    <row r="23" spans="1:1" x14ac:dyDescent="0.25">
      <c r="A23" t="str">
        <f t="shared" ref="A23:A31" si="0">_xlfn.CONCAT("&gt;",A5,"\n",C5)</f>
        <v>&gt;sbio-nipahgpg-020\nAVTLTESGGGTVAPGSSVTLTCTASGFNFSKYILAWVRQAPGQPLEWVASISPDGSKTRYHPAVKGRATASKDNSKNTAYLELKDLRPEDTATYYCGIIPQGSVHGDYSMTHWGQGTELRVEAGGGSGGGSGGGSGGGSPVVLTQSPLSLSAKVGDTVTITCTASSPVDNLVSWYKQAPGQPLQLLIYNATTRAPGVPSRFTGSGSDTTFTLTISSLQPEDFAVYYCQQTYKFPITFGQGTRLTPA</v>
      </c>
    </row>
    <row r="24" spans="1:1" x14ac:dyDescent="0.25">
      <c r="A24" t="str">
        <f t="shared" si="0"/>
        <v>&gt;sbio-nipahgpg-021\nPVKLVESGGGTVAPGSSVTLTCKASGFNFSKYMVQWVRQAPGGAFQWVGLISPDGSTKWYHPDVEGRFTISKDNSKNTAYLEMRNLTPADTAVYYCGIVPQGSVHGDYSITHWGQGVTLTVTAGGGSGGGSGGGSGGGSVVQLTQSPPELSAKVGEKVTITCTASSPVDNLVSWYQQKPGGAPKLLIYNATTLAPGVPSRFSGSGSDTVFTLTIDSLQAEDFATYYCQQTSRLPFTFGQGTVLRPA</v>
      </c>
    </row>
    <row r="25" spans="1:1" x14ac:dyDescent="0.25">
      <c r="A25" t="str">
        <f t="shared" si="0"/>
        <v>&gt;sbio-nipahgpg-022\nAIKLTESGGGTVKPGSSVTLTCQASGFNFSKYIMAWVRQAPGQPLQWVAQISPDNSVKRYHPEVEGRFTASKDNSKNTAYLEMKNLTPADTATYYCAIIPQGSTQGDYSMVHWGQGVELKVVAGGGSGGGSGGGSGGGSPVVLTQSPASLKAAVGDTVTITCTASAPVDNLVSWYKQAPGQPPQLLIYNASTLAPGVPSRFTGSGSDTSFTLTISSLQEEDFATYYCQETSKFPITFGQGTKLEKK</v>
      </c>
    </row>
    <row r="26" spans="1:1" x14ac:dyDescent="0.25">
      <c r="A26" t="str">
        <f t="shared" si="0"/>
        <v>&gt;sbio-nipahgpg-023\nSIKLTESGGGVVAPGESVTLTCTASGFNFSKYEMAWVRQAPGGPLEFVAVISPDGSTTRYHPRVEGRATISRDNSKNTAYLTLRDLTPADTAVYYCGIIPGGSVHGDRALSHWGQGVRLEVRAGGGSGGGSGGGSGGGSMVTLTQSPSSLSAKVGDKVTISCTASEPVDDLVSWYKQAPGGPPQLLISRASTRAPGVPSRFSGSGSDTNFTLTIESLQSSDFATYYCQQTYKFPDTFGQGTTLSEA</v>
      </c>
    </row>
    <row r="27" spans="1:1" x14ac:dyDescent="0.25">
      <c r="A27" t="str">
        <f t="shared" si="0"/>
        <v xml:space="preserve">&gt;sbio-nipahgpg-024\nSVTLVESGDQTVAPGGSVTLSCTSSGGSFGNSGVSWVKQQPGGPLQWIGGIIPSLGISKVSPEYAGRVTISSDSSNNTAYLTISNLTAADTATYYCALGEGEDVFASSPFASNVNLGALSVWGQGTKVTVSGGGSGGGSGGGSITVTQSPSSPSLKVGETATLTCTLSAPVPRSNVAWYKQQPGQPPTLLIYGGSTRAPGVPSRYSGSGSGTTFTLTITALKPEDFATYYCQVYGENPSFGQGTTLKLK </v>
      </c>
    </row>
    <row r="28" spans="1:1" x14ac:dyDescent="0.25">
      <c r="A28" t="str">
        <f t="shared" si="0"/>
        <v>&gt;sbio-nipahgpg-027\nSITLVQSGDVTVAPGGSVTLTCTSSGGSFGNKAVAWVRQRPGGPYEWLGFIIPAYGVSRYNPAYEGRVTISVDSASNTASLTISNLTAADTATYYCALGEGEIVYAASPFDENYKLGALYIWGQGTKVTVSGGGSGGGSGGGSITLTQSPSSPSLSVGETATLTCTASAPVPKSNVAWYKQLPGQPPELLIYGGSTRASGVPSRYSGSGSGTTFTLTISSLTADDFATYYCQVYGENPSFGEGTTLTLK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29" spans="1:1" x14ac:dyDescent="0.25">
      <c r="A29" t="str">
        <f t="shared" si="0"/>
        <v>&gt;sbio-nipahgpg-028\nSVTLVQSGDQTVPIGGSVTLSCTANGGSFGNKGVAWVRQRPGGPYEFLGFIKPAIGESRYHPKYKGRVTISSDVSSNTAYLTISNLTPEDTAVYYCALGEAEDVFAAHPFKTDLLLGALSIWGQGTRVTVTGGGSGGGSGGGSITVTQSPSSPSLSVGETAVLTCTLSQPVPQSQVAWYKQLPGQPPTLLISGGSTRASGVPSRYSGSGSGTTFTLTISSLLPEDFATYYCQVVGKEPSFGQGTTLTLK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30" spans="1:1" x14ac:dyDescent="0.25">
      <c r="A30" t="str">
        <f t="shared" si="0"/>
        <v>&gt;sbio-nipahgpg-029\nSVKLVQSGDQTVPVGGSVTLSCTASGGSFGNYGVAWVRQRPGGPLEYIGSIIPAYGISTVNPKYEGRVTISADPTNNTAYLTISNLTPEDTATYYCALGPGEVVFASSPFDIDVLTGALWVWGEGTKVTVTGGGSGGGSGGGSITVTQSPSSPSLKVGETATLTCTLSAPVAKSNVAWYKQLPGQPPELLIYGGSTRASGVPSRYSGSGSGTTFTLTISSLQPEDFATYYCQVVGKNPSFGQGTLLKLK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31" spans="1:1" x14ac:dyDescent="0.25">
      <c r="A31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FDEB-5BB3-48D3-9187-D05B367D0DB3}">
  <dimension ref="A2:G31"/>
  <sheetViews>
    <sheetView workbookViewId="0">
      <selection activeCell="C18" sqref="C18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8" t="s">
        <v>98</v>
      </c>
      <c r="B2" s="10">
        <v>45971</v>
      </c>
    </row>
    <row r="3" spans="1:7" x14ac:dyDescent="0.25">
      <c r="G3" t="str">
        <f>_xlfn.CONCAT("&gt;",A10,"|anti-Nipha virus glycoprotein G Fv sequence|Designed by Silico Biosciences using: ",B10,"\n",C10)</f>
        <v>&gt;sbio-nipahgpg-038|anti-Nipha virus glycoprotein G Fv sequence|Designed by Silico Biosciences using: peleke-1\nQVQLQESGPGLVKPSETLSLSCVVSGDSSSTNYYWGWIRQPPGKGLEWIGYIYGSGDTAYNPSLKSRVTISVDTSKNQFSLKLSSVTAADTAVYYCARRSWGYGYNGYSTYYYYYYFDQGYFDVWGPGTLVTGGGSGGGSGGGSDIQMTQSPSSLSASVGDRVTITCRASQSIGSYLNWYQQKPGKAPKLLIYAASTLQSGVPSRFSGSGSGTEFTLTISSLQPEDFATYYCQQSYSWGQGTKVEIK</v>
      </c>
    </row>
    <row r="4" spans="1:7" x14ac:dyDescent="0.25">
      <c r="A4" t="s">
        <v>184</v>
      </c>
      <c r="B4" t="s">
        <v>18</v>
      </c>
      <c r="C4" t="s">
        <v>260</v>
      </c>
      <c r="G4" t="str">
        <f>_xlfn.CONCAT("&gt;",A11,"|anti-Nipha virus glycoprotein G Fv sequence|Designed by Silico Biosciences using: ",B11,"\n",C11)</f>
        <v>&gt;sbio-nipahgpg-039|anti-Nipha virus glycoprotein G Fv sequence|Designed by Silico Biosciences using: peleke-1\nQVQLVQSGAEVKKPGASVKVSCKASGYTFTSYGISWVRQAPGQGLEWMGWISAHNGDTNYAQKFQGRVTMTRDTSITTAYMELRSDDTAVYYCARDGSVGGFYWGQGTLVTVSSGGGSGGGSGGGSGGGSEIVLTQSPGTLSLSPGERATLSCRASQSVSSYLAWYQQKPGQAPRLLIYGASSRATGIPDRFSGSGSGTDFTLTISRLEPEDFAVYYCQQYGSSPITFGQGTRLEIK</v>
      </c>
    </row>
    <row r="5" spans="1:7" x14ac:dyDescent="0.25">
      <c r="A5" t="s">
        <v>185</v>
      </c>
      <c r="B5" t="s">
        <v>18</v>
      </c>
      <c r="C5" t="s">
        <v>261</v>
      </c>
      <c r="G5" t="str">
        <f>_xlfn.CONCAT("&gt;",A12,"|anti-Nipha virus glycoprotein G Fv sequence|Designed by Silico Biosciences using: ",B12,"\n",C12)</f>
        <v>&gt;sbio-nipahgpg-040|anti-Nipha virus glycoprotein G Fv sequence|Designed by Silico Biosciences using: peleke-1\nEVQLLESGGGLVQPGGSLRLSCAASGFNVSYSSIHWVRQAPGKGLEWVASISPYYGSTSYADSVKGRFTISADTSKNTAYLQMNSLRAEDTAVYYCARSYYWYWSGWGTLVTVSSGGGSGGGSGGGSGGGSDIQMTQSPSSLSASVGDRVTITCRASQSVSSAVAWYQQKPGKAPKLLIYSASSLYSGVPSRFSGSRSGTDFTLTISSLQPEDFATYYCQQSYGSPPTFGQGTKVEIK</v>
      </c>
    </row>
    <row r="6" spans="1:7" x14ac:dyDescent="0.25">
      <c r="A6" t="s">
        <v>186</v>
      </c>
      <c r="B6" t="s">
        <v>18</v>
      </c>
      <c r="C6" t="s">
        <v>262</v>
      </c>
    </row>
    <row r="7" spans="1:7" x14ac:dyDescent="0.25">
      <c r="A7" t="s">
        <v>187</v>
      </c>
      <c r="B7" t="s">
        <v>18</v>
      </c>
      <c r="C7" t="s">
        <v>263</v>
      </c>
    </row>
    <row r="8" spans="1:7" x14ac:dyDescent="0.25">
      <c r="A8" t="s">
        <v>188</v>
      </c>
      <c r="B8" t="s">
        <v>18</v>
      </c>
      <c r="C8" t="s">
        <v>264</v>
      </c>
    </row>
    <row r="9" spans="1:7" x14ac:dyDescent="0.25">
      <c r="A9" t="s">
        <v>189</v>
      </c>
      <c r="B9" t="s">
        <v>18</v>
      </c>
      <c r="C9" t="s">
        <v>265</v>
      </c>
    </row>
    <row r="10" spans="1:7" x14ac:dyDescent="0.25">
      <c r="A10" t="s">
        <v>190</v>
      </c>
      <c r="B10" t="s">
        <v>18</v>
      </c>
      <c r="C10" t="s">
        <v>266</v>
      </c>
    </row>
    <row r="11" spans="1:7" x14ac:dyDescent="0.25">
      <c r="A11" t="s">
        <v>191</v>
      </c>
      <c r="B11" t="s">
        <v>18</v>
      </c>
      <c r="C11" t="s">
        <v>267</v>
      </c>
    </row>
    <row r="12" spans="1:7" x14ac:dyDescent="0.25">
      <c r="A12" t="s">
        <v>192</v>
      </c>
      <c r="B12" t="s">
        <v>18</v>
      </c>
      <c r="C12" t="s">
        <v>268</v>
      </c>
    </row>
    <row r="13" spans="1:7" x14ac:dyDescent="0.25">
      <c r="A13" t="s">
        <v>193</v>
      </c>
      <c r="B13" t="s">
        <v>18</v>
      </c>
      <c r="C13" t="s">
        <v>269</v>
      </c>
    </row>
    <row r="22" spans="1:1" x14ac:dyDescent="0.25">
      <c r="A22" t="str">
        <f>_xlfn.CONCAT("&gt;",A4,"\n",C4)</f>
        <v>&gt;sbio-nipahgpg-032\nVQLQESGPGLVKPSQSLSLTCTVTGYSITTGYAWNWIRQFPGNKLEWMGYISYSGSTYYPSLKSRISITRDTSKNQFFLQLSIVTTEDTATYYCARGTTLPDYVDFWGQGTSVTVSSGGGSGGGSGGGSGGGSDIQLTQSPSSLSASVGDRVTITCRASQTISTYLNWYQQKPGKAPKLLIYAASTLQSGVPSRFSGSGSGTDFTLTISSLQPEDFATYFCLQHFWTPPITFGQGTRLEIK</v>
      </c>
    </row>
    <row r="23" spans="1:1" x14ac:dyDescent="0.25">
      <c r="A23" t="str">
        <f t="shared" ref="A23:A31" si="0">_xlfn.CONCAT("&gt;",A5,"\n",C5)</f>
        <v>&gt;sbio-nipahgpg-033\nQVQLQESGPGLVKPSETLSVTCTVSGGSIGSNNYWSWIRQPAGKGLEWIGYIYYSGSTNYNPSLKSRVTMSVDTSKNQFSLKLSSVTAADTAVYYCVRNYYDSSDSSGYYFMDVWGQGTTVTVSSGGGSGGGSGGGSDIVMTQSPLSLSVTPGEPASISCRSSQSLLHSNGYNYLDWYLQKPGQSPQLLIYLGSNRASGVPDRFSGSGSGTDFTLKISRVEAEDVGVYYCMQALQTPTFGQGTRLEIK</v>
      </c>
    </row>
    <row r="24" spans="1:1" x14ac:dyDescent="0.25">
      <c r="A24" t="str">
        <f t="shared" si="0"/>
        <v>&gt;sbio-nipahgpg-034\nQVQLVQSGAEVKKPGESLKISCKGSGYRFSSYWIGWVRQMPGKGLEWMGIIYPGDSDTRYSPSFQGQVTISADKSISTAYLQWSSLKASDTAMYYCARQGPDYYYGMDVWGQGTTVTVSSGGGSGGGSGGGSGGGSDIQMTQSPSTLSASVGDRVTITCRASQSISSWLAWYQQKPGKAPKLLIYKASELQSGVPSRFSGSGSGTEFTLTISSLQPDDFATYYCQQYINSYTFGQGTKVEIK</v>
      </c>
    </row>
    <row r="25" spans="1:1" x14ac:dyDescent="0.25">
      <c r="A25" t="str">
        <f t="shared" si="0"/>
        <v>&gt;sbio-nipahgpg-035\nQVQLQQSGPELVKPGASVKLSCKASGYTFTDYYMHWVKQRPGQGLEWIGEINPNSGGTNTYDQKFKGRATLTVDKSSSTAYLQLSSLTSEDSAVYYCARSPPWYFDYWGQGTTLTVSGGGSGGGSGGGSGGGSDIVMTQSPSSMFASVGETVTITCRASENIYSNLAWYQQKPGQSPKLLIYWASTRHTGVPDRFTGSGSGTDFTLTISSVQAEDLALYYCQHYGSYSFTFGSGTKLEIK</v>
      </c>
    </row>
    <row r="26" spans="1:1" x14ac:dyDescent="0.25">
      <c r="A26" t="str">
        <f t="shared" si="0"/>
        <v>&gt;sbio-nipahgpg-036\nEVQLVESGGGLVQPGGSLRLSCAASGFNVSYSSIHWVRQAPGKGLEWVASISSYYGYTYYADSVKGRFTISADTSKNTAYLQMNSLRAEDTAVYYCARSRNYVYSSGYLDFWGQGTLVTVSSGGGSGGGSGGGSGGGSDIQMTQSPSSLSASVGDRVTITCRASQSVSSAVAWYQQKPGKAPKLLIYSASSLYSGVPSRFSGSRSGTDFTLTISSLQPEDFATYYCQQSSYSSPPTFGQGTKVEIK</v>
      </c>
    </row>
    <row r="27" spans="1:1" x14ac:dyDescent="0.25">
      <c r="A27" t="str">
        <f t="shared" si="0"/>
        <v>&gt;sbio-nipahgpg-037\nEVQLVESGGGLVQPGGSLRLSCAASGFNIYYSSIHWVRQAPGKGLEWVASISPYYGSTSYADSVKGRFTISADTSKNTAYLQMNSLRAEDTAVYYCARDYGHYYYAMDYWGQGTLVTVSSGGGSGGGSGGGSGGGSEIVMTQSPATLSVSPGERATLSCRASQSVSSYLAWYQQKPGQAPRLLIYGASTRATGIPARFSGSGSGTEFTLTISSLQSEDSAVYYCQQYNNWPPITFGQGTRLEIK</v>
      </c>
    </row>
    <row r="28" spans="1:1" x14ac:dyDescent="0.25">
      <c r="A28" t="str">
        <f t="shared" si="0"/>
        <v>&gt;sbio-nipahgpg-038\nQVQLQESGPGLVKPSETLSLSCVVSGDSSSTNYYWGWIRQPPGKGLEWIGYIYGSGDTAYNPSLKSRVTISVDTSKNQFSLKLSSVTAADTAVYYCARRSWGYGYNGYSTYYYYYYFDQGYFDVWGPGTLVTGGGSGGGSGGGSDIQMTQSPSSLSASVGDRVTITCRASQSIGSYLNWYQQKPGKAPKLLIYAASTLQSGVPSRFSGSGSGTEFTLTISSLQPEDFATYYCQQSYSWGQGTKVEIK</v>
      </c>
    </row>
    <row r="29" spans="1:1" x14ac:dyDescent="0.25">
      <c r="A29" t="str">
        <f t="shared" si="0"/>
        <v>&gt;sbio-nipahgpg-039\nQVQLVQSGAEVKKPGASVKVSCKASGYTFTSYGISWVRQAPGQGLEWMGWISAHNGDTNYAQKFQGRVTMTRDTSITTAYMELRSDDTAVYYCARDGSVGGFYWGQGTLVTVSSGGGSGGGSGGGSGGGSEIVLTQSPGTLSLSPGERATLSCRASQSVSSYLAWYQQKPGQAPRLLIYGASSRATGIPDRFSGSGSGTDFTLTISRLEPEDFAVYYCQQYGSSPITFGQGTRLEIK</v>
      </c>
    </row>
    <row r="30" spans="1:1" x14ac:dyDescent="0.25">
      <c r="A30" t="str">
        <f t="shared" si="0"/>
        <v>&gt;sbio-nipahgpg-040\nEVQLLESGGGLVQPGGSLRLSCAASGFNVSYSSIHWVRQAPGKGLEWVASISPYYGSTSYADSVKGRFTISADTSKNTAYLQMNSLRAEDTAVYYCARSYYWYWSGWGTLVTVSSGGGSGGGSGGGSGGGSDIQMTQSPSSLSASVGDRVTITCRASQSVSSAVAWYQQKPGKAPKLLIYSASSLYSGVPSRFSGSRSGTDFTLTISSLQPEDFATYYCQQSYGSPPTFGQGTKVEIK</v>
      </c>
    </row>
    <row r="31" spans="1:1" x14ac:dyDescent="0.25">
      <c r="A31" t="str">
        <f t="shared" si="0"/>
        <v>&gt;sbio-nipahgpg-041\nQVQLQESGPGLVKPSQTLSLTCTVSGGSISSGHYAWWIRQPPGKGLEWIACIYSSSGSTYYNPSLKSRITISVDTSKNQFSLKLSSVTAADTAVYYCARRQRGYDYDYYYGMDVWGQGTTVTVSSGGGSGGGSGGGSGGGSDIQLTQSPSSLSASVGDRVTITCRASQGISRNLAWYQQKPGKAPKLLIYAASSLQSGVPSRFSGSGSGTDFTLTISSLQPEDFATYYCQQSNNWPITFGQGTKVEIK</v>
      </c>
    </row>
  </sheetData>
  <pageMargins left="0.7" right="0.7" top="0.75" bottom="0.75" header="0.3" footer="0.3"/>
  <pageSetup orientation="portrait" horizontalDpi="1200" verticalDpi="12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4B225-7142-4022-8646-BD8C8E254557}">
  <dimension ref="A2:G31"/>
  <sheetViews>
    <sheetView workbookViewId="0">
      <selection activeCell="C37" sqref="C37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7" x14ac:dyDescent="0.25">
      <c r="A2" s="8" t="s">
        <v>98</v>
      </c>
      <c r="B2" s="10">
        <v>45972</v>
      </c>
    </row>
    <row r="3" spans="1:7" x14ac:dyDescent="0.25">
      <c r="G3" t="str">
        <f>_xlfn.CONCAT("&gt;",A10,"|anti-Nipha virus glycoprotein G Fv sequence|Designed by Silico Biosciences using: ",B10,"\n",C10)</f>
        <v>&gt;sbio-nipahgpg-048|anti-Nipha virus glycoprotein G Fv sequence|Designed by Silico Biosciences using: peleke-1\nEVQLVESGGGLVQPGGSLRLSCAASGFNVYSSSIHWVRQAPGKGLEWVASISSYYGYTYYADSVKGRFTISADTSKNTAYLQMNSLRAEDTAVYYCARSYSTYYYGYWYFDVWGQGTLVTVSSGGGSGGGSGGGSGGGSDIQMTQSPSSLSAAVGDRVTITCRASQSVSSAVAWYQQKPGKAPKLLIYSASSLYSGVPSRFSGSRSGTDFTLTISSLQPEDFATYYCQQYNYYWLITFGQGTKVEIK</v>
      </c>
    </row>
    <row r="4" spans="1:7" x14ac:dyDescent="0.25">
      <c r="A4" t="s">
        <v>194</v>
      </c>
      <c r="B4" t="s">
        <v>18</v>
      </c>
      <c r="C4" t="s">
        <v>270</v>
      </c>
      <c r="G4" t="str">
        <f>_xlfn.CONCAT("&gt;",A11,"|anti-Nipha virus glycoprotein G Fv sequence|Designed by Silico Biosciences using: ",B11,"\n",C11)</f>
        <v>&gt;sbio-nipahgpg-049|anti-Nipha virus glycoprotein G Fv sequence|Designed by Silico Biosciences using: peleke-1\nQVQLQQPGAELVKPGASVKLSCKASGYTFTSDWIHWVKQRPGHGLEWIGEIIPSYGRANYNEKIQKKATLTADKSSSTAFMHLSSLTSEDSAVYYCARERGDGYFAVWGAGTTVTVSSGGGSGGGSGGGSGGGSDILLTQSPAILSVSPGERVSFSCRASQSIGTDIHWYQQRTNGSPRLLIKYASESISGIPSRFSGSGSGTDFTLSINSVESEDIANYYCQQSNRWPFTFGSGTKLEIK</v>
      </c>
    </row>
    <row r="5" spans="1:7" x14ac:dyDescent="0.25">
      <c r="A5" t="s">
        <v>195</v>
      </c>
      <c r="B5" t="s">
        <v>18</v>
      </c>
      <c r="C5" t="s">
        <v>271</v>
      </c>
      <c r="G5" t="str">
        <f>_xlfn.CONCAT("&gt;",A12,"|anti-Nipha virus glycoprotein G Fv sequence|Designed by Silico Biosciences using: ",B12,"\n",C12)</f>
        <v>&gt;sbio-nipahgpg-050|anti-Nipha virus glycoprotein G Fv sequence|Designed by Silico Biosciences using: peleke-1\nVRLLESGGGLVQPGGSLKLSCAASGFDYSRYWMSWVRQAPGKGLKWIGEINPVSSTINYTPSLKDKFIISRDNAKDTLYLQISKVRSEDTALYYCARLYYGYGYWYFDVWGAGTTVTVSSGGGSGGGSGGGSGGGSDIVLTQSPAIMSAAPGDKVTMTCSASSSVSYIHWYQQKSGTSPKRWIYDTSKLTSGVPVRFSGSGSGTSYSLTINTMEAEDAATYYCQQWSSHPQTFGGGTKLEIl</v>
      </c>
    </row>
    <row r="6" spans="1:7" x14ac:dyDescent="0.25">
      <c r="A6" t="s">
        <v>196</v>
      </c>
      <c r="B6" t="s">
        <v>18</v>
      </c>
      <c r="C6" t="s">
        <v>272</v>
      </c>
    </row>
    <row r="7" spans="1:7" x14ac:dyDescent="0.25">
      <c r="A7" t="s">
        <v>197</v>
      </c>
      <c r="B7" t="s">
        <v>18</v>
      </c>
      <c r="C7" t="s">
        <v>273</v>
      </c>
    </row>
    <row r="8" spans="1:7" x14ac:dyDescent="0.25">
      <c r="A8" t="s">
        <v>198</v>
      </c>
      <c r="B8" t="s">
        <v>18</v>
      </c>
      <c r="C8" t="s">
        <v>274</v>
      </c>
    </row>
    <row r="9" spans="1:7" x14ac:dyDescent="0.25">
      <c r="A9" t="s">
        <v>199</v>
      </c>
      <c r="B9" t="s">
        <v>18</v>
      </c>
      <c r="C9" t="s">
        <v>275</v>
      </c>
    </row>
    <row r="10" spans="1:7" x14ac:dyDescent="0.25">
      <c r="A10" t="s">
        <v>200</v>
      </c>
      <c r="B10" t="s">
        <v>18</v>
      </c>
      <c r="C10" t="s">
        <v>276</v>
      </c>
    </row>
    <row r="11" spans="1:7" x14ac:dyDescent="0.25">
      <c r="A11" t="s">
        <v>201</v>
      </c>
      <c r="B11" t="s">
        <v>18</v>
      </c>
      <c r="C11" t="s">
        <v>277</v>
      </c>
    </row>
    <row r="12" spans="1:7" x14ac:dyDescent="0.25">
      <c r="A12" t="s">
        <v>202</v>
      </c>
      <c r="B12" t="s">
        <v>18</v>
      </c>
      <c r="C12" t="s">
        <v>278</v>
      </c>
    </row>
    <row r="13" spans="1:7" x14ac:dyDescent="0.25">
      <c r="A13" t="s">
        <v>203</v>
      </c>
      <c r="B13" t="s">
        <v>18</v>
      </c>
      <c r="C13" t="s">
        <v>279</v>
      </c>
    </row>
    <row r="22" spans="1:1" x14ac:dyDescent="0.25">
      <c r="A22" t="str">
        <f>_xlfn.CONCAT("&gt;",A4,"\n",C4)</f>
        <v>&gt;sbio-nipahgpg-042\nEVQLVESGGGLVQPGGSLRLSCAASGFNIYYSSIHWVRQAPGKGLEWVASIYSYYSSTSYADSVKGRFTISADTSKNTAYLQMNSLRAEDTAVYYCARVYGYLSYSYFYWGLDVWGQGTLVTVSGGGSGGGSGGGSGGGSDIQMTQSPSSLSASVGDRVTITCRASQSVSSAVAWYQQKPGKAPKLLIYSASSLYSGVPSRFSGSRSGTDFTLTISSLQPEDFATYYCQQYKYVPVTFGQGTKVEI</v>
      </c>
    </row>
    <row r="23" spans="1:1" x14ac:dyDescent="0.25">
      <c r="A23" t="str">
        <f t="shared" ref="A23:A31" si="0">_xlfn.CONCAT("&gt;",A5,"\n",C5)</f>
        <v>&gt;sbio-nipahgpg-043\nEVQLQQSGAELVKPGASVKLSCTASGFNIKDTYVHWVKQRPEQGLEWIGRIDPANGYTKYDPKFQGKATITADTSSNTAYLQLSSLTSEDTAVYYCVRPLYDYYAMDYWGQGTTLTVSSGGGSGGGSGGGSGGGSDIVMTQSPSSLAMSAGRVSITCRTSQSISSYLNWVQQKPGKSPKLLIYWASTRESGVPDRFTGSGSGTDFTLTISRVEAEDLGVYYCMQGTHVPYTFGGGTKLEIK</v>
      </c>
    </row>
    <row r="24" spans="1:1" x14ac:dyDescent="0.25">
      <c r="A24" t="str">
        <f t="shared" si="0"/>
        <v>&gt;sbio-nipahgpg-044\nEVQLVESGGGLVKPGGSLRLSCAASGFTFSSYAMHWVRQAPGKGLEWVSAISGGGGSTYYADSVKGRFTISRDNSKNTLYLQMRAEDTAVYYCAKDDADWGQGTLVTVSSGGGSGGGSGGGSGGGSDIQMTQSPSSLSASVGDRVTITCRASQSVSSAVAWYQQKPGKAPKLLIYSASSLYSGVPSRFSGSRSGTDFTLTISSLQPEDFATYYCQQYKYVPFTFGQGTKVEIK</v>
      </c>
    </row>
    <row r="25" spans="1:1" x14ac:dyDescent="0.25">
      <c r="A25" t="str">
        <f t="shared" si="0"/>
        <v>&gt;sbio-nipahgpg-045\nQVQLQESGPGLVKPSQTLSLTCTVSGGSISSGSYYWIRQSPGKGLEWIGYIYYSGSTNYNPSLKSRVTISVDTSKNQFSLKLSSVTAADTAVYYCARHRYYDRGQGTLVTVSSGGGSGGGSGGGSGGGSDIQMTQSPASLSASVGETVTITCRASENIYSNLAWYQQKQGKSPQLLVYAATDLADGVPSRFSGSGSGTQFSLKINSLQPEDFGSYYCQHFWDTPWTFGQGTRVE</v>
      </c>
    </row>
    <row r="26" spans="1:1" x14ac:dyDescent="0.25">
      <c r="A26" t="str">
        <f t="shared" si="0"/>
        <v>&gt;sbio-nipahgpg-046\nEVQLVESGGGLVQPGGSLRLSCAASGFNLYSSSIHWVRQAPGKGLEWVAYISSSGTHYADSVKGRFTISADTSKNTAYLQMRAEDTAVYYCARVGHYYSSGGYYYAMDYWGQGTLVTVSSGGGSGGGSGGGSGGGSDIQMTQSPSSLSASVGDRVTITCRASQSVSSAVAWYQQKPGKAPKLLIYSASSLYSGVPSRFSGSRSGTDFTLTISSLQPEDFATYYCQQYSSYWTFGQGTKVEIK</v>
      </c>
    </row>
    <row r="27" spans="1:1" x14ac:dyDescent="0.25">
      <c r="A27" t="str">
        <f t="shared" si="0"/>
        <v>&gt;sbio-nipahgpg-047\nEVQLVESGGGLVQPGGSLRLSCAASGFNVVDSGISWVRQAPGKGLEWVSYISSSSGSTYYADSVKGRFTISADTSKNTAYLQMNSLRAEDTAVYYCARAHYYGSYFGSVVYYYGLDVWGQGTLVTVSSGGGSGGGSGGGSDIQMTQSPSSLSASVGDRVTITCRASQSVSSAVAWYQQKPGKAPKLLIYSASSLYSGVPSRFSGSRSGTDFTLTISSLQPEDFATYYCQQYDTYPITFGQGTKVEIK</v>
      </c>
    </row>
    <row r="28" spans="1:1" x14ac:dyDescent="0.25">
      <c r="A28" t="str">
        <f t="shared" si="0"/>
        <v>&gt;sbio-nipahgpg-048\nEVQLVESGGGLVQPGGSLRLSCAASGFNVYSSSIHWVRQAPGKGLEWVASISSYYGYTYYADSVKGRFTISADTSKNTAYLQMNSLRAEDTAVYYCARSYSTYYYGYWYFDVWGQGTLVTVSSGGGSGGGSGGGSGGGSDIQMTQSPSSLSAAVGDRVTITCRASQSVSSAVAWYQQKPGKAPKLLIYSASSLYSGVPSRFSGSRSGTDFTLTISSLQPEDFATYYCQQYNYYWLITFGQGTKVEIK</v>
      </c>
    </row>
    <row r="29" spans="1:1" x14ac:dyDescent="0.25">
      <c r="A29" t="str">
        <f t="shared" si="0"/>
        <v>&gt;sbio-nipahgpg-049\nQVQLQQPGAELVKPGASVKLSCKASGYTFTSDWIHWVKQRPGHGLEWIGEIIPSYGRANYNEKIQKKATLTADKSSSTAFMHLSSLTSEDSAVYYCARERGDGYFAVWGAGTTVTVSSGGGSGGGSGGGSGGGSDILLTQSPAILSVSPGERVSFSCRASQSIGTDIHWYQQRTNGSPRLLIKYASESISGIPSRFSGSGSGTDFTLSINSVESEDIANYYCQQSNRWPFTFGSGTKLEIK</v>
      </c>
    </row>
    <row r="30" spans="1:1" x14ac:dyDescent="0.25">
      <c r="A30" t="str">
        <f t="shared" si="0"/>
        <v>&gt;sbio-nipahgpg-050\nVRLLESGGGLVQPGGSLKLSCAASGFDYSRYWMSWVRQAPGKGLKWIGEINPVSSTINYTPSLKDKFIISRDNAKDTLYLQISKVRSEDTALYYCARLYYGYGYWYFDVWGAGTTVTVSSGGGSGGGSGGGSGGGSDIVLTQSPAIMSAAPGDKVTMTCSASSSVSYIHWYQQKSGTSPKRWIYDTSKLTSGVPVRFSGSGSGTSYSLTINTMEAEDAATYYCQQWSSHPQTFGGGTKLEIl</v>
      </c>
    </row>
    <row r="31" spans="1:1" x14ac:dyDescent="0.25">
      <c r="A31" t="str">
        <f t="shared" si="0"/>
        <v>&gt;sbio-nipahgpg-051\nQVQLQESGPGLVQPSQSLSLTCTVSGFSLTSYGVHWVRQSPGKGLEWLGVIWAGGSTDYNSALKSRLSISRDTSKNQVFLKMNSLQTDDTAMYYCAKHGSSNGDYWGQGTSVTVSSGGGSGGGSGGGSGGGSDIVMTQSPDSLAVSLGERATINCKSSQSVLYSSNNKNYLAWYQQKPEGQPPNLLIYWASTRESGVPDRFSGSGSGTDFTLTISSLQAEDVAVYYCQQYYSAPTFGQGTKLEIK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Antibody Candidates</vt:lpstr>
      <vt:lpstr>Antigens</vt:lpstr>
      <vt:lpstr>Notes</vt:lpstr>
      <vt:lpstr>20251107 Submission FASTA</vt:lpstr>
      <vt:lpstr>20251108 Submission FASTA</vt:lpstr>
      <vt:lpstr>20251109 Submission FASTA</vt:lpstr>
      <vt:lpstr>20251110 Submission FASTA</vt:lpstr>
      <vt:lpstr>20251111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2025-11-10T21:13:41Z</dcterms:modified>
  <dc:language>en-US</dc:language>
</cp:coreProperties>
</file>