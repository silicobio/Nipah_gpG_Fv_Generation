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96D21CD0-627B-4BC3-B798-FE209C51F825}" xr6:coauthVersionLast="47" xr6:coauthVersionMax="47" xr10:uidLastSave="{00000000-0000-0000-0000-000000000000}"/>
  <bookViews>
    <workbookView xWindow="38280" yWindow="-120" windowWidth="38640" windowHeight="21240" tabRatio="500" activeTab="1" xr2:uid="{00000000-000D-0000-FFFF-FFFF00000000}"/>
  </bookViews>
  <sheets>
    <sheet name="Antigens" sheetId="1" r:id="rId1"/>
    <sheet name="Antibody Candidates" sheetId="2" r:id="rId2"/>
    <sheet name="Not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7" i="2" l="1"/>
  <c r="K17" i="2" s="1"/>
  <c r="J18" i="2"/>
  <c r="K18" i="2" s="1"/>
  <c r="J19" i="2"/>
  <c r="K19" i="2" s="1"/>
  <c r="J20" i="2"/>
  <c r="K20" i="2" s="1"/>
  <c r="J21" i="2"/>
  <c r="K21" i="2" s="1"/>
  <c r="J22" i="2"/>
  <c r="K22" i="2" s="1"/>
  <c r="J23" i="2"/>
  <c r="K23" i="2" s="1"/>
  <c r="J24" i="2"/>
  <c r="K24" i="2" s="1"/>
  <c r="J13" i="2" l="1"/>
  <c r="K13" i="2" s="1"/>
  <c r="J14" i="2"/>
  <c r="K14" i="2" s="1"/>
  <c r="J15" i="2"/>
  <c r="K15" i="2" s="1"/>
  <c r="J16" i="2"/>
  <c r="K16" i="2" s="1"/>
  <c r="J12" i="2"/>
  <c r="K12" i="2" s="1"/>
  <c r="J11" i="2"/>
  <c r="K11" i="2" s="1"/>
  <c r="J10" i="2"/>
  <c r="K10" i="2" s="1"/>
  <c r="J9" i="2"/>
  <c r="K9" i="2" s="1"/>
  <c r="J7" i="2"/>
  <c r="K7" i="2" s="1"/>
  <c r="J8" i="2"/>
  <c r="K8" i="2" s="1"/>
  <c r="J6" i="2"/>
  <c r="K6" i="2" s="1"/>
  <c r="I6" i="2"/>
  <c r="J5" i="2"/>
  <c r="K5" i="2" s="1"/>
  <c r="I5" i="2"/>
  <c r="J4" i="2"/>
  <c r="K4" i="2" s="1"/>
  <c r="I4" i="2"/>
  <c r="J3" i="2"/>
  <c r="K3" i="2" s="1"/>
  <c r="I3" i="2"/>
  <c r="J2" i="2"/>
  <c r="K2" i="2" s="1"/>
  <c r="I2" i="2"/>
</calcChain>
</file>

<file path=xl/sharedStrings.xml><?xml version="1.0" encoding="utf-8"?>
<sst xmlns="http://schemas.openxmlformats.org/spreadsheetml/2006/main" count="177" uniqueCount="103">
  <si>
    <t>antigen_id</t>
  </si>
  <si>
    <t>antigen_pdb_id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</si>
  <si>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</si>
  <si>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</si>
  <si>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</si>
  <si>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</si>
  <si>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</si>
  <si>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</si>
  <si>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</si>
  <si>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</si>
  <si>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</si>
  <si>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</si>
  <si>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</si>
  <si>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</si>
  <si>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</si>
  <si>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</si>
  <si>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</si>
  <si>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</si>
  <si>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</si>
  <si>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</si>
  <si>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</si>
  <si>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</si>
  <si>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</si>
  <si>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</si>
  <si>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</si>
  <si>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</si>
  <si>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</si>
  <si>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</si>
  <si>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</si>
  <si>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</si>
  <si>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</si>
  <si>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</si>
  <si>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</si>
  <si>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</si>
  <si>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</si>
  <si>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sbio-nipahgpg-006</t>
  </si>
  <si>
    <t>peleke-mistral-7b-instruct-v0.2</t>
  </si>
  <si>
    <t>VGPRTTLTVSLRSGASVKMSCKASGYSFTWVRQKPGQGLEWVKISYDGLKDYTNYKFQGVKATITADKSSNTAYLQISNLTSEDTAVYFCSRRAVYYDYWGQGTTLTVSS</t>
  </si>
  <si>
    <t>VTVALGTVSLAPGTVSLRSCRASQSVSLSYLHWYQQKPGQAPLLVYGDNSKRPSGIPDRFSGSSSGNTASLTISGVQAEDEADYYCQSSDSSNWVFGGGTKLTVL</t>
  </si>
  <si>
    <t>sbio-nipahgpg-007</t>
  </si>
  <si>
    <t>DRPSLTVKTSLTVSEPGSSISCASGIGTFSSYDFIVKQPSQGFDLEWIGGISYDSTYVNYSLKHRISRTIITNWKNTLQFTISLTSLKPASVYFDVWGAGTWISPYWGQGTTLTVSSSSAVSSFYVKNKGLDVWGHVITVN</t>
  </si>
  <si>
    <t>DIQLTQSPFLSLSPGSTASISCSGSSYDYTSGYRYKSSGKSPKPWMQRFLYSGSKRFSGVPERFIGSGTDFALTISRVEAEDVGFCSGWIFPFTFGPGTKVDIK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</si>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</sst>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zoomScaleNormal="100" workbookViewId="0">
      <selection activeCell="C1" sqref="C1"/>
    </sheetView>
  </sheetViews>
  <sheetFormatPr defaultColWidth="9.140625" defaultRowHeight="15" x14ac:dyDescent="0.25"/>
  <cols>
    <col min="1" max="1" width="10.42578125" style="1" customWidth="1"/>
    <col min="2" max="2" width="14.5703125" style="1" customWidth="1"/>
    <col min="3" max="3" width="78.5703125" style="1" customWidth="1"/>
    <col min="4" max="4" width="44.140625" style="1" customWidth="1"/>
    <col min="5" max="5" width="93.28515625" style="1" customWidth="1"/>
    <col min="6" max="1024" width="9.1406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05" x14ac:dyDescent="0.25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4"/>
  <sheetViews>
    <sheetView tabSelected="1" topLeftCell="A18" zoomScaleNormal="100" workbookViewId="0">
      <selection activeCell="G6" sqref="G6"/>
    </sheetView>
  </sheetViews>
  <sheetFormatPr defaultColWidth="9.140625" defaultRowHeight="15" x14ac:dyDescent="0.25"/>
  <cols>
    <col min="1" max="1" width="17.85546875" style="1" customWidth="1"/>
    <col min="2" max="2" width="22.5703125" style="1" bestFit="1" customWidth="1"/>
    <col min="3" max="3" width="14.7109375" style="2" customWidth="1"/>
    <col min="4" max="4" width="11.7109375" style="7" customWidth="1"/>
    <col min="5" max="5" width="11.7109375" style="1" customWidth="1"/>
    <col min="6" max="6" width="18.42578125" style="1" bestFit="1" customWidth="1"/>
    <col min="7" max="7" width="54" style="2" customWidth="1"/>
    <col min="8" max="8" width="42.140625" style="2" customWidth="1"/>
    <col min="9" max="9" width="16" style="1" customWidth="1"/>
    <col min="10" max="10" width="71.28515625" style="2" customWidth="1"/>
    <col min="11" max="11" width="17.42578125" style="1" customWidth="1"/>
    <col min="12" max="16384" width="9.140625" style="1"/>
  </cols>
  <sheetData>
    <row r="1" spans="1:11" s="5" customFormat="1" x14ac:dyDescent="0.25">
      <c r="A1" s="5" t="s">
        <v>10</v>
      </c>
      <c r="B1" s="5" t="s">
        <v>11</v>
      </c>
      <c r="C1" s="6" t="s">
        <v>12</v>
      </c>
      <c r="D1" s="5" t="s">
        <v>13</v>
      </c>
      <c r="E1" s="5" t="s">
        <v>48</v>
      </c>
      <c r="F1" s="5" t="s">
        <v>57</v>
      </c>
      <c r="G1" s="6" t="s">
        <v>14</v>
      </c>
      <c r="H1" s="6" t="s">
        <v>15</v>
      </c>
      <c r="I1" s="5" t="s">
        <v>47</v>
      </c>
      <c r="J1" s="6" t="s">
        <v>16</v>
      </c>
      <c r="K1" s="5" t="s">
        <v>17</v>
      </c>
    </row>
    <row r="2" spans="1:11" ht="75" x14ac:dyDescent="0.25">
      <c r="A2" s="1" t="s">
        <v>18</v>
      </c>
      <c r="B2" s="1" t="s">
        <v>19</v>
      </c>
      <c r="C2" s="2" t="s">
        <v>20</v>
      </c>
      <c r="D2" s="7">
        <v>0.7</v>
      </c>
      <c r="E2" s="1" t="s">
        <v>49</v>
      </c>
      <c r="G2" s="2" t="s">
        <v>21</v>
      </c>
      <c r="H2" s="2" t="s">
        <v>22</v>
      </c>
      <c r="I2" s="1" t="b">
        <f>TRUE()</f>
        <v>1</v>
      </c>
      <c r="J2" s="2" t="str">
        <f>_xlfn.CONCAT(G2,"GGGSGGGSGGGSGGGS",H2)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K2" s="1">
        <f>LEN(J2)</f>
        <v>246</v>
      </c>
    </row>
    <row r="3" spans="1:11" ht="60" x14ac:dyDescent="0.25">
      <c r="A3" s="1" t="s">
        <v>23</v>
      </c>
      <c r="B3" s="1" t="s">
        <v>19</v>
      </c>
      <c r="C3" s="2" t="s">
        <v>20</v>
      </c>
      <c r="D3" s="7">
        <v>0.7</v>
      </c>
      <c r="E3" s="1" t="s">
        <v>49</v>
      </c>
      <c r="G3" s="2" t="s">
        <v>24</v>
      </c>
      <c r="H3" s="2" t="s">
        <v>25</v>
      </c>
      <c r="I3" s="1" t="b">
        <f>TRUE()</f>
        <v>1</v>
      </c>
      <c r="J3" s="2" t="str">
        <f>_xlfn.CONCAT(G3,"GGGSGGGSGGGSGGGS",H3)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K3" s="1">
        <f>LEN(J3)</f>
        <v>240</v>
      </c>
    </row>
    <row r="4" spans="1:11" ht="60" x14ac:dyDescent="0.25">
      <c r="A4" s="1" t="s">
        <v>26</v>
      </c>
      <c r="B4" s="1" t="s">
        <v>19</v>
      </c>
      <c r="C4" s="2" t="s">
        <v>20</v>
      </c>
      <c r="D4" s="7">
        <v>0.9</v>
      </c>
      <c r="E4" s="1" t="s">
        <v>49</v>
      </c>
      <c r="G4" s="2" t="s">
        <v>27</v>
      </c>
      <c r="H4" s="2" t="s">
        <v>28</v>
      </c>
      <c r="I4" s="1" t="b">
        <f>TRUE()</f>
        <v>1</v>
      </c>
      <c r="J4" s="2" t="str">
        <f>_xlfn.CONCAT(G4,"GGGSGGGSGGGSGGGS",H4)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K4" s="1">
        <f>LEN(J4)</f>
        <v>239</v>
      </c>
    </row>
    <row r="5" spans="1:11" ht="60" x14ac:dyDescent="0.25">
      <c r="A5" s="1" t="s">
        <v>29</v>
      </c>
      <c r="B5" s="1" t="s">
        <v>19</v>
      </c>
      <c r="C5" s="2" t="s">
        <v>20</v>
      </c>
      <c r="D5" s="7">
        <v>0.9</v>
      </c>
      <c r="E5" s="1" t="s">
        <v>49</v>
      </c>
      <c r="G5" s="2" t="s">
        <v>30</v>
      </c>
      <c r="H5" s="2" t="s">
        <v>31</v>
      </c>
      <c r="I5" s="1" t="b">
        <f>TRUE()</f>
        <v>1</v>
      </c>
      <c r="J5" s="2" t="str">
        <f>_xlfn.CONCAT(G5,"GGGSGGGSGGGSGGGS",H5)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K5" s="1">
        <f>LEN(J5)</f>
        <v>240</v>
      </c>
    </row>
    <row r="6" spans="1:11" ht="60" x14ac:dyDescent="0.25">
      <c r="A6" s="1" t="s">
        <v>32</v>
      </c>
      <c r="B6" s="1" t="s">
        <v>19</v>
      </c>
      <c r="C6" s="2" t="s">
        <v>20</v>
      </c>
      <c r="D6" s="7">
        <v>0.5</v>
      </c>
      <c r="E6" s="1" t="s">
        <v>49</v>
      </c>
      <c r="G6" s="2" t="s">
        <v>33</v>
      </c>
      <c r="H6" s="2" t="s">
        <v>34</v>
      </c>
      <c r="I6" s="1" t="b">
        <f>TRUE()</f>
        <v>1</v>
      </c>
      <c r="J6" s="2" t="str">
        <f>_xlfn.CONCAT(G6,"GGGSGGGSGGGSGGGS",H6)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K6" s="1">
        <f>LEN(J6)</f>
        <v>238</v>
      </c>
    </row>
    <row r="7" spans="1:11" ht="60" x14ac:dyDescent="0.25">
      <c r="A7" s="1" t="s">
        <v>35</v>
      </c>
      <c r="B7" s="1" t="s">
        <v>19</v>
      </c>
      <c r="C7" s="2" t="s">
        <v>36</v>
      </c>
      <c r="E7" s="1" t="s">
        <v>49</v>
      </c>
      <c r="G7" s="2" t="s">
        <v>37</v>
      </c>
      <c r="H7" s="4" t="s">
        <v>38</v>
      </c>
      <c r="I7" s="1" t="b">
        <v>0</v>
      </c>
      <c r="J7" s="2" t="str">
        <f t="shared" ref="J7:J24" si="0">_xlfn.CONCAT(G7,"GGGSGGGSGGGSGGGS",H7)</f>
        <v>VGPRTTLTVSLRSGASVKMSCKASGYSFTWVRQKPGQGLEWVKISYDGLKDYTNYKFQGVKATITADKSSNTAYLQISNLTSEDTAVYFCSRRAVYYDYWGQGTTLTVSSGGGSGGGSGGGSGGGSVTVALGTVSLAPGTVSLRSCRASQSVSLSYLHWYQQKPGQAPLLVYGDNSKRPSGIPDRFSGSSSGNTASLTISGVQAEDEADYYCQSSDSSNWVFGGGTKLTVL</v>
      </c>
      <c r="K7" s="1">
        <f t="shared" ref="K7:K24" si="1">LEN(J7)</f>
        <v>231</v>
      </c>
    </row>
    <row r="8" spans="1:11" ht="75" x14ac:dyDescent="0.25">
      <c r="A8" s="1" t="s">
        <v>39</v>
      </c>
      <c r="B8" s="1" t="s">
        <v>19</v>
      </c>
      <c r="C8" s="2" t="s">
        <v>36</v>
      </c>
      <c r="E8" s="1" t="s">
        <v>49</v>
      </c>
      <c r="G8" s="2" t="s">
        <v>40</v>
      </c>
      <c r="H8" s="4" t="s">
        <v>41</v>
      </c>
      <c r="I8" s="1" t="b">
        <v>0</v>
      </c>
      <c r="J8" s="2" t="str">
        <f t="shared" si="0"/>
        <v>DRPSLTVKTSLTVSEPGSSISCASGIGTFSSYDFIVKQPSQGFDLEWIGGISYDSTYVNYSLKHRISRTIITNWKNTLQFTISLTSLKPASVYFDVWGAGTWISPYWGQGTTLTVSSSSAVSSFYVKNKGLDVWGHVITVNGGGSGGGSGGGSGGGSDIQLTQSPFLSLSPGSTASISCSGSSYDYTSGYRYKSSGKSPKPWMQRFLYSGSKRFSGVPERFIGSGTDFALTISRVEAEDVGFCSGWIFPFTFGPGTKVDIK</v>
      </c>
      <c r="K8" s="1">
        <f t="shared" si="1"/>
        <v>261</v>
      </c>
    </row>
    <row r="9" spans="1:11" ht="75" x14ac:dyDescent="0.25">
      <c r="A9" s="1" t="s">
        <v>44</v>
      </c>
      <c r="B9" s="1" t="s">
        <v>42</v>
      </c>
      <c r="C9" s="2" t="s">
        <v>43</v>
      </c>
      <c r="E9" s="1" t="s">
        <v>49</v>
      </c>
      <c r="G9" s="2" t="s">
        <v>45</v>
      </c>
      <c r="H9" s="2" t="s">
        <v>46</v>
      </c>
      <c r="I9" s="1" t="b">
        <v>1</v>
      </c>
      <c r="J9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K9" s="1">
        <f t="shared" si="1"/>
        <v>247</v>
      </c>
    </row>
    <row r="10" spans="1:11" ht="75" x14ac:dyDescent="0.25">
      <c r="A10" s="1" t="s">
        <v>50</v>
      </c>
      <c r="B10" s="1" t="s">
        <v>58</v>
      </c>
      <c r="C10" s="2" t="s">
        <v>59</v>
      </c>
      <c r="D10" s="7">
        <v>0.1</v>
      </c>
      <c r="E10" s="1" t="s">
        <v>56</v>
      </c>
      <c r="F10" s="1" t="s">
        <v>18</v>
      </c>
      <c r="G10" s="2" t="s">
        <v>61</v>
      </c>
      <c r="H10" s="2" t="s">
        <v>62</v>
      </c>
      <c r="I10" s="1" t="b">
        <v>1</v>
      </c>
      <c r="J10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K10" s="1">
        <f t="shared" si="1"/>
        <v>246</v>
      </c>
    </row>
    <row r="11" spans="1:11" ht="75" x14ac:dyDescent="0.25">
      <c r="A11" s="1" t="s">
        <v>51</v>
      </c>
      <c r="B11" s="1" t="s">
        <v>58</v>
      </c>
      <c r="C11" s="2" t="s">
        <v>59</v>
      </c>
      <c r="D11" s="7">
        <v>0.1</v>
      </c>
      <c r="E11" s="1" t="s">
        <v>56</v>
      </c>
      <c r="F11" s="1" t="s">
        <v>18</v>
      </c>
      <c r="G11" s="2" t="s">
        <v>63</v>
      </c>
      <c r="H11" s="2" t="s">
        <v>64</v>
      </c>
      <c r="I11" s="1" t="b">
        <v>1</v>
      </c>
      <c r="J11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K11" s="1">
        <f t="shared" si="1"/>
        <v>246</v>
      </c>
    </row>
    <row r="12" spans="1:11" ht="75" x14ac:dyDescent="0.25">
      <c r="A12" s="1" t="s">
        <v>52</v>
      </c>
      <c r="B12" s="1" t="s">
        <v>58</v>
      </c>
      <c r="C12" s="2" t="s">
        <v>59</v>
      </c>
      <c r="D12" s="7">
        <v>0.1</v>
      </c>
      <c r="E12" s="1" t="s">
        <v>56</v>
      </c>
      <c r="F12" s="1" t="s">
        <v>18</v>
      </c>
      <c r="G12" s="2" t="s">
        <v>65</v>
      </c>
      <c r="H12" s="2" t="s">
        <v>66</v>
      </c>
      <c r="I12" s="1" t="b">
        <v>1</v>
      </c>
      <c r="J12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K12" s="1">
        <f t="shared" si="1"/>
        <v>246</v>
      </c>
    </row>
    <row r="13" spans="1:11" ht="75" x14ac:dyDescent="0.25">
      <c r="A13" s="1" t="s">
        <v>53</v>
      </c>
      <c r="B13" s="1" t="s">
        <v>58</v>
      </c>
      <c r="C13" s="2" t="s">
        <v>59</v>
      </c>
      <c r="D13" s="7">
        <v>0.1</v>
      </c>
      <c r="E13" s="1" t="s">
        <v>56</v>
      </c>
      <c r="F13" s="1" t="s">
        <v>18</v>
      </c>
      <c r="G13" s="2" t="s">
        <v>69</v>
      </c>
      <c r="H13" s="2" t="s">
        <v>70</v>
      </c>
      <c r="I13" s="1" t="b">
        <v>1</v>
      </c>
      <c r="J13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K13" s="1">
        <f t="shared" si="1"/>
        <v>246</v>
      </c>
    </row>
    <row r="14" spans="1:11" ht="75" x14ac:dyDescent="0.25">
      <c r="A14" s="1" t="s">
        <v>54</v>
      </c>
      <c r="B14" s="1" t="s">
        <v>58</v>
      </c>
      <c r="C14" s="2" t="s">
        <v>59</v>
      </c>
      <c r="D14" s="7">
        <v>0.1</v>
      </c>
      <c r="E14" s="1" t="s">
        <v>56</v>
      </c>
      <c r="F14" s="1" t="s">
        <v>18</v>
      </c>
      <c r="G14" s="2" t="s">
        <v>71</v>
      </c>
      <c r="H14" s="2" t="s">
        <v>72</v>
      </c>
      <c r="I14" s="1" t="b">
        <v>1</v>
      </c>
      <c r="J14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K14" s="1">
        <f t="shared" si="1"/>
        <v>247</v>
      </c>
    </row>
    <row r="15" spans="1:11" ht="75" x14ac:dyDescent="0.25">
      <c r="A15" s="1" t="s">
        <v>55</v>
      </c>
      <c r="B15" s="1" t="s">
        <v>58</v>
      </c>
      <c r="C15" s="2" t="s">
        <v>59</v>
      </c>
      <c r="D15" s="7">
        <v>0.1</v>
      </c>
      <c r="E15" s="1" t="s">
        <v>56</v>
      </c>
      <c r="F15" s="1" t="s">
        <v>18</v>
      </c>
      <c r="G15" s="2" t="s">
        <v>73</v>
      </c>
      <c r="H15" s="2" t="s">
        <v>74</v>
      </c>
      <c r="I15" s="1" t="b">
        <v>1</v>
      </c>
      <c r="J15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K15" s="1">
        <f t="shared" si="1"/>
        <v>246</v>
      </c>
    </row>
    <row r="16" spans="1:11" ht="75" x14ac:dyDescent="0.25">
      <c r="A16" s="1" t="s">
        <v>60</v>
      </c>
      <c r="B16" s="1" t="s">
        <v>58</v>
      </c>
      <c r="C16" s="2" t="s">
        <v>59</v>
      </c>
      <c r="D16" s="7">
        <v>0.1</v>
      </c>
      <c r="E16" s="1" t="s">
        <v>56</v>
      </c>
      <c r="F16" s="1" t="s">
        <v>18</v>
      </c>
      <c r="G16" s="2" t="s">
        <v>67</v>
      </c>
      <c r="H16" s="2" t="s">
        <v>68</v>
      </c>
      <c r="I16" s="1" t="b">
        <v>1</v>
      </c>
      <c r="J16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K16" s="1">
        <f t="shared" si="1"/>
        <v>246</v>
      </c>
    </row>
    <row r="17" spans="1:11" ht="75" x14ac:dyDescent="0.25">
      <c r="A17" s="1" t="s">
        <v>76</v>
      </c>
      <c r="B17" s="1" t="s">
        <v>58</v>
      </c>
      <c r="C17" s="2" t="s">
        <v>75</v>
      </c>
      <c r="D17" s="7">
        <v>0.15</v>
      </c>
      <c r="E17" s="1" t="s">
        <v>56</v>
      </c>
      <c r="F17" s="1" t="s">
        <v>18</v>
      </c>
      <c r="G17" s="2" t="s">
        <v>84</v>
      </c>
      <c r="H17" s="2" t="s">
        <v>85</v>
      </c>
      <c r="I17" s="1" t="b">
        <v>1</v>
      </c>
      <c r="J17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K17" s="1">
        <f t="shared" si="1"/>
        <v>247</v>
      </c>
    </row>
    <row r="18" spans="1:11" ht="75" x14ac:dyDescent="0.25">
      <c r="A18" s="1" t="s">
        <v>77</v>
      </c>
      <c r="B18" s="1" t="s">
        <v>58</v>
      </c>
      <c r="C18" s="2" t="s">
        <v>75</v>
      </c>
      <c r="D18" s="7">
        <v>0.15</v>
      </c>
      <c r="E18" s="1" t="s">
        <v>56</v>
      </c>
      <c r="F18" s="1" t="s">
        <v>18</v>
      </c>
      <c r="G18" s="2" t="s">
        <v>86</v>
      </c>
      <c r="H18" s="2" t="s">
        <v>87</v>
      </c>
      <c r="I18" s="1" t="b">
        <v>1</v>
      </c>
      <c r="J18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K18" s="1">
        <f t="shared" si="1"/>
        <v>246</v>
      </c>
    </row>
    <row r="19" spans="1:11" ht="75" x14ac:dyDescent="0.25">
      <c r="A19" s="1" t="s">
        <v>78</v>
      </c>
      <c r="B19" s="1" t="s">
        <v>58</v>
      </c>
      <c r="C19" s="2" t="s">
        <v>75</v>
      </c>
      <c r="D19" s="7">
        <v>0.15</v>
      </c>
      <c r="E19" s="1" t="s">
        <v>56</v>
      </c>
      <c r="F19" s="1" t="s">
        <v>18</v>
      </c>
      <c r="G19" s="2" t="s">
        <v>88</v>
      </c>
      <c r="H19" s="2" t="s">
        <v>89</v>
      </c>
      <c r="I19" s="1" t="b">
        <v>1</v>
      </c>
      <c r="J19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K19" s="1">
        <f t="shared" si="1"/>
        <v>246</v>
      </c>
    </row>
    <row r="20" spans="1:11" ht="75" x14ac:dyDescent="0.25">
      <c r="A20" s="1" t="s">
        <v>79</v>
      </c>
      <c r="B20" s="1" t="s">
        <v>58</v>
      </c>
      <c r="C20" s="2" t="s">
        <v>75</v>
      </c>
      <c r="D20" s="7">
        <v>0.15</v>
      </c>
      <c r="E20" s="1" t="s">
        <v>56</v>
      </c>
      <c r="F20" s="1" t="s">
        <v>18</v>
      </c>
      <c r="G20" s="2" t="s">
        <v>90</v>
      </c>
      <c r="H20" s="2" t="s">
        <v>91</v>
      </c>
      <c r="I20" s="1" t="b">
        <v>1</v>
      </c>
      <c r="J20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K20" s="1">
        <f t="shared" si="1"/>
        <v>246</v>
      </c>
    </row>
    <row r="21" spans="1:11" ht="75" x14ac:dyDescent="0.25">
      <c r="A21" s="1" t="s">
        <v>80</v>
      </c>
      <c r="B21" s="1" t="s">
        <v>58</v>
      </c>
      <c r="C21" s="2" t="s">
        <v>75</v>
      </c>
      <c r="D21" s="7">
        <v>0.15</v>
      </c>
      <c r="E21" s="1" t="s">
        <v>56</v>
      </c>
      <c r="F21" s="1" t="s">
        <v>18</v>
      </c>
      <c r="G21" s="2" t="s">
        <v>92</v>
      </c>
      <c r="H21" s="2" t="s">
        <v>93</v>
      </c>
      <c r="I21" s="1" t="b">
        <v>1</v>
      </c>
      <c r="J21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K21" s="1">
        <f t="shared" si="1"/>
        <v>246</v>
      </c>
    </row>
    <row r="22" spans="1:11" ht="75" x14ac:dyDescent="0.25">
      <c r="A22" s="1" t="s">
        <v>81</v>
      </c>
      <c r="B22" s="1" t="s">
        <v>58</v>
      </c>
      <c r="C22" s="2" t="s">
        <v>75</v>
      </c>
      <c r="D22" s="7">
        <v>0.15</v>
      </c>
      <c r="E22" s="1" t="s">
        <v>56</v>
      </c>
      <c r="F22" s="1" t="s">
        <v>18</v>
      </c>
      <c r="G22" s="2" t="s">
        <v>94</v>
      </c>
      <c r="H22" s="2" t="s">
        <v>95</v>
      </c>
      <c r="I22" s="1" t="b">
        <v>1</v>
      </c>
      <c r="J22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K22" s="1">
        <f t="shared" si="1"/>
        <v>246</v>
      </c>
    </row>
    <row r="23" spans="1:11" ht="75" x14ac:dyDescent="0.25">
      <c r="A23" s="1" t="s">
        <v>82</v>
      </c>
      <c r="B23" s="1" t="s">
        <v>58</v>
      </c>
      <c r="C23" s="2" t="s">
        <v>75</v>
      </c>
      <c r="D23" s="7">
        <v>0.15</v>
      </c>
      <c r="E23" s="1" t="s">
        <v>56</v>
      </c>
      <c r="F23" s="1" t="s">
        <v>18</v>
      </c>
      <c r="G23" s="2" t="s">
        <v>96</v>
      </c>
      <c r="H23" s="2" t="s">
        <v>97</v>
      </c>
      <c r="I23" s="1" t="b">
        <v>1</v>
      </c>
      <c r="J23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K23" s="1">
        <f t="shared" si="1"/>
        <v>246</v>
      </c>
    </row>
    <row r="24" spans="1:11" ht="75" x14ac:dyDescent="0.25">
      <c r="A24" s="1" t="s">
        <v>83</v>
      </c>
      <c r="B24" s="1" t="s">
        <v>58</v>
      </c>
      <c r="C24" s="2" t="s">
        <v>75</v>
      </c>
      <c r="D24" s="7">
        <v>0.15</v>
      </c>
      <c r="E24" s="1" t="s">
        <v>56</v>
      </c>
      <c r="F24" s="1" t="s">
        <v>18</v>
      </c>
      <c r="G24" s="2" t="s">
        <v>98</v>
      </c>
      <c r="H24" s="2" t="s">
        <v>99</v>
      </c>
      <c r="I24" s="1" t="b">
        <v>1</v>
      </c>
      <c r="J24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K24" s="1">
        <f t="shared" si="1"/>
        <v>246</v>
      </c>
    </row>
  </sheetData>
  <phoneticPr fontId="2" type="noConversion"/>
  <conditionalFormatting sqref="I1:I1048576">
    <cfRule type="cellIs" dxfId="2" priority="2" operator="equal">
      <formula>TRUE</formula>
    </cfRule>
    <cfRule type="cellIs" dxfId="1" priority="3" operator="equal">
      <formula>FALSE</formula>
    </cfRule>
    <cfRule type="containsBlanks" dxfId="0" priority="3">
      <formula>LEN(TRIM(I1))=0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2"/>
  <sheetViews>
    <sheetView workbookViewId="0">
      <selection activeCell="B13" sqref="B13"/>
    </sheetView>
  </sheetViews>
  <sheetFormatPr defaultRowHeight="15" x14ac:dyDescent="0.25"/>
  <cols>
    <col min="1" max="1" width="9.140625" style="7"/>
    <col min="2" max="2" width="53" style="3" customWidth="1"/>
  </cols>
  <sheetData>
    <row r="1" spans="1:2" x14ac:dyDescent="0.25">
      <c r="A1" s="5" t="s">
        <v>101</v>
      </c>
      <c r="B1" s="8" t="s">
        <v>102</v>
      </c>
    </row>
    <row r="2" spans="1:2" ht="60" x14ac:dyDescent="0.25">
      <c r="A2" s="7">
        <v>1</v>
      </c>
      <c r="B2" s="3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Antigens</vt:lpstr>
      <vt:lpstr>Antibody Candidates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2025-11-04T16:34:30Z</dcterms:modified>
  <dc:language>en-US</dc:language>
</cp:coreProperties>
</file>