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by/Nipah_gpG_Fv_Generation/"/>
    </mc:Choice>
  </mc:AlternateContent>
  <xr:revisionPtr revIDLastSave="0" documentId="13_ncr:1_{AE93B76B-BBBE-D845-B07C-C9B8D4895F33}" xr6:coauthVersionLast="47" xr6:coauthVersionMax="47" xr10:uidLastSave="{00000000-0000-0000-0000-000000000000}"/>
  <bookViews>
    <workbookView xWindow="0" yWindow="500" windowWidth="35840" windowHeight="20200" tabRatio="500" xr2:uid="{00000000-000D-0000-FFFF-FFFF00000000}"/>
  </bookViews>
  <sheets>
    <sheet name="Antibody Candidates" sheetId="2" r:id="rId1"/>
    <sheet name="Antigens" sheetId="1" r:id="rId2"/>
    <sheet name="Reference Antibodies" sheetId="11" r:id="rId3"/>
    <sheet name="Notes" sheetId="3" r:id="rId4"/>
    <sheet name="FASTA Generation" sheetId="4" r:id="rId5"/>
  </sheets>
  <definedNames>
    <definedName name="_xlnm._FilterDatabase" localSheetId="0" hidden="1">'Antibody Candidates'!$A$1:$V$138</definedName>
  </definedNames>
  <calcPr calcId="191029"/>
  <pivotCaches>
    <pivotCache cacheId="53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9" i="2" l="1"/>
  <c r="N159" i="2" s="1"/>
  <c r="O159" i="2" s="1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M147" i="2"/>
  <c r="N147" i="2" s="1"/>
  <c r="O147" i="2" s="1"/>
  <c r="M149" i="2"/>
  <c r="N149" i="2" s="1"/>
  <c r="O149" i="2" s="1"/>
  <c r="M150" i="2"/>
  <c r="N150" i="2" s="1"/>
  <c r="O150" i="2" s="1"/>
  <c r="M151" i="2"/>
  <c r="N151" i="2" s="1"/>
  <c r="O151" i="2" s="1"/>
  <c r="M152" i="2"/>
  <c r="N152" i="2" s="1"/>
  <c r="O152" i="2" s="1"/>
  <c r="M153" i="2"/>
  <c r="N153" i="2" s="1"/>
  <c r="O153" i="2" s="1"/>
  <c r="M154" i="2"/>
  <c r="N154" i="2" s="1"/>
  <c r="O154" i="2" s="1"/>
  <c r="M155" i="2"/>
  <c r="N155" i="2" s="1"/>
  <c r="O155" i="2" s="1"/>
  <c r="M156" i="2"/>
  <c r="N156" i="2" s="1"/>
  <c r="O156" i="2" s="1"/>
  <c r="M157" i="2"/>
  <c r="N157" i="2" s="1"/>
  <c r="O157" i="2" s="1"/>
  <c r="M158" i="2"/>
  <c r="N158" i="2" s="1"/>
  <c r="O158" i="2" s="1"/>
  <c r="M139" i="2"/>
  <c r="N139" i="2" s="1"/>
  <c r="O139" i="2" s="1"/>
  <c r="M140" i="2"/>
  <c r="N140" i="2" s="1"/>
  <c r="O140" i="2" s="1"/>
  <c r="M141" i="2"/>
  <c r="N141" i="2" s="1"/>
  <c r="O141" i="2" s="1"/>
  <c r="M142" i="2"/>
  <c r="N142" i="2" s="1"/>
  <c r="O142" i="2" s="1"/>
  <c r="M143" i="2"/>
  <c r="N143" i="2" s="1"/>
  <c r="O143" i="2" s="1"/>
  <c r="M144" i="2"/>
  <c r="N144" i="2" s="1"/>
  <c r="O144" i="2" s="1"/>
  <c r="M145" i="2"/>
  <c r="N145" i="2" s="1"/>
  <c r="O145" i="2" s="1"/>
  <c r="M146" i="2"/>
  <c r="N146" i="2" s="1"/>
  <c r="O146" i="2" s="1"/>
  <c r="M148" i="2"/>
  <c r="N148" i="2" s="1"/>
  <c r="O148" i="2" s="1"/>
  <c r="H5" i="11"/>
  <c r="F5" i="11"/>
  <c r="G5" i="11" s="1"/>
  <c r="M129" i="2"/>
  <c r="N129" i="2" s="1"/>
  <c r="O129" i="2" s="1"/>
  <c r="M130" i="2"/>
  <c r="N130" i="2" s="1"/>
  <c r="O130" i="2" s="1"/>
  <c r="M131" i="2"/>
  <c r="N131" i="2" s="1"/>
  <c r="O131" i="2" s="1"/>
  <c r="M132" i="2"/>
  <c r="N132" i="2" s="1"/>
  <c r="O132" i="2" s="1"/>
  <c r="M133" i="2"/>
  <c r="N133" i="2" s="1"/>
  <c r="O133" i="2" s="1"/>
  <c r="M134" i="2"/>
  <c r="N134" i="2" s="1"/>
  <c r="O134" i="2" s="1"/>
  <c r="M135" i="2"/>
  <c r="N135" i="2" s="1"/>
  <c r="O135" i="2" s="1"/>
  <c r="M136" i="2"/>
  <c r="N136" i="2" s="1"/>
  <c r="O136" i="2" s="1"/>
  <c r="M137" i="2"/>
  <c r="N137" i="2" s="1"/>
  <c r="O137" i="2" s="1"/>
  <c r="M138" i="2"/>
  <c r="N138" i="2" s="1"/>
  <c r="O138" i="2" s="1"/>
  <c r="M119" i="2"/>
  <c r="N119" i="2" s="1"/>
  <c r="O119" i="2" s="1"/>
  <c r="M120" i="2"/>
  <c r="N120" i="2" s="1"/>
  <c r="O120" i="2" s="1"/>
  <c r="M121" i="2"/>
  <c r="N121" i="2" s="1"/>
  <c r="O121" i="2" s="1"/>
  <c r="M122" i="2"/>
  <c r="N122" i="2" s="1"/>
  <c r="O122" i="2" s="1"/>
  <c r="M123" i="2"/>
  <c r="N123" i="2" s="1"/>
  <c r="O123" i="2" s="1"/>
  <c r="M124" i="2"/>
  <c r="N124" i="2" s="1"/>
  <c r="O124" i="2" s="1"/>
  <c r="M125" i="2"/>
  <c r="N125" i="2" s="1"/>
  <c r="O125" i="2" s="1"/>
  <c r="M126" i="2"/>
  <c r="N126" i="2" s="1"/>
  <c r="O126" i="2" s="1"/>
  <c r="M127" i="2"/>
  <c r="N127" i="2" s="1"/>
  <c r="O127" i="2" s="1"/>
  <c r="M128" i="2"/>
  <c r="N128" i="2" s="1"/>
  <c r="O128" i="2" s="1"/>
  <c r="M117" i="2"/>
  <c r="N117" i="2" s="1"/>
  <c r="O117" i="2" s="1"/>
  <c r="M118" i="2"/>
  <c r="N118" i="2" s="1"/>
  <c r="O118" i="2" s="1"/>
  <c r="M87" i="2"/>
  <c r="N87" i="2" s="1"/>
  <c r="O87" i="2" s="1"/>
  <c r="M88" i="2"/>
  <c r="N88" i="2" s="1"/>
  <c r="O88" i="2" s="1"/>
  <c r="M89" i="2"/>
  <c r="N89" i="2" s="1"/>
  <c r="O89" i="2" s="1"/>
  <c r="M90" i="2"/>
  <c r="N90" i="2" s="1"/>
  <c r="O90" i="2" s="1"/>
  <c r="M91" i="2"/>
  <c r="N91" i="2" s="1"/>
  <c r="O91" i="2" s="1"/>
  <c r="M92" i="2"/>
  <c r="N92" i="2" s="1"/>
  <c r="O92" i="2" s="1"/>
  <c r="M93" i="2"/>
  <c r="N93" i="2" s="1"/>
  <c r="O93" i="2" s="1"/>
  <c r="M94" i="2"/>
  <c r="N94" i="2" s="1"/>
  <c r="O94" i="2" s="1"/>
  <c r="M95" i="2"/>
  <c r="N95" i="2" s="1"/>
  <c r="O95" i="2" s="1"/>
  <c r="M96" i="2"/>
  <c r="N96" i="2" s="1"/>
  <c r="O96" i="2" s="1"/>
  <c r="M97" i="2"/>
  <c r="N97" i="2" s="1"/>
  <c r="O97" i="2" s="1"/>
  <c r="M98" i="2"/>
  <c r="N98" i="2" s="1"/>
  <c r="O98" i="2" s="1"/>
  <c r="M99" i="2"/>
  <c r="N99" i="2" s="1"/>
  <c r="O99" i="2" s="1"/>
  <c r="M100" i="2"/>
  <c r="N100" i="2" s="1"/>
  <c r="O100" i="2" s="1"/>
  <c r="M101" i="2"/>
  <c r="N101" i="2" s="1"/>
  <c r="O101" i="2" s="1"/>
  <c r="M102" i="2"/>
  <c r="N102" i="2" s="1"/>
  <c r="O102" i="2" s="1"/>
  <c r="M103" i="2"/>
  <c r="N103" i="2" s="1"/>
  <c r="O103" i="2" s="1"/>
  <c r="M104" i="2"/>
  <c r="N104" i="2" s="1"/>
  <c r="O104" i="2" s="1"/>
  <c r="M105" i="2"/>
  <c r="N105" i="2" s="1"/>
  <c r="O105" i="2" s="1"/>
  <c r="M106" i="2"/>
  <c r="N106" i="2" s="1"/>
  <c r="O106" i="2" s="1"/>
  <c r="M107" i="2"/>
  <c r="N107" i="2" s="1"/>
  <c r="O107" i="2" s="1"/>
  <c r="M108" i="2"/>
  <c r="N108" i="2" s="1"/>
  <c r="O108" i="2" s="1"/>
  <c r="M109" i="2"/>
  <c r="N109" i="2" s="1"/>
  <c r="O109" i="2" s="1"/>
  <c r="M110" i="2"/>
  <c r="N110" i="2" s="1"/>
  <c r="O110" i="2" s="1"/>
  <c r="M111" i="2"/>
  <c r="N111" i="2" s="1"/>
  <c r="O111" i="2" s="1"/>
  <c r="M112" i="2"/>
  <c r="N112" i="2" s="1"/>
  <c r="O112" i="2" s="1"/>
  <c r="M113" i="2"/>
  <c r="N113" i="2" s="1"/>
  <c r="O113" i="2" s="1"/>
  <c r="M114" i="2"/>
  <c r="N114" i="2" s="1"/>
  <c r="O114" i="2" s="1"/>
  <c r="M115" i="2"/>
  <c r="N115" i="2" s="1"/>
  <c r="O115" i="2" s="1"/>
  <c r="M116" i="2"/>
  <c r="N116" i="2" s="1"/>
  <c r="O116" i="2" s="1"/>
  <c r="M86" i="2"/>
  <c r="N86" i="2" s="1"/>
  <c r="O86" i="2" s="1"/>
  <c r="M85" i="2"/>
  <c r="N85" i="2" s="1"/>
  <c r="O85" i="2" s="1"/>
  <c r="M84" i="2"/>
  <c r="N84" i="2" s="1"/>
  <c r="O84" i="2" s="1"/>
  <c r="M83" i="2"/>
  <c r="N83" i="2" s="1"/>
  <c r="O83" i="2" s="1"/>
  <c r="M82" i="2"/>
  <c r="N82" i="2" s="1"/>
  <c r="O82" i="2" s="1"/>
  <c r="A30" i="4"/>
  <c r="A31" i="4"/>
  <c r="A32" i="4"/>
  <c r="A33" i="4"/>
  <c r="A34" i="4"/>
  <c r="A35" i="4"/>
  <c r="A36" i="4"/>
  <c r="A37" i="4"/>
  <c r="A38" i="4"/>
  <c r="A29" i="4"/>
  <c r="H4" i="11"/>
  <c r="G4" i="11"/>
  <c r="F4" i="11"/>
  <c r="H3" i="11"/>
  <c r="G3" i="11"/>
  <c r="F3" i="11"/>
  <c r="F2" i="11"/>
  <c r="G2" i="11" s="1"/>
  <c r="H2" i="11" s="1"/>
  <c r="M81" i="2"/>
  <c r="N81" i="2" s="1"/>
  <c r="O81" i="2" s="1"/>
  <c r="M51" i="2"/>
  <c r="N51" i="2" s="1"/>
  <c r="O51" i="2" s="1"/>
  <c r="M52" i="2"/>
  <c r="N52" i="2" s="1"/>
  <c r="O52" i="2" s="1"/>
  <c r="M53" i="2"/>
  <c r="N53" i="2" s="1"/>
  <c r="O53" i="2" s="1"/>
  <c r="M54" i="2"/>
  <c r="N54" i="2" s="1"/>
  <c r="O54" i="2" s="1"/>
  <c r="M55" i="2"/>
  <c r="N55" i="2" s="1"/>
  <c r="O55" i="2" s="1"/>
  <c r="M56" i="2"/>
  <c r="N56" i="2" s="1"/>
  <c r="O56" i="2" s="1"/>
  <c r="M57" i="2"/>
  <c r="N57" i="2" s="1"/>
  <c r="O57" i="2" s="1"/>
  <c r="M58" i="2"/>
  <c r="N58" i="2" s="1"/>
  <c r="O58" i="2" s="1"/>
  <c r="M59" i="2"/>
  <c r="N59" i="2" s="1"/>
  <c r="O59" i="2" s="1"/>
  <c r="M60" i="2"/>
  <c r="N60" i="2" s="1"/>
  <c r="O60" i="2" s="1"/>
  <c r="M61" i="2"/>
  <c r="N61" i="2" s="1"/>
  <c r="O61" i="2" s="1"/>
  <c r="M62" i="2"/>
  <c r="N62" i="2" s="1"/>
  <c r="O62" i="2" s="1"/>
  <c r="M63" i="2"/>
  <c r="N63" i="2" s="1"/>
  <c r="O63" i="2" s="1"/>
  <c r="M64" i="2"/>
  <c r="N64" i="2" s="1"/>
  <c r="O64" i="2" s="1"/>
  <c r="M65" i="2"/>
  <c r="N65" i="2" s="1"/>
  <c r="O65" i="2" s="1"/>
  <c r="M66" i="2"/>
  <c r="N66" i="2" s="1"/>
  <c r="O66" i="2" s="1"/>
  <c r="M67" i="2"/>
  <c r="N67" i="2" s="1"/>
  <c r="O67" i="2" s="1"/>
  <c r="M68" i="2"/>
  <c r="N68" i="2" s="1"/>
  <c r="O68" i="2" s="1"/>
  <c r="M69" i="2"/>
  <c r="N69" i="2" s="1"/>
  <c r="O69" i="2" s="1"/>
  <c r="M70" i="2"/>
  <c r="N70" i="2" s="1"/>
  <c r="O70" i="2" s="1"/>
  <c r="M71" i="2"/>
  <c r="N71" i="2" s="1"/>
  <c r="O71" i="2" s="1"/>
  <c r="M72" i="2"/>
  <c r="N72" i="2" s="1"/>
  <c r="O72" i="2" s="1"/>
  <c r="M73" i="2"/>
  <c r="N73" i="2" s="1"/>
  <c r="O73" i="2" s="1"/>
  <c r="M74" i="2"/>
  <c r="N74" i="2" s="1"/>
  <c r="O74" i="2" s="1"/>
  <c r="M75" i="2"/>
  <c r="N75" i="2" s="1"/>
  <c r="O75" i="2" s="1"/>
  <c r="M76" i="2"/>
  <c r="N76" i="2" s="1"/>
  <c r="O76" i="2" s="1"/>
  <c r="M77" i="2"/>
  <c r="N77" i="2" s="1"/>
  <c r="O77" i="2" s="1"/>
  <c r="M78" i="2"/>
  <c r="N78" i="2" s="1"/>
  <c r="O78" i="2" s="1"/>
  <c r="M79" i="2"/>
  <c r="N79" i="2" s="1"/>
  <c r="O79" i="2" s="1"/>
  <c r="M80" i="2"/>
  <c r="N80" i="2" s="1"/>
  <c r="O80" i="2" s="1"/>
  <c r="M25" i="2" l="1"/>
  <c r="N25" i="2" s="1"/>
  <c r="O25" i="2" s="1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<sst xmlns="http://schemas.openxmlformats.org/spreadsheetml/2006/main" count="1591" uniqueCount="658">
  <si>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</si>
  <si>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</si>
  <si>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</si>
  <si>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</si>
  <si>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</si>
  <si>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</si>
  <si>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</si>
  <si>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</si>
  <si>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</si>
  <si>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</si>
  <si>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</si>
  <si>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</si>
  <si>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</si>
  <si>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</si>
  <si>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</si>
  <si>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</si>
  <si>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</si>
  <si>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</si>
  <si>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</si>
  <si>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</si>
  <si>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</si>
  <si>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</si>
  <si>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</si>
  <si>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</si>
  <si>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</si>
  <si>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</si>
  <si>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</si>
  <si>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</si>
  <si>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</si>
  <si>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</si>
  <si>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</si>
  <si>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</si>
  <si>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</si>
  <si>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</si>
  <si>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</si>
  <si>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</si>
  <si>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</si>
  <si>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</si>
  <si>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</si>
  <si>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</si>
  <si>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</si>
  <si>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</si>
  <si>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</si>
  <si>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</si>
  <si>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</si>
  <si>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</si>
  <si>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</si>
  <si>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</si>
  <si>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</si>
  <si>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</si>
  <si>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</si>
  <si>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</si>
  <si>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</si>
  <si>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</si>
  <si>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</si>
  <si>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</si>
  <si>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</si>
  <si>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</si>
  <si>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</si>
  <si>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</si>
  <si>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</si>
  <si>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</si>
  <si>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</si>
  <si>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</si>
  <si>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</si>
  <si>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</si>
  <si>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</si>
  <si>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</si>
  <si>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</si>
  <si>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</si>
  <si>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</si>
  <si>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</si>
  <si>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</si>
  <si>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</si>
  <si>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</si>
  <si>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</si>
  <si>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</si>
  <si>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</si>
  <si>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</si>
  <si>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</si>
  <si>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</si>
  <si>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</si>
  <si>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</si>
  <si>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</si>
  <si>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</si>
  <si>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</si>
  <si>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</si>
  <si>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</si>
  <si>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</si>
  <si>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</si>
  <si>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</si>
  <si>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</si>
  <si>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</si>
  <si>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</si>
  <si>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</si>
  <si>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</si>
  <si>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</si>
  <si>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</si>
  <si>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</si>
  <si>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</si>
  <si>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</si>
  <si>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</si>
  <si>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</si>
  <si>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</si>
  <si>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</si>
  <si>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</si>
  <si>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</si>
  <si>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</si>
  <si>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</si>
  <si>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</si>
  <si>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</si>
  <si>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</si>
  <si>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</si>
  <si>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</si>
  <si>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</si>
  <si>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</si>
  <si>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</si>
  <si>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</si>
  <si>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</si>
  <si>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</si>
  <si>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</si>
  <si>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</si>
  <si>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</si>
  <si>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</si>
  <si>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</si>
  <si>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</si>
  <si>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</si>
  <si>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</si>
  <si>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</si>
  <si>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</si>
  <si>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</si>
  <si>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</si>
  <si>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</si>
  <si>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</si>
  <si>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</si>
  <si>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</si>
  <si>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</si>
  <si>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</si>
  <si>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</si>
  <si>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</si>
  <si>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</si>
  <si>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</si>
  <si>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</si>
  <si>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</si>
  <si>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</si>
  <si>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</si>
  <si>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</si>
  <si>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</si>
  <si>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</si>
  <si>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</si>
  <si>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</si>
  <si>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</si>
  <si>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</si>
  <si>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</si>
  <si>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</si>
  <si>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</si>
  <si>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</si>
  <si>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</si>
  <si>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</si>
  <si>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</si>
  <si>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</si>
  <si>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</si>
  <si>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</si>
  <si>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</si>
  <si>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</si>
  <si>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</si>
  <si>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</si>
  <si>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</si>
  <si>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</si>
  <si>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</si>
  <si>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</si>
  <si>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</si>
  <si>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</si>
  <si>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</si>
  <si>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</si>
  <si>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</si>
  <si>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</si>
  <si>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</si>
  <si>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</si>
  <si>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</si>
  <si>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</si>
  <si>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</si>
  <si>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</si>
  <si>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</si>
  <si>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</si>
  <si>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</si>
  <si>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</si>
  <si>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</si>
  <si>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</si>
  <si>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</si>
  <si>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</si>
  <si>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</si>
  <si>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</si>
  <si>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</si>
  <si>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</si>
  <si>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</si>
  <si>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</si>
  <si>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</si>
  <si>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</si>
  <si>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</si>
  <si>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</si>
  <si>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</si>
  <si>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</si>
  <si>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</si>
  <si>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</si>
  <si>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</si>
  <si>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</si>
  <si>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</si>
  <si>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</si>
  <si>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</si>
  <si>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</si>
  <si>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</si>
  <si>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</si>
  <si>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</si>
  <si>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</si>
  <si>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</si>
  <si>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</si>
  <si>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</si>
  <si>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</si>
  <si>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</si>
  <si>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</si>
  <si>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</si>
  <si>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</si>
  <si>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</si>
  <si>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</si>
  <si>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</si>
  <si>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</si>
  <si>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</si>
  <si>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</si>
  <si>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</si>
  <si>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</si>
  <si>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antigen_source</t>
  </si>
  <si>
    <t>nipah_gpG_comp</t>
  </si>
  <si>
    <t>A</t>
  </si>
  <si>
    <t>B</t>
  </si>
  <si>
    <t>From Protein Data Bank entry</t>
  </si>
  <si>
    <t>brisk-bison-clay</t>
  </si>
  <si>
    <t>rough-bee-cedar</t>
  </si>
  <si>
    <t>quick-ram-stone</t>
  </si>
  <si>
    <t>amber-heron-granite</t>
  </si>
  <si>
    <t>steady-kiwi-dust</t>
  </si>
  <si>
    <t>swift-ibis-birch</t>
  </si>
  <si>
    <t>bright-quail-crystal</t>
  </si>
  <si>
    <t>solid-ant-cypress</t>
  </si>
  <si>
    <t>vast-goat-fern</t>
  </si>
  <si>
    <t>silver-fox-marble</t>
  </si>
  <si>
    <t>jade-heron-plume</t>
  </si>
  <si>
    <t>soft-shark-marble</t>
  </si>
  <si>
    <t>swift-cobra-lotus</t>
  </si>
  <si>
    <t>calm-toad-snow</t>
  </si>
  <si>
    <t>pale-deer-willow</t>
  </si>
  <si>
    <t>rough-seal-oak</t>
  </si>
  <si>
    <t>pale-otter-lotus</t>
  </si>
  <si>
    <t>quick-yak-granite</t>
  </si>
  <si>
    <t>bright-ant-jade</t>
  </si>
  <si>
    <t>From Proteinbase CIF output</t>
  </si>
  <si>
    <t>C</t>
  </si>
  <si>
    <t>MPAENKKVRFENTTSDKGKIPSKVIKSYYGTMDIKKINEGLLDSKILSAFNTVIALLGSIVIIVMNIMII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</si>
  <si>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nipah_gpG_compout</t>
  </si>
  <si>
    <t>proteinbase (github)</t>
  </si>
  <si>
    <t>proteinbase (output)</t>
  </si>
  <si>
    <t>MPAENKKVRFENTTSDKGKIPSKVIKSYYGTMDIKKINEGLLDSKILSAFNTVIALLGSIVIIVMNIMII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</si>
  <si>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From Proteinbase competition evaluation logic (GitHub)</t>
  </si>
  <si>
    <t>sbio-nipahgpg-052</t>
  </si>
  <si>
    <t>sbio-nipahgpg-053</t>
  </si>
  <si>
    <t>sbio-nipahgpg-054</t>
  </si>
  <si>
    <t>sbio-nipahgpg-055</t>
  </si>
  <si>
    <t>sbio-nipahgpg-056</t>
  </si>
  <si>
    <t>sbio-nipahgpg-057</t>
  </si>
  <si>
    <t>sbio-nipahgpg-058</t>
  </si>
  <si>
    <t>sbio-nipahgpg-059</t>
  </si>
  <si>
    <t>sbio-nipahgpg-060</t>
  </si>
  <si>
    <t>sbio-nipahgpg-061</t>
  </si>
  <si>
    <t>sbio-nipahgpg-062</t>
  </si>
  <si>
    <t>sbio-nipahgpg-063</t>
  </si>
  <si>
    <t>sbio-nipahgpg-064</t>
  </si>
  <si>
    <t>sbio-nipahgpg-065</t>
  </si>
  <si>
    <t>sbio-nipahgpg-066</t>
  </si>
  <si>
    <t>sbio-nipahgpg-067</t>
  </si>
  <si>
    <t>sbio-nipahgpg-068</t>
  </si>
  <si>
    <t>sbio-nipahgpg-069</t>
  </si>
  <si>
    <t>sbio-nipahgpg-070</t>
  </si>
  <si>
    <t>sbio-nipahgpg-071</t>
  </si>
  <si>
    <t>sbio-nipahgpg-072</t>
  </si>
  <si>
    <t>sbio-nipahgpg-073</t>
  </si>
  <si>
    <t>sbio-nipahgpg-074</t>
  </si>
  <si>
    <t>sbio-nipahgpg-075</t>
  </si>
  <si>
    <t>sbio-nipahgpg-076</t>
  </si>
  <si>
    <t>sbio-nipahgpg-077</t>
  </si>
  <si>
    <t>sbio-nipahgpg-078</t>
  </si>
  <si>
    <t>sbio-nipahgpg-079</t>
  </si>
  <si>
    <t>sbio-nipahgpg-080</t>
  </si>
  <si>
    <t>sbio-nipahgpg-081</t>
  </si>
  <si>
    <t>QVQLQESGPGLVKPSETLSLTCTVSGGSVSSGGYFWSWIRQPPGKGLEWIGCIYYSGSTNYNPSLKSRVTISVDTSKNQFSLKLSSVTAADTAVYYCARVDSFYYGMDVWGQGTTVTVSS</t>
  </si>
  <si>
    <t>DIQMTQSPSSLSASVGDRVTITCRASQGIRNDLGWYQQKPGKAPKLLIYAASSLQSGVPSRFSGSGSGTDFTLTISSLQPEDFATYYCQQSYSTPRTFGQGTKVEIK</t>
  </si>
  <si>
    <t>EVQLVESGGGLVQPGGSLRLSCAASGFTFSSYAMSWVRQAPGKGLEWVSAISGSGGSTYYADSVKGRFTISRDNSKNTLYLQMNSLRAEDTAVYYCARQVWFGGFDYWGQGTLVTVSS</t>
  </si>
  <si>
    <t>DIQMTQSPSSLSASVGDRVTITCRASQSVSSAVAWYQQKPGKAPKLLIYSASSLYSGVPSRFSGSRSGTDFTLTISSLQPEDFATYYCQQYKYVPVTFGQGTKVEIK</t>
  </si>
  <si>
    <t>EVQLVESGGGLVQPGGSLRLSCAASGFNVSSSYIHWVRQAPGKGLEWVASISSYYGYTYYADSVKGRFTISADTSKNTAYLQMNSLRAEDTAVYYCARSRQFWYSGLDYWGQGTLVTVSS</t>
  </si>
  <si>
    <t>EVQLVESGGGLVQPGGSLRLSCAASGFNISSSSIHWVRQAPGKGLEWVASIYSYSGYTSYADSVKGRFTISADTSKNTAYLQMNSLRAEDTAVYYCARGGSSYFGYYAMDYWGQGTLVTVSS</t>
  </si>
  <si>
    <t>QVQLVQSGAEVKKPGSSVKVSCKASGGTFSSYSISWVRQAPGQGLEWMGGIIIFGTANYAQKFQGRVTITADESTSTAYMELSSLRSEDTAVYYCARGQGTLVDFYWGQGTLVTVSS</t>
  </si>
  <si>
    <t>DIQMTQSPSSLSASVGDRVTITCRASQSISSYLNWYQQKPGKAPKLLIYAASSLQSGVPSRFSGSGSGTDFTLTISSLQPEDFATYYCQQSYSTPRTFGQGTKVEIK</t>
  </si>
  <si>
    <t>EVQLVESGGGLVQPGGSLRLSCAASGFNVSYYSIHWVRQAPGKGLEWVASIYPYSGYTNYADSVKGRFTISADTSKNTAYLQMNSLRAEDTAVYYCARYYGYGYWGYAMDYWGQGTLVTVSS</t>
  </si>
  <si>
    <t>EVQLVESGGGLVQPGGSLRLSCAASGFTFSSYAMSWVRQAPGKGLEWVSAISGSGGSTYYADSVKGRFTISRDNSKNTLYLQMNSLRAEDTAVYYCARGYQVYFDYWGQGTLVTVSS</t>
  </si>
  <si>
    <t>EVQLVESGGGLVQPGGSLRLSCAASGFNVSSSYIHWVRQAPGKGLEWVASISSYYGSTYYADSVKGRFTISADTSKNTAYLQMNSLRAEDTAVYYCARGWSYSWSYSWSYSGLDVWGQGTTVTVSS</t>
  </si>
  <si>
    <t>DIQMTQSPSSLSASVGDRVTITCRASQSVSSAVAWYQQKPGKAPKLLIYSASSLYSGVPSRFSGSRSGTDFTLTISSLQPEDFATYYCQQSSSSLITFGQGTKVEIK</t>
  </si>
  <si>
    <t>EVQLVESGGGLVQPGGSLRLSCAASGFNISSSSIHWVRQAPGKGLEWVASIYSYSGYTSYADSVKGRFTISADTSKNTAYLQMNSLRAEDTAVYYCARGWYYGSSYWGQGTLVTVSS</t>
  </si>
  <si>
    <t>EVQLVESGGGLVQPGGSLRLSCAASGFNVSSSYIHWVRQAPGKGLEWVASISSYYGYTYYADSVKGRFTISADTSKNTAYLQMNSLRAEDTAVYYCARYYGTYYGSSYWGQGTLVTVSS</t>
  </si>
  <si>
    <t>QMQLVQSGAEVKKPGESLKISCKGSGYSFTSYWIGWVRQMPGKGLEWMGIIYPGDSDTRYSPSFQGQVTISADKSISTAYLQWSSLKASDTAIYYCARHYYGGQYFDYWGQGTLVTVSS</t>
  </si>
  <si>
    <t>DIQMTQSPSSLSASVGDRVTITCRASQGIRNDLGWYQQKPGKAPKLLIYAASSLQSGVPSRFSGSGSGTDFTLTISSLQPEDFATYYCQQSYSTPYTFGQGTKLEIK</t>
  </si>
  <si>
    <t>QVQLVQSGAEVKKPGSSVKVSCKASGGTFSSYAISWVRQAPGQGLEWMGGIIPIFGTANYAQKFQGRVTITADESTSTAYMELSSLRSEDTAVYYCARWYDGYFVYWGQGTLVTVSS</t>
  </si>
  <si>
    <t>EVQLVESGGGLVQPGGSLRLSCAASGFNVSSSSIHWVRQAPGKGLEWVASISSYYGYTYYADSVKGRFTISADTSKNTAYLQMNSLRAEDTAVYYCARSRQFWYSGLDYWGQGTLVTVFN</t>
  </si>
  <si>
    <t>EVQLVESGGGLVQPGGSLRLSCAASGFNISSSSIHWVRQAPGKGLEWVASIYSYYGSTYYADSVKGRFTISADTSKNTAYLQMRAEDTAVYYCARGWRSYAMDYWGQGTLVTVSS</t>
  </si>
  <si>
    <t>QVQLVQSGAEVKKPGSSVKVSCKASGGTFSSYSFIWVRQAPGQGLEWMGGIIPIFGTANYAQKFQGRVTITADESTSTAYMELSSLRSEDTAVYYCARSSYSGVYYSWYFDVWGAGTTVTVSS</t>
  </si>
  <si>
    <t>DIQMTQSPSSLSASVGDRVTITCRASQGISNYLAWYQQKPGKAPKLLIYAASTLQSGVPSRFSGSGSGTDFTLTISSLQPEDFATYYCQQSYSTPRTFGQGTKVEIK</t>
  </si>
  <si>
    <t>EVQLQESGPGLVKPSQTLSLTCTVSGGSISSYAAWSWIRQPPGKGLEWIGYIYSSSGSTNYNPSLKSRVTISVDTSKNQFSLKLSSVTAADTAVYYCARGDYSYSYYGLDYWGQGTLVTVSS</t>
  </si>
  <si>
    <t>DIQMTQSPSSLSASVGDRVTITCRASQGIRNDLGWYQQKPGKAPKLLIYAASNLQSGVPSRFSGSGSGTDFTLTISSLQPEDFATYYCQQSYSTPRYTFGQGTKVEIK</t>
  </si>
  <si>
    <t>EVQLQQSGPELVKPGASVKMSCKASGYTFTSYNIHWVKQTPVHGLEWIGAIVSGGDTNYNENFKDKATLTVDKSSSTAYMQLTSEDSAVYYCARGGFYGDYWGQGTSVTVSS</t>
  </si>
  <si>
    <t>DIVLTQSPATLSVTPGDSVSLSCRASQSVTNNIHWYQQKSHESPRLLIKYASQSISGIPSRFSGSGSGTDFTLSINSVETEDFGMYFCQQSNSWPYTFGGGTKLEIK</t>
  </si>
  <si>
    <t>QVQLQESGPGLVKPSQTLSLTCTVSGGSISSGDYYWIRQHPGKGLEWIGYIYYSGSTYYNPSLKSRVTISVDTSKNQFSLKLSSVTAADTAVYYCARQLWLRGRFDYWGQGTLVTVSS</t>
  </si>
  <si>
    <t>DIQMTQSPSSLSASVGDRVTITCRASQGISSWLAWYQQKPGKAPKLLIYAASTLQSGVPSRFSGSGSGTDFTLTISSLQPEDFATYYCQQSYSTPYTFGQGTKVEIK</t>
  </si>
  <si>
    <t>EVQLVESGGGLVQPGGSLRLSCAASGFTVSSNYMSWVRQAPGKGLEWVSVIYSGGSTYYADSVKGRFTISRDNSKNTLYLQMNSLRAEDTAVYYCAREAGVWVFDYWGQGTLVTVSS</t>
  </si>
  <si>
    <t>EVQLVESGGGLVQPGGSLRLSCAASGFNLYSSSIHWVRQAPGKGLEWVASISSYYGSTYYADSVKGRFTISADTSKNTAYLQMNSLRAEDTAVYYCARSRQFWLWFGQGTLVTVSS</t>
  </si>
  <si>
    <t>VQLVQSGAEVKKPGASVKVSCKASGYTFTTYTISWVRQAPGQGLEWMGWINNSGGTNYAQKFQGRVTMTRDTSTSTVSAYMELRSEDTAVYYCATFVYGYSAYQPLTDDYGQMDVWGQGTTVTVSS</t>
  </si>
  <si>
    <t>DIQMTQSPSSLSASVGDRVTITCRASQSISSYLNWFQQKPGKAPKLLIYAASSLQSGVPSRFSGSGSGTDFTLTISSLQPEDFATYYCQQSLLYPLTFGGGTKVEIK</t>
  </si>
  <si>
    <t>EVQLVESGGGLVQPGGSLRLSCAASGFNISSSSIHWVRQAPGKGLEWVASIYSSSGSTYYADSVKGRFTISADTSKNTAYLQMNSLRAEDTAVYYCARHRWWAHPYWGQGTLVTVSS</t>
  </si>
  <si>
    <t>DIQMTQSPSSLSASVGDRVTITCRASQSVSSAVAWYQQKPGKAPKLLIYSASSLYSGVPSRFSGSRSGTDFTLTISSLQPEDFATYYCQQSYYITPYTFGQGTKVEIK</t>
  </si>
  <si>
    <t>EVQLVESGGGVVQPGRSLRLSCAASGFTFSSYAMHWVRQAPGKGLEWVAVIWYDGSNKYYADSVKGRFTISRDNSKNTLFLQMNSLRPEDTAVYYCARDTPMYYDVWGQGTTVTVSS</t>
  </si>
  <si>
    <t>DIQLTQSPSSLSASVGDRVTITCRTSQDIDNYLNWYQQKPGKAPKLLIYYTSSLHSGVPSRFSGSGSGTDFTFTISSLQPEDIATYYCQQYDNLPITFGQGTKLEIK</t>
  </si>
  <si>
    <t>EVQLVESGGGLVQPGGSLRLSCAASGFTFSNYAMSWVRQAPGKGLEWVSAISGSGGSTYYADSVKGRFTISRDNSKNTLYLQMNSLRAEDTAVYYCARLSPYNGSMDYWGQGTLVTVSS</t>
  </si>
  <si>
    <t>VTQPASVSGSPGQSITISCTGTSSDIGAYNYVSWYQQHPGKAPKLMIYEVSKRPSGVSNRFSGSKSGNTASLTISGLQTEDEADYYCSSYTRSGSVVFGGGTKLTVL</t>
  </si>
  <si>
    <t>QVQLVQSGAEVKKPGSSVKVSCKASGGTFSSYTISWVRQAPGQGLEWMGGIIPILGIANYAQKFQGRVTITADKSTSTAYMELSSLRSEDTAVYYCARGDSSYVDSWDYWGQGTLVTVS</t>
  </si>
  <si>
    <t>EIVLTQSPGTLSLSPGERATLSCRASQSVSSSYLAWYQQKPGQAPRLLIYGASSRATGIPDRFSGSGSGTDFTLTISRLEPEDFAVYYCQQYGSSPWTFGQGTKVEIK</t>
  </si>
  <si>
    <t>QVQLVESGGGVVQPGRSLRLSCAASGFTFSNYGMHWVRQAPGKGLEWVAVISDGSNKYYADSVKGRFTISRDNSKNTLYLQMRAEDTAVYYCARGSHSSRDYWGQGTLVTVSS</t>
  </si>
  <si>
    <t>DIQMTQSPSSLSASVGDRVTITCRASQSISSYLNWYQQKPGKAPKLLIYAASSLQSGVPSRFSGSGSGTDFTLTISSLQPEDFATYYCQQSYSTPPYTFGQGTKVEIK</t>
  </si>
  <si>
    <t>VQLVQSGAEVKRPGSSVKVSCKTSGGTIFSTYVFWVRQAPGQGLEWMGGFPPKAGYIYAQKFQGRVTFTADESSSTTVYMEDLRSEDTAVYFCARFPYFVYDVWGQGTTVTVSS</t>
  </si>
  <si>
    <t>DIQMTQSPSSLSASVGDRVTITCRASQSIGGYLAWYQQKPGKVPKLLIYAASSLQSGVPSRFSGSGSGTDFTLTISSLQPEDFATYYCQQSYSTPRTFGQGTKVEIK</t>
  </si>
  <si>
    <t>VQLQESGPGLVKPSQSLSLTCTVTGFSIDYNIYWGWIRQPPGKGLEWIGYIYSGSDTYNPSLKSRVTISVDTSKNQFSLKVNSVTAADTAVYYCARVVDLWYDDGKYASCVKGAIDYWGQGTLVTVSS</t>
  </si>
  <si>
    <t>SVLTQPPSVSGAPGQRVTISCTGSSGAGYDVHWYQQLPGTAPKLLIYGNSNRPSGVPDRFSGSKSGTSASLAITGLQAEDEADYYCQSYDSSLSGWVFGGGTKLTVL</t>
  </si>
  <si>
    <t>EVQLVESGGGLVQPGGSLRLSCAASGFNVVDFSLHWVRQAPGKGLEWVASIYPYDGSAYYADSVKGRFTISADTSKNTAYLQMNSLRAEDTAVYYCARWGYWPGEGWLGKYWGQGTLVTVS</t>
  </si>
  <si>
    <t>EVQLVESGGGLVQPGGSLRLSCAASGFNISSSSIHWVRQAPGKGLEWVASISSSYGSTYYADSVKGRFTISADTSKNTAYLQMNSLRAEDTAVYYCARWEGYRGDLWGQGTLVTVSS</t>
  </si>
  <si>
    <t>DIQMTQSPSSLSASVGDRVTITCRASQSVSSAVAWYQQKPGKAPKLLIYSASSLYSGVPSRFSGSRSGTDFTLTISSLQPEDFATYYCQQYYEWLRTFGQGTKVEIK</t>
  </si>
  <si>
    <t>sbio-nipahgpg-082</t>
  </si>
  <si>
    <t>Humanized using Abysis (Chothia scheme and CDR regions)</t>
  </si>
  <si>
    <t>QVQLQESGPGLVKPSQTLSLTCTVSGGSVSSGSYYWSWIRQPPGKGLEWIGYIYYSGSTNYNPSLKSRVTISVDTSKNQFSLKLSSVTAADTAVYYCARVDSFYYGMDVWGQGTTVTVSS</t>
  </si>
  <si>
    <t>DIQMTQSPSSLSASVGDRVTITCRASSGSSYDNGWYQQKPGKAPKLLIYAASSLQSGVPSRFSGSGSGTDFTLTISSLQPEDFATYYLQDSNYTPRTFGQGTKVEIK</t>
  </si>
  <si>
    <t>gentle-quail-fern</t>
  </si>
  <si>
    <t>swift-wolf-marble</t>
  </si>
  <si>
    <t>crimson-kiwi-pine</t>
  </si>
  <si>
    <t>solid-bee-ivy</t>
  </si>
  <si>
    <t>vast-goat-clay</t>
  </si>
  <si>
    <t>quick-panda-iron</t>
  </si>
  <si>
    <t>brisk-panther-marble</t>
  </si>
  <si>
    <t>wild-tiger-jade</t>
  </si>
  <si>
    <t>ivory-cat-ivy</t>
  </si>
  <si>
    <t>violet-quail-maple</t>
  </si>
  <si>
    <t>ref_antibody_id</t>
  </si>
  <si>
    <t>pdb_id</t>
  </si>
  <si>
    <t>QSLEESGGRLVTPGTPLTLTCTASGFSLSSYYMMWVRQAPGKGLEWIGIINTGGNAYYASWTKGRFTISKTSTTVDLKITSPTTEDTATYFCARAVPSGAGYSAGGLWGPGTLVTVSS</t>
  </si>
  <si>
    <t>DQVLTQTPASVEAAVGGTVTIKCQASQSVGFYLSWYQQKPGQPPKLLIYRASTLESGVPSRFKGSGSGTEFTLTISDLECADAATYYCQTNDYLASSAFGGGTEVVVRGDP</t>
  </si>
  <si>
    <t>fab92_1</t>
  </si>
  <si>
    <t>8RVN_fasta</t>
  </si>
  <si>
    <t>fab92_2</t>
  </si>
  <si>
    <t>8VRN_JI</t>
  </si>
  <si>
    <t>EVQLQQSGAELVKPGASVKLSCTASGFNIKDTYMYWVKQRPEQGLEWIGRIDPANGDTKYDPKFQGKATITTDTFSNTAYLQLSSLTSEDTAVYYCARKGLRWAMDYWGQGTSVTVST</t>
  </si>
  <si>
    <t>NIVMTQSPKSMSMSVGERVTLSCKASEYVGTYVSWYQQKPEQSPKLLIYGASNRYTGVPDRFTGSGSATDFTLTIGSVQAEDLADYHCGQSYSYPTFGAGTKLELKRA</t>
  </si>
  <si>
    <t>1f5</t>
  </si>
  <si>
    <t>7KI6_CB</t>
  </si>
  <si>
    <t>QIVLTQSPAIMSASLGEAITLTCSASSSVSYMHWYQQKSGTSPKLLIYSTSNLASGVPSRFSGSGSGTFYSLTISSVEAEDAADYYCHQWYSYPWTFGGGTKLEIK</t>
  </si>
  <si>
    <t>DVQLQESGPGLVKPSQSLSLTCSVTGYSITSDYYWNWIRQFPGNKLEWMGYVTYDGSNNYNPSLKNRISITRDSSKNQFFLKLNSVISEDTATYYCARFGSSYWAMDYWGQGTSLTVSS</t>
  </si>
  <si>
    <t>sbio-nipahgpg-083</t>
  </si>
  <si>
    <t>QVQLVQSGAEVKKPGSSVKVSCKASGGTFSSYTISWVRQAPGQGLEWMGRIIPIFGTANYAQKFQGRVTITADKSTSTAYMELSSLRSEDTAVYYCARYYDSYFDYWGQGTLVTVSS</t>
  </si>
  <si>
    <t>DIQMTQSPSSLSASVGDRVTITCRASQGISSWLAWYQQKPGKAPKLLIYAASSLQSGVPSRFSGSGSGTDFTLTISSLQPEDFATYYCQCGNSFPWTFGGGTKLEIK</t>
  </si>
  <si>
    <t>frozen-goat-snow</t>
  </si>
  <si>
    <t>vast-shark-iron</t>
  </si>
  <si>
    <t>quiet-ant-vine</t>
  </si>
  <si>
    <t>crimson-boar-moss</t>
  </si>
  <si>
    <t>swift-panther-sand</t>
  </si>
  <si>
    <t>deep-otter-oak</t>
  </si>
  <si>
    <t>carlet-moth-plume</t>
  </si>
  <si>
    <t>swift-heron-dust</t>
  </si>
  <si>
    <t>violet-panda-ash</t>
  </si>
  <si>
    <t>FAILED SIMILARITY TEST</t>
  </si>
  <si>
    <t>GPT-4o</t>
  </si>
  <si>
    <t>DVQLQESGPGLVKPSQTLSLTCTVSGYSITSDYYWNWIRQFPGNKLEWMGYISYDGSSNYNPSLKNRISITRDNSKNQFFLQLNSVTTEDTATYYCARSCSRRGYAMDYWGQGTSVTVSS</t>
  </si>
  <si>
    <t>QIVLTQSPAIMSASLGEKVTLTCSASSSVSYMHWYQQKPGTSPKLLIYSCNLLSGVPDRFSGSGSGTDFTLSISNVETEDAATYYCYQYRIRFGGGTKLTVLQ</t>
  </si>
  <si>
    <t>sbio-nipahgpg-084</t>
  </si>
  <si>
    <t>sbio-nipahgpg-085</t>
  </si>
  <si>
    <t>sbio-nipahgpg-086</t>
  </si>
  <si>
    <t>EVQLVESGGGLVQPGGSLRLSCAASGFTFSSYAMSWVRQAPGKGLEWVSSISRSGGSTYYADSVKGRFTISRDNAKNSLYLQMNSLRAEDTAVYYCARSCSSRGYFDYWGQGTLVTVSS</t>
  </si>
  <si>
    <t>DIVMTQSPDSLAVSLGERATINCRASQSVSSYLAWYQQKPGQSPKLLIYSCNLQSGVPDRFSGSGSGTDFTLTISSLQPEDFATYYCQPYIRFGGGGTKLEIK</t>
  </si>
  <si>
    <t>QVQLQESGPGLVKPSQTLSLTCTVSGFSFSSYAMSWVRQAPGKGLEWVSSISRSGGSTYYADSVKGRFTISRDNAKNSLYLQMNSLRAEDTAVYYCARSCSSRGYLFDYWGQGTLVTVSS</t>
  </si>
  <si>
    <t>GPT-4o /  v_48_030</t>
  </si>
  <si>
    <t>sbio-nipahgpg-087</t>
  </si>
  <si>
    <t>General LLM + ProteinMPNN</t>
  </si>
  <si>
    <t>QVKLTQSPKEVTAKIGDTVTLTCTASQPVSTVSWYMQKPGQPPQLLISNNKLVEGVPERFSASGSGTEFTLTIKDVQKEDEAIYYCEVNGQVFGQGTKLTVLE</t>
  </si>
  <si>
    <t>SIKLTESGPTSVAPGSTLNLTCTVTGDNITSSGWYWWVKQAPDNKLTWIGGIDKNGNTWLNVAYIDRATLTRDPAANTVYLSIRNVTSSDTATYYCAKSSDDNGSYLDVWGQGLKVTVSG</t>
  </si>
  <si>
    <t>sbio-nipahgpg-088</t>
  </si>
  <si>
    <t>sbio-nipahgpg-089</t>
  </si>
  <si>
    <t>sbio-nipahgpg-090</t>
  </si>
  <si>
    <t>sbio-nipahgpg-091</t>
  </si>
  <si>
    <t>sbio-nipahgpg-092</t>
  </si>
  <si>
    <t>sbio-nipahgpg-093</t>
  </si>
  <si>
    <t>sbio-nipahgpg-094</t>
  </si>
  <si>
    <t>sbio-nipahgpg-095</t>
  </si>
  <si>
    <t>sbio-nipahgpg-096</t>
  </si>
  <si>
    <t>sbio-nipahgpg-097</t>
  </si>
  <si>
    <t>sbio-nipahgpg-098</t>
  </si>
  <si>
    <t>sbio-nipahgpg-099</t>
  </si>
  <si>
    <t>sbio-nipahgpg-100</t>
  </si>
  <si>
    <t>sbio-nipahgpg-101</t>
  </si>
  <si>
    <t>sbio-nipahgpg-102</t>
  </si>
  <si>
    <t>sbio-nipahgpg-103</t>
  </si>
  <si>
    <t>sbio-nipahgpg-104</t>
  </si>
  <si>
    <t>sbio-nipahgpg-105</t>
  </si>
  <si>
    <t>sbio-nipahgpg-106</t>
  </si>
  <si>
    <t>sbio-nipahgpg-107</t>
  </si>
  <si>
    <t>sbio-nipahgpg-108</t>
  </si>
  <si>
    <t>sbio-nipahgpg-109</t>
  </si>
  <si>
    <t>sbio-nipahgpg-110</t>
  </si>
  <si>
    <t>sbio-nipahgpg-111</t>
  </si>
  <si>
    <t>sbio-nipahgpg-112</t>
  </si>
  <si>
    <t>sbio-nipahgpg-113</t>
  </si>
  <si>
    <t>sbio-nipahgpg-114</t>
  </si>
  <si>
    <t>sbio-nipahgpg-115</t>
  </si>
  <si>
    <t>sbio-nipahgpg-116</t>
  </si>
  <si>
    <t>sbio-nipahgpg-117</t>
  </si>
  <si>
    <t>EVQLVESGGGLVQPGGSLRLSCAASGFNVSYSSIHWVRQAPGKGLEWVASIYSYSGYTYYADSVKGRFTISADTSKNTAYLQMNSLRAEDTAVYYCARGWYSYFDYWGQGTLVTVSS</t>
  </si>
  <si>
    <t>QVQLVQSGAEVKKPGSSVKVSCKASGGTFSSYAISWVRQAPGQGLEWMGGIIIFGTANYAQKFQGRVTITADKSTSTAYMELRSEDTAVYYCAREGTTGWDYWGQGTLVTVSS</t>
  </si>
  <si>
    <t>EIVLTQSPGTLSLSPGERATLSCRASQSVSSSYLAWYQQKPGQAPRLLIYGASSRATGIPDRFSGSGSGTDFTLTISRLEPEDFAVYYCQQYGSSPRTFGQGTKVEIK</t>
  </si>
  <si>
    <t>EVQLVESGGGLVQPGGSLRLSCAASGFNVSYYSIHWVRQAPGKGLEWVASIYSYSGYTSYADSVKGRFTISADTSKNTAYLQMNSLRAEDTAVYYCARYYVYYGAMDYWGQGTLVTVSS</t>
  </si>
  <si>
    <t>EVQLVESGGGLVQPGGSLRLSCAASGFNVSYSSIHWVRQAPGKGLEWVASIYSYSGYTYYADSVKGRFTISADTSKNTAYLQMNSLRAEDTAVYYCARGWVRGSSYWGQGTLVTVSS</t>
  </si>
  <si>
    <t>EVQLVESGGGLVQPGGSLRLSCAASGFNVSYSSIHWVRQAPGKGLEWVASIYSYSGYTNYADSVKGRFTISADTSKNTAYLQMNSLRAEDTAVYYCARYYGGYGGYFDYWGQGTLVTVSS</t>
  </si>
  <si>
    <t>EVQLVESGGGLVQPGGSLRLSCAASGFNVSYYSIHWVRQAPGKGLEWVASIYPYSGYTNYADSVKGRFTISADTSKNTAYLQMNSLRAEDTAVYYCARYYGYWYFDYWGQGTLVTVSS</t>
  </si>
  <si>
    <t>EVQLVESGGGLVQPGGSLRLSCAASGFNVSYSSIHWVRQAPGKGLEWVASIYSYSGYTSYADSVKGRFTISADTSKNTAYLQMNSLRAEDTAVYYCARYYGGYGGWYFDYWGQGTLVTVSS</t>
  </si>
  <si>
    <t>EVQLVESGGGLVQPGGSLRLSCAASGFNVSYYSIHWVRQAPGKGLEWVASISSYYGYTYYADSVKGRFTISADTSKNTAYLQMNSLRAEDTAVYYCARYYGYWYFDYWGQGTLVTVSS</t>
  </si>
  <si>
    <t>EVQLVESGGGLVQPGGSLRLSCAASGFNVSYYSIHWVRQAPGKGLEWVASISSYYGYTYYADSVKGRFTISADTSKNTAYLQMNSLRAEDTAVYYCARYYGTYYGHSYWGQGTLVTVSS</t>
  </si>
  <si>
    <t>EVQLVESGGGLVQPGGSLRLSCAASGFNVSYSSIHWVRQAPGKGLEWVASIYSYSGYTNYADSVKGRFTISADTSKNTAYLQMNSLRAEDTAVYYCARYWYFGYFDYWGQGTLVTVSS</t>
  </si>
  <si>
    <t>EVQLVESGGGLVKPGGSLRLSCAASGFTFRNYAMSWVRQAPGKGLEWVSSISSKSKSTSYADSVKGRFTISRDNAKNSLYLQMNSLRAEDTAVYYCARESGSFSYEGVWGQGTLVTVSS</t>
  </si>
  <si>
    <t>SVLTQPPSVSGAPGQRVTISCTGSSSNIGAGYDVHWYQQLPGTAPKLLIYDNNKRPSGVPDRFSGSKSGTSASLAITGLQAEDEADYYCQSYDSSLSGLVFGGGTKLTVL</t>
  </si>
  <si>
    <t>EVQLVESGGGLVQPGGSLRLSCAASGFNISSSSIHWVRQAPGKGLEWVASIYYSSGYTHYADSVKGRFTISADTSKNTAYLQMNSLRAEDTAVYYCARWGYWPGQVWLWFAYWGQGTLVTVS</t>
  </si>
  <si>
    <t>QVQLVQSGAEVKKPGSSVKVSCKSSGGTSNNYAISWVRQAPGQGLEWMGGIIPILGIANYAQKFQGRVTITADKSTSTAYMELSSLRSEDTAVYYCAREDAVVDYWGQGTLVTVSS</t>
  </si>
  <si>
    <t>DIQMTQSPSTLSASVGDRVTITCRASQGISSWLAWYQQKPGKAPKLLIYKASSLESGVPSRFSGSGSGTEFTLTISSLQPDDFATYYCQQYNSYPLTFGQGTKVQVK</t>
  </si>
  <si>
    <t>EVQLVESGGGLVQPGGSLRLSCAASGFNVSSSSIHWVRQAPGKGLEWVASISSYYGYTYYADSVKGRFTISADTSKNTAYLQMNSLRAEDTAVYYCARHWGYCSWFAYWGQGTLVTVSS</t>
  </si>
  <si>
    <t>EVQLVESGGGLVQPGGSLRLSCAASGFNISSSSIHWVRQAPGKGLEWVASIYSYSGYTSYADSVKGRFTISADTSKNTAYLQMNSLRAEDTAVYYCARGSHYFGYFDYWGQGTLVTVSS</t>
  </si>
  <si>
    <t>QVQLQESGPGLVKPSQTLSLTCTVSGGSISSGDYYWIRQHPGKGLEWIGYIYYSGSTDYNPSLKSRVTISVDTSKNQFSLKVTAADTAVYYCARTWFGSDYWGQGTLVTVSS</t>
  </si>
  <si>
    <t>DIQMTQSPSSLSASVGDRVTITCRASQGISNYLAWYQQKPGKAPKLLIYAASTLQSGVPSRFSGSGSGTDFTLTISSLQPEDFATYYCQQAHSFPYTFGGGTKLEIK</t>
  </si>
  <si>
    <t>EVQLVESGGGLVQPGGSLRLSCAASGFTFSSYWMNWVRQAPGKGLEWVAFIRYDGGNKYYADSVKGRFTISRDNSKNTLYLQMNSLRAEDTAVYYCARWSYSGGSGSYYVYFDYWGQGTLVTVS</t>
  </si>
  <si>
    <t>SVLTQPPSVSGAPGQRVTISCTGSSSNIGAGYDVHWYQQLPGTAPKLLIYGNSNRPSGVPDRFSGSKSGTSASLAITGLQAEDEADYYCQSYDSSLSGSVFGGGTKLTVL</t>
  </si>
  <si>
    <t>QVQLVQSGAEVKKPGASVKVSCKASGYTFTNYYIHWVRQAPGQGLEWMGWIYPGGNTNYAQKFQGRVTMTRDTSISTAYMELSRLRSDDTAVYYCARVRTEFDYWGQGTLVTVSS</t>
  </si>
  <si>
    <t>DIVMTQSPSSLAMSAGAETITCRSSQSVHSNGYLNWYQQKPGQPPKLLIYWASTRESGVPDRFTGSGSGTDFTLTITNVQSEDLAEYFCQQYSSYPLTFGAGTKLELR</t>
  </si>
  <si>
    <t>QVQLQESGPGLVKPSETLSLTCTVSGGSVSSGGYFWSWIRQPPGKGLEWIGYVSGSGSTNYNPSLKSRVTISVDTSKNQFSLKLSSVTAADTAVYYCARWDVWISDYWGQGTLVTVSS</t>
  </si>
  <si>
    <t>EIVLTQSPATLSLSPGERATLSCRASQSVSSYLAWYQQKPGQAPRLLIYDASNRATGIPARFSGSGSGTDFTLTISSLEPEDFAVYYCQHSWDQPPWTFGQGTKVEIK</t>
  </si>
  <si>
    <t>QVQLQESGPGLVKPSQTLSLTCTVTGSSITSGYWNWIRQFPGNKLEWMGYISYSGTITYNPSLKSRISITRDTSKNQFFLQLNSVTTEDTATYYCARVYDGFYDYWGQGTLVTVSS</t>
  </si>
  <si>
    <t>DIVMTQSPSSLSASVGDRVTITCRASQGISSWLAWYQQKPGKAPKLLIYKASSLESGVPSRFSGSGSGTEFTLTISSLQPDDFATYYCQQYNSYPLTFGGGTKVEIK</t>
  </si>
  <si>
    <t>QVQLVESGGGVVQPGRSLRLSCAASGFTFSNYAMHWVRQAPGKGLEWVAVISYNSGNPYADSVKGRFTISRDNSKNTLYLQMRVEDTAVYYCSRTTIGYGGDIWGNMFDYWGQGTLVTVSS</t>
  </si>
  <si>
    <t>DIVMTQSPATLSVSPGDRATLSCRASQSISTNLAWYQQKPGQAPRLLIYTASTLESGVPSRFSGSGSGTEFTLTISNLQSEDFATYFCQQYSAPLTFGGGTKVEIK</t>
  </si>
  <si>
    <t>EVQLVESGGGLVQPGGSLRLSCAASGFASSSSNYVHWVRQAPGKGLEWVATIYPYSSSEYAASVQGRFTISRDDSKNTLYLQMNSLRGEDTAVYYCARYGYYSSRSGYGYYFNYWGQGTLVTVSS</t>
  </si>
  <si>
    <t>DIVMTQSPASLAVSLGQRATISCRASESVDSYGNSFLAWYQQKPGQPPKLLIYWASTRQSGVPARFSGSGSGTDFTLNIHPVEEEDAATYYCQQHNYPLTFGAGTKLEIK</t>
  </si>
  <si>
    <t>EVQLVESGAEVKKPGSSVKVSCKASGGPFTSYVISWVRQAPGQGLEWMGRIIPIRGTTYAQKFQGRVTITADKSTSTAYMELRSEDTAVYYCARGSHVFGYYDYWGQGTLVTVSS</t>
  </si>
  <si>
    <t>EIVLTQSPGTLSLSPGERATLSCRASQSISGNYLAWYQQKPGQAPRLLIYGASIRAAGIPDRFSGSGSGTDFTLTISRLEPEDFAVYYCQQYGSSPRTFGQGTKVEIK</t>
  </si>
  <si>
    <t>EVQLVETGGGLVQPGGSLKLSCRASGYTFTDYAMHWVRQAPLGLGLYTGGVNYARHFMKSRISITRDNSKNTLYLQMTKVDDTATYFCARRGLFDSDYWGQGTLVTVSS</t>
  </si>
  <si>
    <t>SVTQPPSVSGSTSVGDRVTTCRASQSISSNWLAWYQQFPGTAPKLLIYENSSRPSGVPDRFSGSGSGTDFTLKISRVEAEDVGVYYCLQALSPRFTFGSGTKLEIK</t>
  </si>
  <si>
    <t>QVQLVQSGAEVKKPGSSVKVSCKASGGTFSNYGISWVRQAPGQGLEWMGGIIPILGIANYAQKFQGRVTITADKSTSTAYMELRSLRSDDTAVYYCAREGHAYFHNGLDYWGQGTLVTVSS</t>
  </si>
  <si>
    <t>EIVLTQSPGTLSLSPGERATLSCRASQSVSSSYFAWYQQKPGQAPRLLIYGASSRATGIPDRFSGSGSGTDFTLTISRLEPEDFAVYYCQQYGSSPPATFGQGTKVEIK</t>
  </si>
  <si>
    <t>QVQLVESGGGVVQPGRSLRLSCAASGFTFSSFGMHWVRQAPGKGLEWVAIIWDGSNKYYADSVKGRFTISRDNSKNTLYLQMRAEDTAVYYCALDGGSFDDYWGQGTLVTVSS</t>
  </si>
  <si>
    <t>DIQMTQSPSTLSTSVGDRVTITCRASQSISSWLAWYQQKPGKAPKLLIYKASTLESGVPSRFSGSGSGTEFTLTISSLQPDDFATYYCQHFYGTPITFGPGTKVD</t>
  </si>
  <si>
    <t>EVQLVESGGGLVKPGGSLKVSCAASGFTFSDYSMNWVRQAPGKGLEWVSSITSGYTSIYYADSVKGRFTISRDNAKNSLYLQMNSLRAGDTAVYYCARVSDNFDYWGQGTAVTVSS</t>
  </si>
  <si>
    <t>DIQMTQSPSSLSASVGDRVTITCQASQDIRFYLNWYQQKPGKAPKLLISAASTLQSGVPSRFSGSGSGTDFTLTITSLQPEDFATYYCAGYVPSYTFGPGTKVDIK</t>
  </si>
  <si>
    <t>EVQLQQSGAELVKPGASVKLSCKASGYTFLDYYMYWVKQRPEQGLEWIGRIDPANGNTIYAPKFQDKATLTLTTDTTSSNTAYMQLSSLTSEDSAVYYCAREGNYGYRDLAWFAYWGQGTLVTVSS</t>
  </si>
  <si>
    <t>AIRMTQSPSSLSASVGDTVTITCRASQSISSYLNWYQQKPGKAPKLLIYTASNLESGVPSRFSGSGSGTDYTLTISSLQPEDIATYYCQQYDNPPLTFGGGTKVEIK</t>
  </si>
  <si>
    <t>QVQLQESGPGLVKPSETLSLTCTVSGGSVSSGGYFWSWIRQRPGKGLEWIGHIYYSGTTNYNPSLRSRVTISRDTSKSQFSLKMDSLTSEDTALYYCARQLGLRFDIWGQGTMVTVSS</t>
  </si>
  <si>
    <t>DIQMTQSPSSLSASVGDRVTITCRASQSISSYLNWYQQKPGKAPKLLIYAASSLQSGVPSRFSGSGSGTDFTLTISSLQPEDFATYYCQQSYTTPPTFGQGTKVEIK</t>
  </si>
  <si>
    <t>QVQLVESGGGLVQPGGSLRLSCAASGFNLYSSSIHWVRQAPGKGLEWVARIYPSGATYYADSVKGRFTISADTSKNTAYLQMRAEDTAVYYCARSYYGDDYWGQGTLVTVSS</t>
  </si>
  <si>
    <t>DIQMTQSPSSLSASVGDRVTITCRASQSVSSAVAWYQQKPGKAPKLLIYSASFLYSGVPSRFSGSRSGTDFTLTISSLQPEDFATYYCQQYSYYPFTFGQGTKVEIK</t>
  </si>
  <si>
    <t>bright-moth-reed</t>
  </si>
  <si>
    <t>calm-tiger-flint</t>
  </si>
  <si>
    <t>silver-dove-moss</t>
  </si>
  <si>
    <t>silent-seal-marble</t>
  </si>
  <si>
    <t>radiant-quail-lotus</t>
  </si>
  <si>
    <t>young-fox-flint</t>
  </si>
  <si>
    <t>steady-ant-cloud</t>
  </si>
  <si>
    <t>azure-falcon-cypress</t>
  </si>
  <si>
    <t>calm-moth-ivy</t>
  </si>
  <si>
    <t>young-wolf-cedar</t>
  </si>
  <si>
    <t>silver-raven-granite</t>
  </si>
  <si>
    <t>amber-boar-ice</t>
  </si>
  <si>
    <t>wild-cat-jade</t>
  </si>
  <si>
    <t>violet-ant-onyx</t>
  </si>
  <si>
    <t>young-dove-rose</t>
  </si>
  <si>
    <t>misty-ibis-clay</t>
  </si>
  <si>
    <t>scarlet-panther-opal</t>
  </si>
  <si>
    <t>azure-toad-ice</t>
  </si>
  <si>
    <t>noble-heron-rose</t>
  </si>
  <si>
    <t>solid-fox-crystal</t>
  </si>
  <si>
    <t>wild-crane-lotus</t>
  </si>
  <si>
    <t>mellow-bison-reed</t>
  </si>
  <si>
    <t>misty-lynx-snow</t>
  </si>
  <si>
    <t>green-ant-granite</t>
  </si>
  <si>
    <t>steady-fox-ash</t>
  </si>
  <si>
    <t>strong-eagle-crystal</t>
  </si>
  <si>
    <t>rapid-dove-frost</t>
  </si>
  <si>
    <t>EVQLVESGGGLVQPGGSLRLSCAASGFATVSSNYMSWVRQAPGKGLEWVSVIYSCGSTYYADSVKGRFTISRDNSKNTLYLQMNSLRAEDTAVYYCARYYYDSSRSGYYYYFDYWGQGTLVTVSS</t>
  </si>
  <si>
    <t>sbio-nipahgpg-118</t>
  </si>
  <si>
    <t>sbio-nipahgpg-119</t>
  </si>
  <si>
    <t>DIVLTQSPASLAVSLGQRATISCKASQSVDYDGDSYMHWYQQKPGQPPKLLIYRASNLESGIPARFSGSGSRTDFTLTINPVEADDVATYYCQQSNYPLTFGSGTKVEIK</t>
  </si>
  <si>
    <t>peleke-phi-4 (humanized)</t>
  </si>
  <si>
    <t>EVQLLESGGGLVQPGGSLRLSCAASGFTFSSYAMSWVRQAPGKGLEWVSYISSSSSTIYYADSVKGRFTISRDNAKNSLYLQMNSLRAEDTAVYYCAKYSSYDYDYWGRGTMVTVSS</t>
  </si>
  <si>
    <t>DIQLTQSPSSLSASVGDRVTITCRASQGISSYLNWYQQKPGKAPKLLIYDASSLQSGVPSRFSGSGSGTDFTLTISSLQPEDFATYYCQQFYEWLRTFGQGTRLEIK</t>
  </si>
  <si>
    <t>brisk-vole-plume</t>
  </si>
  <si>
    <t>hollow-hawk-iron</t>
  </si>
  <si>
    <t>misty-quail-pearl</t>
  </si>
  <si>
    <t>gentle-fox-plume</t>
  </si>
  <si>
    <t>silver-quail-maple</t>
  </si>
  <si>
    <t>frozen-boar-ruby</t>
  </si>
  <si>
    <t>small-wolf-oak</t>
  </si>
  <si>
    <t>peleke-1 + AntiBMPNN</t>
  </si>
  <si>
    <t>sbio-nipahgpg-120</t>
  </si>
  <si>
    <t>sbio-nipahgpg-121</t>
  </si>
  <si>
    <t>sbio-nipahgpg-122</t>
  </si>
  <si>
    <t>sbio-nipahgpg-123</t>
  </si>
  <si>
    <t>sbio-nipahgpg-124</t>
  </si>
  <si>
    <t>sbio-nipahgpg-125</t>
  </si>
  <si>
    <t>sbio-nipahgpg-126</t>
  </si>
  <si>
    <t>sbio-nipahgpg-127</t>
  </si>
  <si>
    <t>sbio-nipahgpg-128</t>
  </si>
  <si>
    <t>sbio-nipahgpg-129</t>
  </si>
  <si>
    <t>peleke-phi-4 / 000</t>
  </si>
  <si>
    <t>EVQLVESGGGLVQPGGSLRLSCAASGFNISDSSIHWVRQAPGKGLEWVASISSYSGYTYYADSVKGRFTISADTSKNTAYLQMNSLRAEDTAVYYCARGGRDLFGLDALDYWGQGTLVTVSS</t>
  </si>
  <si>
    <t>EVQLVESGGGLVQPGGSLRLSCAASGFNISSSSIHWVRQAPGKGLEWVASIYSYSGLTYYADSVKGRFTISADTSKNTAYLQMNSLRAEDTAVYYCARGGYYLDGLYALDYWGQGTLVTVSS</t>
  </si>
  <si>
    <t>EVQLVESGGGLVQPGGSLRLSCAASGFNISSSSIHWVRQAPGKGLEWVASIYSYSGATYYADSVKGRFTISADTSKNTAYLQMNSLRAEDTAVYYCARGGNHLDGLYALDYWGQGTLVTVSS</t>
  </si>
  <si>
    <t>EVQLVESGGGLVQPGGSLRLSCAASGFNISSSSIHWVRQAPGKGLEWVASIYSYSGYTYYADSVKGRFTISADTSKNTAYLQMNSLRAEDTAVYYCARGGRYLDGLFALDYWGQGTLVTVSS</t>
  </si>
  <si>
    <t>EVQLVESGGGLVQPGGSLRLSCAASGFNISSSSIHWVRQAPGKGLEWVASISSYSGYTYYADSVKGRFTISADTSKNTAYLQMNSLRAEDTAVYYCARGGSLLRGLSALDYWGQGTLVTVSS</t>
  </si>
  <si>
    <t>EVQLVESGGGLVQPGGSLRLSCAASGFNISDSSIHWVRQAPGKGLEWVASISSYSGYTYYADSVKGRFTISADTSKNTAYLQMNSLRAEDTAVYYCARGGRYLDGLYALDYWGQGTLVTVSS</t>
  </si>
  <si>
    <t>EVQLVESGGGLVQPGGSLRLSCAASGFNISSSSIHWVRQAPGKGLEWVASISSYSGYTYYADSVKGRFTISADTSKNTAYLQMNSLRAEDTAVYYCARGGSYLDGLSALDYWGQGTLVTVSS</t>
  </si>
  <si>
    <t>EVQLVESGGGLVQPGGSLRLSCAASGFNISDSSIHWVRQAPGKGLEWVASIYNYSGYTYYADSVKGRFTISADTSKNTAYLQMNSLRAEDTAVYYCARGGYYLDGLDALDYWGQGTLVTVSS</t>
  </si>
  <si>
    <t>EVQLVESGGGLVQPGGSLRLSCAASGFNISDYSIHWVRQAPGKGLEWVASIYNRSGYTYYADSVKGRFTISADTSKNTAYLQMNSLRAEDTAVYYCARGGYYLDGLYALDYWGQGTLVTVSS</t>
  </si>
  <si>
    <t>EVQLVESGGGLVQPGGSLRLSCAASGFNISSSSIHWVRQAPGKGLEWVASISSYSGYTYYADSVKGRFTISADTSKNTAYLQMNSLRAEDTAVYYCARGGHDLDGLYALDYWGQGTLVTVSS</t>
  </si>
  <si>
    <t>silent-wolf-ember</t>
  </si>
  <si>
    <t>lunar-ox-vine</t>
  </si>
  <si>
    <t>bright-crow-wave</t>
  </si>
  <si>
    <t>frozen-bee-crystal</t>
  </si>
  <si>
    <t>young-bee-orchid</t>
  </si>
  <si>
    <t>wild-boar-quartz</t>
  </si>
  <si>
    <t>steady-hawk-pine</t>
  </si>
  <si>
    <t>wild-shark-clay</t>
  </si>
  <si>
    <t>hollow-orca-rose</t>
  </si>
  <si>
    <t>dark-quail-thorn</t>
  </si>
  <si>
    <t>sbio-nipahgpg-130</t>
  </si>
  <si>
    <t>sbio-nipahgpg-131</t>
  </si>
  <si>
    <t>sbio-nipahgpg-132</t>
  </si>
  <si>
    <t>sbio-nipahgpg-133</t>
  </si>
  <si>
    <t>sbio-nipahgpg-134</t>
  </si>
  <si>
    <t>sbio-nipahgpg-135</t>
  </si>
  <si>
    <t>sbio-nipahgpg-136</t>
  </si>
  <si>
    <t>sbio-nipahgpg-137</t>
  </si>
  <si>
    <t>sbio-nipahgpg-138</t>
  </si>
  <si>
    <t>sbio-nipahgpg-139</t>
  </si>
  <si>
    <t>EVQLVESGGGLVKPGGSLKVSCAASGFTFSSYAMHWVRQAPGKGLEWVSYIWSGADSIGYADSVKGRFTISRDNAKNSLYLQMNSLRAGDTAVYYCARDDDAFDYWGQGTAVTVSS</t>
  </si>
  <si>
    <t>EVQLVESGGGLVKPGGSLKVSCAASGFTFSSYSMHWVRQAPGKGLEWVSSIWSGADSTGYADSVKGRFTISRDNAKNSLYLQMNSLRAGDTAVYYCARDDDAFDYWGQGTAVTVSS</t>
  </si>
  <si>
    <t>EVQLVESGGGLVKPGGSLKVSCAASGFTFSSYAMHWVRQAPGKGLEWVSRIWSGADSTGYADSVKGRFTISRDNAKNSLYLQMNSLRAGDTAVYYCARDDDAFDYWGQGTAVTVSS</t>
  </si>
  <si>
    <t>EVQLVESGGGLVKPGGSLKVSCAASGFTFSSYAMHWVRQAPGKGLEWVSYIWSGADSIGYADSVKGRFTISRDNAKNSLYLQMNSLRAGDTAVYYCARYDDAFDYWGQGTAVTVSS</t>
  </si>
  <si>
    <t>EVQLVESGGGLVKPGGSLKVSCAASGFTFSSYSMHWVRQAPGKGLEWVSRIWSGTDSIGYADSVKGRFTISRDNAKNSLYLQMNSLRAGDTAVYYCARDDDAFDYWGQGTAVTVSS</t>
  </si>
  <si>
    <t>EVQLVESGGGLVKPGGSLKVSCAASGFTFSSYAMHWVRQAPGKGLEWVSYIWSGVDSIGYADSVKGRFTISRDNAKNSLYLQMNSLRAGDTAVYYCARDDDAFDYWGQGTAVTVSS</t>
  </si>
  <si>
    <t>EVQLVESGGGLVKPGGSLKVSCAASGFTFSSFAMHWVRQAPGKGLEWVSYIWSGADSTGYADSVKGRFTISRDNAKNSLYLQMNSLRAGDTAVYYCARDDDAFDYWGQGTAVTVSS</t>
  </si>
  <si>
    <t>EVQLVESGGGLVKPGGSLKVSCAASGFTFSSYSMVWVRQAPGKGLEWVSRIWSGVDSTGYADSVKGRFTISRDNAKNSLYLQMNSLRAGDTAVYYCARDDDAFDYWGQGTAVTVSS</t>
  </si>
  <si>
    <t>EIVMTQSPGTPSLSPGERATLSCRASQSIRSTYLAWYQQKPGQAPRLLIYGASSRATGIPDRFSGSGSGTDFTLTISRLEPEDFAVYYCQQYGRSPSFGQGTKVEIK</t>
  </si>
  <si>
    <t>EVQLVQSGAEVKKRGSSVKVSCKSSGGTFSNYAINWVRQAPGQGLEWMGGIIPILGIANYAQKFQGRVTITTDESTSTAYMELSSLRSEDTAVYYCARGWGREQLAPHPSQYYYYYYGMDVWGQGTTVTVSS</t>
  </si>
  <si>
    <t>m102.3</t>
  </si>
  <si>
    <t>6CMI_HL</t>
  </si>
  <si>
    <t>GGGSGGGSGGG</t>
  </si>
  <si>
    <t>quick-fox-orchid</t>
  </si>
  <si>
    <t>wild-boar-maple</t>
  </si>
  <si>
    <t>radiant-falcon-leaf</t>
  </si>
  <si>
    <t>dark-tiger-pearl</t>
  </si>
  <si>
    <t>silent-deer-oak</t>
  </si>
  <si>
    <t>hollow-gecko-clay</t>
  </si>
  <si>
    <t>sbio-nipahgpg-140</t>
  </si>
  <si>
    <t>sbio-nipahgpg-141</t>
  </si>
  <si>
    <t>sbio-nipahgpg-142</t>
  </si>
  <si>
    <t>sbio-nipahgpg-143</t>
  </si>
  <si>
    <t>sbio-nipahgpg-144</t>
  </si>
  <si>
    <t>sbio-nipahgpg-145</t>
  </si>
  <si>
    <t>sbio-nipahgpg-146</t>
  </si>
  <si>
    <t>sbio-nipahgpg-147</t>
  </si>
  <si>
    <t>sbio-nipahgpg-148</t>
  </si>
  <si>
    <t>sbio-nipahgpg-149</t>
  </si>
  <si>
    <t>EVQLVESGGGLVQPGGSLRLSCAASGFNISYSSIHWVRQAPGKGLEWVASISSYSGSTYYADSVKGRFTISADTSKNTAYLQMNSLRAEDTAVYYCARGGYVPVGWYALDYWGQGTLVTVSS</t>
  </si>
  <si>
    <t>DIQMTQSPSSLSASVGDRVTITCRASQSVSTAVAWYQQKPGKAPKLLIYYASDRYSGVPSRFSGSRSGTDFTLTISSLQPEDFATYYCQQHYNYPLTFGQGTKVEIK</t>
  </si>
  <si>
    <t>DIQMTQSPSSLSASVGDRVTITCRASQSVSDDVAWYQQKPGKAPKLLIYRASDRYFGVPSRFSGSRSGTDFTLTISSLQPEDFATYYCQQYYSYPITFGQGTKVEIK</t>
  </si>
  <si>
    <t>EVQLVESGGGLVQPGGSLRLSCAASGFNISYSSIHWVRQAPGKGLEWVASISSYSGSTYYADSVKGRFTISADTSKNTAYLQMNSLRAEDTAVYYCARGGAVPVGWYALDYWGQGTLVTVSS</t>
  </si>
  <si>
    <t>EVQLVESGGGLVQPGGSLRLSCAASGFNISYSSIHWVRQAPGKGLEWVASISSYSGSTYYADSVKGRFTISADTSKNTAYLQMNSLRAEDTAVYYCARGGDVPNGWYALDYWGQGTLVTVSS</t>
  </si>
  <si>
    <t>DIQMTQSPSSLSASVGDRVTITCRASQSVYTAVAWYQQKPGKAPKLLIYFASDRYSGVPSRFSGSRSGTDFTLTISSLQPEDFATYYCQQHYYYPITFGQGTKVEIK</t>
  </si>
  <si>
    <t>EVQLVESGGGLVQPGGSLRLSCAASGFNISYSSIHWVRQAPGKGLEWVASISSYSGSTYYADSVKGRFTISADTSKNTAYLQMNSLRAEDTAVYYCARGGDVPVGWYALDYWGQGTLVTVSS</t>
  </si>
  <si>
    <t>DIQMTQSPSSLSASVGDRVTITCRASQSVSDAVAWYQQKPGKAPKLLIYYASDRYAGVPSRFSGSRSGTDFTLTISSLQPEDFATYYCQQYYSYPLTFGQGTKVEIK</t>
  </si>
  <si>
    <t>DIQMTQSPSSLSASVGDRVTITCRASQSVYTAVAWYQQKPGKAPKLLIYRASDRYAGVPSRFSGSRSGTDFTLTISSLQPEDFATYYCQQYYYYPLTFGQGTKVEIK</t>
  </si>
  <si>
    <t>DIQMTQSPSSLSASVGDRVTITCRASQSVNTAVAWYQQKPGKAPKLLIYSASDRYFGVPSRFSGSRSGTDFTLTISSLQPEDFATYYCQQHYSYPLTFGQGTKVEIK</t>
  </si>
  <si>
    <t>DIQMTQSPSSLSASVGDRVTITCRASQSVYTAVAWYQQKPGKAPKLLIYSASDRYSGVPSRFSGSRSGTDFTLTISSLQPEDFATYYCQQYASYPITFGQGTKVEIK</t>
  </si>
  <si>
    <t>DIQMTQSPSSLSASVGDRVTITCRASQSVSIAVAWYQQKPGKAPKLLIYSASDRYFGVPSRFSGSRSGTDFTLTISSLQPEDFATYYCQQYYSYPLTFGQGTKVEIK</t>
  </si>
  <si>
    <t>DIQMTQSPSSLSASVGDRVTITCRASQSVYYAVAWYQQKPGKAPKLLIYRASDRYSGVPSRFSGSRSGTDFTLTISSLQPEDFATYYCQQYYSYPLTFGQGTKVEIK</t>
  </si>
  <si>
    <t>DIQMTQSPSSLSASVGDRVTITCRASQSVYTAVAWYQQKPGKAPKLLIYRASDRYFGVPSRFSGSRSGTDFTLTISSLQPEDFATYYCQQYYYYPLTFGQGTKVEIK</t>
  </si>
  <si>
    <t>EVQLVESGGGLVQPGGSLRLSCAASGFNISYSSIHWVRQAPGKGLEWVASISSYSGSTYYADSVKGRFTISADTSKNTAYLQMNSLRAEDTAVYYCARGGDVPVGYYALDYWGQGTLVTVSS</t>
  </si>
  <si>
    <t>EVQLVESGGGLVQPGGSLRLSCAASGFNISSSSIHWVRQAPGKGLEWVASISSSSGSTYYADSVKGRFTISADTSKNTAYLQMNSLRAEDTAVYYCARGGDVPNGWYALDYWGQGTLVTVSS</t>
  </si>
  <si>
    <t>noble-panther-rose</t>
  </si>
  <si>
    <t>small-otter-jade</t>
  </si>
  <si>
    <t>mellow-crow-vine</t>
  </si>
  <si>
    <t>rough-crane-ice</t>
  </si>
  <si>
    <t>gentle-bee-pearl</t>
  </si>
  <si>
    <t>amber-crow-wave</t>
  </si>
  <si>
    <t>vast-zebra-topaz</t>
  </si>
  <si>
    <t>soft-heron-topaz</t>
  </si>
  <si>
    <t>rapid-otter-pearl</t>
  </si>
  <si>
    <t>mellow-hawk-willow</t>
  </si>
  <si>
    <t>sbio-nipahgpg-150</t>
  </si>
  <si>
    <t>sbio-nipahgpg-151</t>
  </si>
  <si>
    <t>sbio-nipahgpg-152</t>
  </si>
  <si>
    <t>sbio-nipahgpg-153</t>
  </si>
  <si>
    <t>sbio-nipahgpg-154</t>
  </si>
  <si>
    <t>sbio-nipahgpg-155</t>
  </si>
  <si>
    <t>sbio-nipahgpg-156</t>
  </si>
  <si>
    <t>sbio-nipahgpg-157</t>
  </si>
  <si>
    <t>sbio-nipahgpg-158</t>
  </si>
  <si>
    <t>sbio-nipahgpg-159</t>
  </si>
  <si>
    <t>EVQLVESGGGLVQPGGSLRLSCAASGFNISYSSIHWVRQAPGKGLEWVASISSYSGYTYYADSVKGRFTISADTSKNTAYLQMNSLRAEDTAVYYCARGGWRPIGSYALDYWGQGTLVTVSS</t>
  </si>
  <si>
    <t>EVQLVESGGGLVQPGGSLRLSCAASGFNISYSSIHWVRQAPGKGLEWVASISSYSGSTYYADSVKGRFTISADTSKNTAYLQMNSLRAEDTAVYYCARGGYRPIGNYALDYWGQGTLVTVSS</t>
  </si>
  <si>
    <t>EVQLVESGGGLVQPGGSLRLSCAASGFNISYYSIHWVRQAPGKGLEWVASISSYSGYTYYADSVKGRFTISADTSKNTAYLQMNSLRAEDTAVYYCARGGDRPSGCYALDYWGQGTLVTVSS</t>
  </si>
  <si>
    <t>EVQLVESGGGLVQPGGSLRLSCAASGFNISYSSIHWVRQAPGKGLEWVASISSYSGYTYYADSVKGRFTISADTSKNTAYLQMNSLRAEDTAVYYCARGGSLPTGCYALDYWGQGTLVTVSS</t>
  </si>
  <si>
    <t>EVQLVESGGGLVQPGGSLRLSCAASGFNISYSSIHWVRQAPGKGLEWVASISSYSGYTYYADSVKGRFTISADTSKNTAYLQMNSLRAEDTAVYYCARGGWYPWGCDALDYWGQGTLVTVSS</t>
  </si>
  <si>
    <t>EVQLVESGGGLVQPGGSLRLSCAASGFNISYSSIHWVRQAPGKGLEWVASISSYSGSTYYADSVKGRFTISADTSKNTAYLQMNSLRAEDTAVYYCARGGSRPWGCYALDYWGQGTLVTVSS</t>
  </si>
  <si>
    <t>EVQLVESGGGLVQPGGSLRLSCAASGFNISYSSIHWVRQAPGKGLEWVASISSYSGSTYYADSVKGRFTISADTSKNTAYLQMNSLRAEDTAVYYCARGGWYPWGNYALDYWGQGTLVTVSS</t>
  </si>
  <si>
    <t>EVQLVESGGGLVQPGGSLRLSCAASGFNISYSSIHWVRQAPGKGLEWVASISSYSGYTYYADSVKGRFTISADTSKNTAYLQMNSLRAEDTAVYYCARGGWRPFGCYALDYWGQGTLVTVSS</t>
  </si>
  <si>
    <t>EVQLVESGGGLVQPGGSLRLSCAASGFNISYSSIHWVRQAPGKGLEWVASISSYSGYTYYADSVKGRFTISADTSKNTAYLQMNSLRAEDTAVYYCARGGWYPLGCYAMDYWGQGTLVTVSS</t>
  </si>
  <si>
    <t>EVQLVESGGGLVQPGGSLRLSCAASGFNISYSSIHWVRQAPGKGLEWVASISSYSGYTYYADSVKGRFTISADTSKNTAYLQMNSLRAEDTAVYYCARGGDRPVGCYALDYWGQGTLVTVSS</t>
  </si>
  <si>
    <t>DIQMTQSPSSLSASVGDRVTITCRASQDVFTAVAWYQQKPGKAPKLLIYFASFLYSGVPSRFSGSRSGTDFTLTISSLQPEDFATYYCQQYSIVPVTFGQGTKVEIK</t>
  </si>
  <si>
    <t>DIQMTQSPSSLSASVGDRVTITCRASQDVNTAVAWYQQKPGKAPKLLIYEASFRYSGVPSRFSGSRSGTDFTLTISSLQPEDFATYYCQQHYEVPITFGQGTKVEIK</t>
  </si>
  <si>
    <t>DIQMTQSPSSLSASVGDRVTITCRASQDVFSAVAWYQQKPGKAPKLLIYSASFLYSGVPSRFSGSRSGTDFTLTISSLQPEDFATYYCQQHYIYPVTFGQGTKVEIK</t>
  </si>
  <si>
    <t>DIQMTQSPSSLSASVGDRVTITCRASQDVLSDVAWYQQKPGKAPKLLIYYASFRYSGVPSRFSGSRSGTDFTLTISSLQPEDFATYYCQQHYVVPVTFGQGTKVEIK</t>
  </si>
  <si>
    <t>DIQMTQSPSSLSASVGDRVTITCRASQDVTSAVAWYQQKPGKAPKLLIYSASFRYSGVPSRFSGSRSGTDFTLTISSLQPEDFATYYCQQHYVVPVTFGQGTKVEIK</t>
  </si>
  <si>
    <t>DIQMTQSPSSLSASVGDRVTITCRASQDVFSAVAWYQQKPGKAPKLLIYYASFLYSGVPSRFSGSRSGTDFTLTISSLQPEDFATYYCQQHSVVPITFGQGTKVEIK</t>
  </si>
  <si>
    <t>DIQMTQSPSSLSASVGDRVTITCRASQDVFSAVAWYQQKPGKAPKLLIYFASFLYSGVPSRFSGSRSGTDFTLTISSLQPEDFATYYCQQHYEVPITFGQGTKVEIK</t>
  </si>
  <si>
    <t>DIQMTQSPSSLSASVGDRVTITCRASQDVDSAVAWYQQKPGKAPKLLIYYASFLYSGVPSRFSGSRSGTDFTLTISSLQPEDFATYYCQQHYVVPVTFGQGTKVEIK</t>
  </si>
  <si>
    <t>DIQMTQSPSSLSASVGDRVTITCRASQDVDSAVAWYQQKPGKAPKLLIYFASSLYSGVPSRFSGSRSGTDFTLTISSLQPEDFATYYCQQHYDAPITFGQGTKVEIK</t>
  </si>
  <si>
    <t>DIQMTQSPSSLSASVGDRVTITCRASQDVDSAVAWYQQKPGKAPKLLIYFASFLYSGVPSRFSGSRSGTDFTLTISSLQPEDFATYYCQQHYDVPITFGQGTKVEIK</t>
  </si>
  <si>
    <t>GGGSGGGSGGGSGGGSGGGS</t>
  </si>
  <si>
    <t>silent-panther-ember</t>
  </si>
  <si>
    <t>golden-bat-ash</t>
  </si>
  <si>
    <t>shy-gecko-topaz</t>
  </si>
  <si>
    <t>vast-yak-reed</t>
  </si>
  <si>
    <t>calm-falcon-ember</t>
  </si>
  <si>
    <t>quiet-quail-onyx</t>
  </si>
  <si>
    <t>lunar-hawk-granite</t>
  </si>
  <si>
    <t>amber-fox-dust</t>
  </si>
  <si>
    <t>noble-owl-lotus</t>
  </si>
  <si>
    <t>gentle-shark-cypress</t>
  </si>
  <si>
    <t>Humanized using Humatch</t>
  </si>
  <si>
    <t>sbio-nipahgpg-160</t>
  </si>
  <si>
    <t>DIQMTQSPSSLSASVGDRVTITCRASQSVYYAVAWYQQKPGKAPKLLIYRASDLYSGVPSRFSGSRSGTDFTLTISSLQPEDFATYYCQQYYSYPLTFGQGTKVEIK</t>
  </si>
  <si>
    <t>EVQLVESGGGLVQPGGSLRLSCAASGFNISYSSIHWVRQAPGKGLEWVASISSYSGSTYYADSVKGRFTISADTSKNTAYLQMNSLRAEDTAVYYCARGGDVPVGWYALDYWGQGTLVTVSSGGGSGGGSGGGSGGGSGGGSDIQMTQSPSSLSASVGDRVTITCRASQSVYYAVAWYQQKPGKAPKLLIYRASDLYSGVPSRFSGSRSGTDFTLTISSLQPEDFATYYCQQYYSYPLTFGQGTKVEIK</t>
  </si>
  <si>
    <t>noble-tiger-lotus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</si>
</sst>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FF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21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 Ford" refreshedDate="45991.827188425923" createdVersion="8" refreshedVersion="8" minRefreshableVersion="3" recordCount="159" xr:uid="{C69715DE-2A16-4198-9FD9-FAE4F60B2265}">
  <cacheSource type="worksheet">
    <worksheetSource ref="A1:T2969" sheet="Antibody Candidates"/>
  </cacheSource>
  <cacheFields count="20">
    <cacheField name="antibody_id" numFmtId="0">
      <sharedItems containsBlank="1" count="159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s v="sbio-nipahgpg-052"/>
        <s v="sbio-nipahgpg-053"/>
        <s v="sbio-nipahgpg-054"/>
        <s v="sbio-nipahgpg-055"/>
        <s v="sbio-nipahgpg-056"/>
        <s v="sbio-nipahgpg-057"/>
        <s v="sbio-nipahgpg-058"/>
        <s v="sbio-nipahgpg-059"/>
        <s v="sbio-nipahgpg-060"/>
        <s v="sbio-nipahgpg-061"/>
        <s v="sbio-nipahgpg-062"/>
        <s v="sbio-nipahgpg-063"/>
        <s v="sbio-nipahgpg-064"/>
        <s v="sbio-nipahgpg-065"/>
        <s v="sbio-nipahgpg-066"/>
        <s v="sbio-nipahgpg-067"/>
        <s v="sbio-nipahgpg-068"/>
        <s v="sbio-nipahgpg-069"/>
        <s v="sbio-nipahgpg-070"/>
        <s v="sbio-nipahgpg-071"/>
        <s v="sbio-nipahgpg-072"/>
        <s v="sbio-nipahgpg-073"/>
        <s v="sbio-nipahgpg-074"/>
        <s v="sbio-nipahgpg-075"/>
        <s v="sbio-nipahgpg-076"/>
        <s v="sbio-nipahgpg-077"/>
        <s v="sbio-nipahgpg-078"/>
        <s v="sbio-nipahgpg-079"/>
        <s v="sbio-nipahgpg-080"/>
        <s v="sbio-nipahgpg-081"/>
        <s v="sbio-nipahgpg-082"/>
        <s v="sbio-nipahgpg-083"/>
        <s v="sbio-nipahgpg-084"/>
        <s v="sbio-nipahgpg-085"/>
        <s v="sbio-nipahgpg-086"/>
        <s v="sbio-nipahgpg-087"/>
        <s v="sbio-nipahgpg-088"/>
        <s v="sbio-nipahgpg-089"/>
        <s v="sbio-nipahgpg-090"/>
        <s v="sbio-nipahgpg-091"/>
        <s v="sbio-nipahgpg-092"/>
        <s v="sbio-nipahgpg-093"/>
        <s v="sbio-nipahgpg-094"/>
        <s v="sbio-nipahgpg-095"/>
        <s v="sbio-nipahgpg-096"/>
        <s v="sbio-nipahgpg-097"/>
        <s v="sbio-nipahgpg-098"/>
        <s v="sbio-nipahgpg-099"/>
        <s v="sbio-nipahgpg-100"/>
        <s v="sbio-nipahgpg-101"/>
        <s v="sbio-nipahgpg-102"/>
        <s v="sbio-nipahgpg-103"/>
        <s v="sbio-nipahgpg-104"/>
        <s v="sbio-nipahgpg-105"/>
        <s v="sbio-nipahgpg-106"/>
        <s v="sbio-nipahgpg-107"/>
        <s v="sbio-nipahgpg-108"/>
        <s v="sbio-nipahgpg-109"/>
        <s v="sbio-nipahgpg-110"/>
        <s v="sbio-nipahgpg-111"/>
        <s v="sbio-nipahgpg-112"/>
        <s v="sbio-nipahgpg-113"/>
        <s v="sbio-nipahgpg-114"/>
        <s v="sbio-nipahgpg-115"/>
        <s v="sbio-nipahgpg-116"/>
        <s v="sbio-nipahgpg-117"/>
        <s v="sbio-nipahgpg-118"/>
        <s v="sbio-nipahgpg-119"/>
        <s v="sbio-nipahgpg-120"/>
        <s v="sbio-nipahgpg-121"/>
        <s v="sbio-nipahgpg-122"/>
        <s v="sbio-nipahgpg-123"/>
        <s v="sbio-nipahgpg-124"/>
        <s v="sbio-nipahgpg-125"/>
        <s v="sbio-nipahgpg-126"/>
        <s v="sbio-nipahgpg-127"/>
        <s v="sbio-nipahgpg-128"/>
        <s v="sbio-nipahgpg-129"/>
        <s v="sbio-nipahgpg-130"/>
        <s v="sbio-nipahgpg-131"/>
        <s v="sbio-nipahgpg-132"/>
        <s v="sbio-nipahgpg-133"/>
        <s v="sbio-nipahgpg-134"/>
        <s v="sbio-nipahgpg-135"/>
        <s v="sbio-nipahgpg-136"/>
        <s v="sbio-nipahgpg-137"/>
        <s v="sbio-nipahgpg-138"/>
        <s v="sbio-nipahgpg-139"/>
        <s v="sbio-nipahgpg-140"/>
        <s v="sbio-nipahgpg-141"/>
        <s v="sbio-nipahgpg-142"/>
        <s v="sbio-nipahgpg-143"/>
        <s v="sbio-nipahgpg-144"/>
        <s v="sbio-nipahgpg-145"/>
        <s v="sbio-nipahgpg-146"/>
        <s v="sbio-nipahgpg-147"/>
        <s v="sbio-nipahgpg-148"/>
        <s v="sbio-nipahgpg-149"/>
        <s v="sbio-nipahgpg-150"/>
        <s v="sbio-nipahgpg-151"/>
        <s v="sbio-nipahgpg-152"/>
        <s v="sbio-nipahgpg-153"/>
        <s v="sbio-nipahgpg-154"/>
        <s v="sbio-nipahgpg-155"/>
        <s v="sbio-nipahgpg-156"/>
        <s v="sbio-nipahgpg-157"/>
        <s v="sbio-nipahgpg-158"/>
        <s v="sbio-nipahgpg-159"/>
        <s v="sbio-nipahgpg-160"/>
        <m/>
      </sharedItems>
    </cacheField>
    <cacheField name="method" numFmtId="0">
      <sharedItems containsBlank="1"/>
    </cacheField>
    <cacheField name="model_version" numFmtId="0">
      <sharedItems containsBlank="1" count="11">
        <s v="peleke-phi-4"/>
        <s v="Qwen3-235B-A22B-Instruct-2507"/>
        <s v="peleke-phi-4 / v_48_020"/>
        <s v="peleke-phi-4 / v_48_030"/>
        <s v="v_48_020"/>
        <s v="peleke-mistral-7b-instruct-v0.2"/>
        <s v="GPT-4o"/>
        <s v="GPT-4o /  v_48_030"/>
        <s v="peleke-phi-4 (humanized)"/>
        <s v="peleke-phi-4 / 000"/>
        <m/>
      </sharedItems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antigen_id" numFmtId="0">
      <sharedItems containsBlank="1"/>
    </cacheField>
    <cacheField name="note_ids" numFmtId="0">
      <sharedItems containsString="0" containsBlank="1" containsNumber="1" containsInteger="1" minValue="1" maxValue="4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158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s v="QVQLQESGPGLVKPSETLSLTCTVSGGSVSSGGYFWSWIRQPPGKGLEWIGCIYYSGSTNYNPSLKSRVTISVDTSKNQFSLKLSSVTAADTAVYYCARVDSFYYGMDVWGQGTTVTVSSGGGSGGGSGGGSGGGSDIQMTQSPSSLSASVGDRVTITCRASQGIRNDLGWYQQKPGKAPKLLIYAASSLQSGVPSRFSGSGSGTDFTLTISSLQPEDFATYYCQQSYSTPRTFGQGTKVEIK"/>
        <s v="EVQLVESGGGLVQPGGSLRLSCAASGFTFSSYAMSWVRQAPGKGLEWVSAISGSGGSTYYADSVKGRFTISRDNSKNTLYLQMNSLRAEDTAVYYCARQVWFGGFDYWGQGTLVTVSSGGGSGGGSGGGSGGGSDIQMTQSPSSLSASVGDRVTITCRASQSVSSAVAWYQQKPGKAPKLLIYSASSLYSGVPSRFSGSRSGTDFTLTISSLQPEDFATYYCQQYKYVPVTFGQGTKVEIK"/>
        <s v="EVQLVESGGGLVQPGGSLRLSCAASGFNVSSSYIHWVRQAPGKGLEWVASISSYYGYTYYADSVKGRFTISADTSKNTAYLQMNSLRAEDTAVYYCARSRQFWYSGLDYWGQGTLVTVSSGGGSGGGSGGGSGGGSDIQMTQSPSSLSASVGDRVTITCRASQSVSSAVAWYQQKPGKAPKLLIYSASSLYSGVPSRFSGSRSGTDFTLTISSLQPEDFATYYCQQYKYVPVTFGQGTKVEIK"/>
        <s v="EVQLVESGGGLVQPGGSLRLSCAASGFNISSSSIHWVRQAPGKGLEWVASIYSYSGYTSYADSVKGRFTISADTSKNTAYLQMNSLRAEDTAVYYCARGGSSYFGYYAMDYWGQGTLVTVSSGGGSGGGSGGGSGGGSDIQMTQSPSSLSASVGDRVTITCRASQSVSSAVAWYQQKPGKAPKLLIYSASSLYSGVPSRFSGSRSGTDFTLTISSLQPEDFATYYCQQYKYVPVTFGQGTKVEIK"/>
        <s v="QVQLVQSGAEVKKPGSSVKVSCKASGGTFSSYSISWVRQAPGQGLEWMGGIIIFGTANYAQKFQGRVTITADESTSTAYMELSSLRSEDTAVYYCARGQGTLVDFYWGQGTLVTVSSGGGSGGGSGGGSGGGSDIQMTQSPSSLSASVGDRVTITCRASQSISSYLNWYQQKPGKAPKLLIYAASSLQSGVPSRFSGSGSGTDFTLTISSLQPEDFATYYCQQSYSTPRTFGQGTKVEIK"/>
        <s v="EVQLVESGGGLVQPGGSLRLSCAASGFNVSYYSIHWVRQAPGKGLEWVASIYPYSGYTNYADSVKGRFTISADTSKNTAYLQMNSLRAEDTAVYYCARYYGYGYWGYAMDYWGQGTLVTVSSGGGSGGGSGGGSGGGSDIQMTQSPSSLSASVGDRVTITCRASQSVSSAVAWYQQKPGKAPKLLIYSASSLYSGVPSRFSGSRSGTDFTLTISSLQPEDFATYYCQQYKYVPVTFGQGTKVEIK"/>
        <s v="EVQLVESGGGLVQPGGSLRLSCAASGFTFSSYAMSWVRQAPGKGLEWVSAISGSGGSTYYADSVKGRFTISRDNSKNTLYLQMNSLRAEDTAVYYCARGYQVYFDYWGQGTLVTVSSGGGSGGGSGGGSGGGSDIQMTQSPSSLSASVGDRVTITCRASQSVSSAVAWYQQKPGKAPKLLIYSASSLYSGVPSRFSGSRSGTDFTLTISSLQPEDFATYYCQQYKYVPVTFGQGTKVEIK"/>
        <s v="EVQLVESGGGLVQPGGSLRLSCAASGFNVSSSYIHWVRQAPGKGLEWVASISSYYGSTYYADSVKGRFTISADTSKNTAYLQMNSLRAEDTAVYYCARGWSYSWSYSWSYSGLDVWGQGTTVTVSSGGGSGGGSGGGSGGGSDIQMTQSPSSLSASVGDRVTITCRASQSVSSAVAWYQQKPGKAPKLLIYSASSLYSGVPSRFSGSRSGTDFTLTISSLQPEDFATYYCQQSSSSLITFGQGTKVEIK"/>
        <s v="EVQLVESGGGLVQPGGSLRLSCAASGFNISSSSIHWVRQAPGKGLEWVASIYSYSGYTSYADSVKGRFTISADTSKNTAYLQMNSLRAEDTAVYYCARGWYYGSSYWGQGTLVTVSSGGGSGGGSGGGSGGGSDIQMTQSPSSLSASVGDRVTITCRASQSVSSAVAWYQQKPGKAPKLLIYSASSLYSGVPSRFSGSRSGTDFTLTISSLQPEDFATYYCQQYKYVPVTFGQGTKVEIK"/>
        <s v="EVQLVESGGGLVQPGGSLRLSCAASGFNVSSSYIHWVRQAPGKGLEWVASISSYYGYTYYADSVKGRFTISADTSKNTAYLQMNSLRAEDTAVYYCARYYGTYYGSSYWGQGTLVTVSSGGGSGGGSGGGSGGGSDIQMTQSPSSLSASVGDRVTITCRASQSVSSAVAWYQQKPGKAPKLLIYSASSLYSGVPSRFSGSRSGTDFTLTISSLQPEDFATYYCQQYKYVPVTFGQGTKVEIK"/>
        <s v="QMQLVQSGAEVKKPGESLKISCKGSGYSFTSYWIGWVRQMPGKGLEWMGIIYPGDSDTRYSPSFQGQVTISADKSISTAYLQWSSLKASDTAIYYCARHYYGGQYFDYWGQGTLVTVSSGGGSGGGSGGGSGGGSDIQMTQSPSSLSASVGDRVTITCRASQGIRNDLGWYQQKPGKAPKLLIYAASSLQSGVPSRFSGSGSGTDFTLTISSLQPEDFATYYCQQSYSTPYTFGQGTKLEIK"/>
        <s v="QVQLVQSGAEVKKPGSSVKVSCKASGGTFSSYAISWVRQAPGQGLEWMGGIIPIFGTANYAQKFQGRVTITADESTSTAYMELSSLRSEDTAVYYCARWYDGYFVYWGQGTLVTVSSGGGSGGGSGGGSGGGSDIQMTQSPSSLSASVGDRVTITCRASQSISSYLNWYQQKPGKAPKLLIYAASSLQSGVPSRFSGSGSGTDFTLTISSLQPEDFATYYCQQSYSTPYTFGQGTKVEIK"/>
        <s v="EVQLVESGGGLVQPGGSLRLSCAASGFNVSSSSIHWVRQAPGKGLEWVASISSYYGYTYYADSVKGRFTISADTSKNTAYLQMNSLRAEDTAVYYCARSRQFWYSGLDYWGQGTLVTVFNGGGSGGGSGGGSGGGSDIQMTQSPSSLSASVGDRVTITCRASQSVSSAVAWYQQKPGKAPKLLIYSASSLYSGVPSRFSGSRSGTDFTLTISSLQPEDFATYYCQQYKYVPVTFGQGTKVEIK"/>
        <s v="EVQLVESGGGLVQPGGSLRLSCAASGFNISSSSIHWVRQAPGKGLEWVASIYSYYGSTYYADSVKGRFTISADTSKNTAYLQMRAEDTAVYYCARGWRSYAMDYWGQGTLVTVSSGGGSGGGSGGGSGGGSDIQMTQSPSSLSASVGDRVTITCRASQSVSSAVAWYQQKPGKAPKLLIYSASSLYSGVPSRFSGSRSGTDFTLTISSLQPEDFATYYCQQSSSSLITFGQGTKVEIK"/>
        <s v="QVQLVQSGAEVKKPGSSVKVSCKASGGTFSSYSFIWVRQAPGQGLEWMGGIIPIFGTANYAQKFQGRVTITADESTSTAYMELSSLRSEDTAVYYCARSSYSGVYYSWYFDVWGAGTTVTVSSGGGSGGGSGGGSGGGSDIQMTQSPSSLSASVGDRVTITCRASQGISNYLAWYQQKPGKAPKLLIYAASTLQSGVPSRFSGSGSGTDFTLTISSLQPEDFATYYCQQSYSTPRTFGQGTKVEIK"/>
        <s v="EVQLQESGPGLVKPSQTLSLTCTVSGGSISSYAAWSWIRQPPGKGLEWIGYIYSSSGSTNYNPSLKSRVTISVDTSKNQFSLKLSSVTAADTAVYYCARGDYSYSYYGLDYWGQGTLVTVSSGGGSGGGSGGGSGGGSDIQMTQSPSSLSASVGDRVTITCRASQGIRNDLGWYQQKPGKAPKLLIYAASNLQSGVPSRFSGSGSGTDFTLTISSLQPEDFATYYCQQSYSTPRYTFGQGTKVEIK"/>
        <s v="EVQLQQSGPELVKPGASVKMSCKASGYTFTSYNIHWVKQTPVHGLEWIGAIVSGGDTNYNENFKDKATLTVDKSSSTAYMQLTSEDSAVYYCARGGFYGDYWGQGTSVTVSSGGGSGGGSGGGSGGGSDIVLTQSPATLSVTPGDSVSLSCRASQSVTNNIHWYQQKSHESPRLLIKYASQSISGIPSRFSGSGSGTDFTLSINSVETEDFGMYFCQQSNSWPYTFGGGTKLEIK"/>
        <s v="QVQLQESGPGLVKPSQTLSLTCTVSGGSISSGDYYWIRQHPGKGLEWIGYIYYSGSTYYNPSLKSRVTISVDTSKNQFSLKLSSVTAADTAVYYCARQLWLRGRFDYWGQGTLVTVSSGGGSGGGSGGGSGGGSDIQMTQSPSSLSASVGDRVTITCRASQGISSWLAWYQQKPGKAPKLLIYAASTLQSGVPSRFSGSGSGTDFTLTISSLQPEDFATYYCQQSYSTPYTFGQGTKVEIK"/>
        <s v="EVQLVESGGGLVQPGGSLRLSCAASGFTVSSNYMSWVRQAPGKGLEWVSVIYSGGSTYYADSVKGRFTISRDNSKNTLYLQMNSLRAEDTAVYYCAREAGVWVFDYWGQGTLVTVSSGGGSGGGSGGGSGGGSDIQMTQSPSSLSASVGDRVTITCRASQSVSSAVAWYQQKPGKAPKLLIYSASSLYSGVPSRFSGSRSGTDFTLTISSLQPEDFATYYCQQYKYVPVTFGQGTKVEIK"/>
        <s v="EVQLVESGGGLVQPGGSLRLSCAASGFNLYSSSIHWVRQAPGKGLEWVASISSYYGSTYYADSVKGRFTISADTSKNTAYLQMNSLRAEDTAVYYCARSRQFWLWFGQGTLVTVSSGGGSGGGSGGGSGGGSDIQMTQSPSSLSASVGDRVTITCRASQSVSSAVAWYQQKPGKAPKLLIYSASSLYSGVPSRFSGSRSGTDFTLTISSLQPEDFATYYCQQYKYVPVTFGQGTKVEIK"/>
        <s v="VQLVQSGAEVKKPGASVKVSCKASGYTFTTYTISWVRQAPGQGLEWMGWINNSGGTNYAQKFQGRVTMTRDTSTSTVSAYMELRSEDTAVYYCATFVYGYSAYQPLTDDYGQMDVWGQGTTVTVSSGGGSGGGSGGGSGGGSDIQMTQSPSSLSASVGDRVTITCRASQSISSYLNWFQQKPGKAPKLLIYAASSLQSGVPSRFSGSGSGTDFTLTISSLQPEDFATYYCQQSLLYPLTFGGGTKVEIK"/>
        <s v="EVQLVESGGGLVQPGGSLRLSCAASGFNISSSSIHWVRQAPGKGLEWVASIYSSSGSTYYADSVKGRFTISADTSKNTAYLQMNSLRAEDTAVYYCARHRWWAHPYWGQGTLVTVSSGGGSGGGSGGGSGGGSDIQMTQSPSSLSASVGDRVTITCRASQSVSSAVAWYQQKPGKAPKLLIYSASSLYSGVPSRFSGSRSGTDFTLTISSLQPEDFATYYCQQSYYITPYTFGQGTKVEIK"/>
        <s v="EVQLVESGGGVVQPGRSLRLSCAASGFTFSSYAMHWVRQAPGKGLEWVAVIWYDGSNKYYADSVKGRFTISRDNSKNTLFLQMNSLRPEDTAVYYCARDTPMYYDVWGQGTTVTVSSGGGSGGGSGGGSGGGSDIQLTQSPSSLSASVGDRVTITCRTSQDIDNYLNWYQQKPGKAPKLLIYYTSSLHSGVPSRFSGSGSGTDFTFTISSLQPEDIATYYCQQYDNLPITFGQGTKLEIK"/>
        <s v="EVQLVESGGGLVQPGGSLRLSCAASGFTFSNYAMSWVRQAPGKGLEWVSAISGSGGSTYYADSVKGRFTISRDNSKNTLYLQMNSLRAEDTAVYYCARLSPYNGSMDYWGQGTLVTVSSGGGSGGGSGGGSGGGSVTQPASVSGSPGQSITISCTGTSSDIGAYNYVSWYQQHPGKAPKLMIYEVSKRPSGVSNRFSGSKSGNTASLTISGLQTEDEADYYCSSYTRSGSVVFGGGTKLTVL"/>
        <s v="QVQLVQSGAEVKKPGSSVKVSCKASGGTFSSYTISWVRQAPGQGLEWMGGIIPILGIANYAQKFQGRVTITADKSTSTAYMELSSLRSEDTAVYYCARGDSSYVDSWDYWGQGTLVTVSGGGSGGGSGGGSGGGSEIVLTQSPGTLSLSPGERATLSCRASQSVSSSYLAWYQQKPGQAPRLLIYGASSRATGIPDRFSGSGSGTDFTLTISRLEPEDFAVYYCQQYGSSPWTFGQGTKVEIK"/>
        <s v="QVQLVESGGGVVQPGRSLRLSCAASGFTFSNYGMHWVRQAPGKGLEWVAVISDGSNKYYADSVKGRFTISRDNSKNTLYLQMRAEDTAVYYCARGSHSSRDYWGQGTLVTVSSGGGSGGGSGGGSGGGSDIQMTQSPSSLSASVGDRVTITCRASQSISSYLNWYQQKPGKAPKLLIYAASSLQSGVPSRFSGSGSGTDFTLTISSLQPEDFATYYCQQSYSTPPYTFGQGTKVEIK"/>
        <s v="VQLVQSGAEVKRPGSSVKVSCKTSGGTIFSTYVFWVRQAPGQGLEWMGGFPPKAGYIYAQKFQGRVTFTADESSSTTVYMEDLRSEDTAVYFCARFPYFVYDVWGQGTTVTVSSGGGSGGGSGGGSGGGSDIQMTQSPSSLSASVGDRVTITCRASQSIGGYLAWYQQKPGKVPKLLIYAASSLQSGVPSRFSGSGSGTDFTLTISSLQPEDFATYYCQQSYSTPRTFGQGTKVEIK"/>
        <s v="VQLQESGPGLVKPSQSLSLTCTVTGFSIDYNIYWGWIRQPPGKGLEWIGYIYSGSDTYNPSLKSRVTISVDTSKNQFSLKVNSVTAADTAVYYCARVVDLWYDDGKYASCVKGAIDYWGQGTLVTVSSGGGSGGGSGGGSSVLTQPPSVSGAPGQRVTISCTGSSGAGYDVHWYQQLPGTAPKLLIYGNSNRPSGVPDRFSGSKSGTSASLAITGLQAEDEADYYCQSYDSSLSGWVFGGGTKLTVL"/>
        <s v="EVQLVESGGGLVQPGGSLRLSCAASGFNVVDFSLHWVRQAPGKGLEWVASIYPYDGSAYYADSVKGRFTISADTSKNTAYLQMNSLRAEDTAVYYCARWGYWPGEGWLGKYWGQGTLVTVSGGGSGGGSGGGSGGGSDIQMTQSPSSLSASVGDRVTITCRASQSVSSAVAWYQQKPGKAPKLLIYSASSLYSGVPSRFSGSRSGTDFTLTISSLQPEDFATYYCQQYKYVPVTFGQGTKVEI"/>
        <s v="EVQLVESGGGLVQPGGSLRLSCAASGFNISSSSIHWVRQAPGKGLEWVASISSSYGSTYYADSVKGRFTISADTSKNTAYLQMNSLRAEDTAVYYCARWEGYRGDLWGQGTLVTVSSGGGSGGGSGGGSGGGSDIQMTQSPSSLSASVGDRVTITCRASQSVSSAVAWYQQKPGKAPKLLIYSASSLYSGVPSRFSGSRSGTDFTLTISSLQPEDFATYYCQQYYEWLRTFGQGTKVEIK"/>
        <s v="QVQLQESGPGLVKPSQTLSLTCTVSGGSVSSGSYYWSWIRQPPGKGLEWIGYIYYSGSTNYNPSLKSRVTISVDTSKNQFSLKLSSVTAADTAVYYCARVDSFYYGMDVWGQGTTVTVSSGGGSGGGSGGGSGGGSDIQMTQSPSSLSASVGDRVTITCRASSGSSYDNGWYQQKPGKAPKLLIYAASSLQSGVPSRFSGSGSGTDFTLTISSLQPEDFATYYLQDSNYTPRTFGQGTKVEIK"/>
        <s v="QVQLVQSGAEVKKPGSSVKVSCKASGGTFSSYTISWVRQAPGQGLEWMGRIIPIFGTANYAQKFQGRVTITADKSTSTAYMELSSLRSEDTAVYYCARYYDSYFDYWGQGTLVTVSSGGGSGGGSGGGSGGGSDIQMTQSPSSLSASVGDRVTITCRASQGISSWLAWYQQKPGKAPKLLIYAASSLQSGVPSRFSGSGSGTDFTLTISSLQPEDFATYYCQCGNSFPWTFGGGTKLEIK"/>
        <s v="DVQLQESGPGLVKPSQTLSLTCTVSGYSITSDYYWNWIRQFPGNKLEWMGYISYDGSSNYNPSLKNRISITRDNSKNQFFLQLNSVTTEDTATYYCARSCSRRGYAMDYWGQGTSVTVSSGGGSGGGSGGGSGGGSQIVLTQSPAIMSASLGEKVTLTCSASSSVSYMHWYQQKPGTSPKLLIYSCNLLSGVPDRFSGSGSGTDFTLSISNVETEDAATYYCYQYRIRFGGGTKLTVLQ"/>
        <s v="EVQLVESGGGLVQPGGSLRLSCAASGFTFSSYAMSWVRQAPGKGLEWVSSISRSGGSTYYADSVKGRFTISRDNAKNSLYLQMNSLRAEDTAVYYCARSCSSRGYFDYWGQGTLVTVSSGGGSGGGSGGGSGGGSDIVMTQSPDSLAVSLGERATINCRASQSVSSYLAWYQQKPGQSPKLLIYSCNLQSGVPDRFSGSGSGTDFTLTISSLQPEDFATYYCQPYIRFGGGGTKLEIK"/>
        <s v="QVQLQESGPGLVKPSQTLSLTCTVSGFSFSSYAMSWVRQAPGKGLEWVSSISRSGGSTYYADSVKGRFTISRDNAKNSLYLQMNSLRAEDTAVYYCARSCSSRGYLFDYWGQGTLVTVSSGGGSGGGSGGGSGGGSDIVMTQSPDSLAVSLGERATINCRASQSVSSYLAWYQQKPGQSPKLLIYSCNLQSGVPDRFSGSGSGTDFTLTISSLQPEDFATYYCQPYIRFGGGGTKLEIK"/>
        <s v="SIKLTESGPTSVAPGSTLNLTCTVTGDNITSSGWYWWVKQAPDNKLTWIGGIDKNGNTWLNVAYIDRATLTRDPAANTVYLSIRNVTSSDTATYYCAKSSDDNGSYLDVWGQGLKVTVSGGGGSGGGSGGGSGGGSQVKLTQSPKEVTAKIGDTVTLTCTASQPVSTVSWYMQKPGQPPQLLISNNKLVEGVPERFSASGSGTEFTLTIKDVQKEDEAIYYCEVNGQVFGQGTKLTVLE"/>
        <s v="EVQLVESGGGLVQPGGSLRLSCAASGFNVSYSSIHWVRQAPGKGLEWVASIYSYSGYTYYADSVKGRFTISADTSKNTAYLQMNSLRAEDTAVYYCARGWYSYFDYWGQGTLVTVSSGGGSGGGSGGGSGGGSDIQMTQSPSSLSASVGDRVTITCRASQSVSSAVAWYQQKPGKAPKLLIYSASSLYSGVPSRFSGSRSGTDFTLTISSLQPEDFATYYCQQYKYVPVTFGQGTKVEIK"/>
        <s v="QVQLVQSGAEVKKPGSSVKVSCKASGGTFSSYAISWVRQAPGQGLEWMGGIIIFGTANYAQKFQGRVTITADKSTSTAYMELRSEDTAVYYCAREGTTGWDYWGQGTLVTVSSGGGSGGGSGGGSGGGSEIVLTQSPGTLSLSPGERATLSCRASQSVSSSYLAWYQQKPGQAPRLLIYGASSRATGIPDRFSGSGSGTDFTLTISRLEPEDFAVYYCQQYGSSPRTFGQGTKVEIK"/>
        <s v="EVQLVESGGGLVQPGGSLRLSCAASGFNVSYYSIHWVRQAPGKGLEWVASIYSYSGYTSYADSVKGRFTISADTSKNTAYLQMNSLRAEDTAVYYCARYYVYYGAMDYWGQGTLVTVSSGGGSGGGSGGGSGGGSDIQMTQSPSSLSASVGDRVTITCRASQSVSSAVAWYQQKPGKAPKLLIYSASSLYSGVPSRFSGSRSGTDFTLTISSLQPEDFATYYCQQYKYVPVTFGQGTKVEIK"/>
        <s v="EVQLVESGGGLVQPGGSLRLSCAASGFNVSYSSIHWVRQAPGKGLEWVASIYSYSGYTYYADSVKGRFTISADTSKNTAYLQMNSLRAEDTAVYYCARGWVRGSSYWGQGTLVTVSSGGGSGGGSGGGSGGGSDIQMTQSPSSLSASVGDRVTITCRASQSVSSAVAWYQQKPGKAPKLLIYSASSLYSGVPSRFSGSRSGTDFTLTISSLQPEDFATYYCQQYKYVPVTFGQGTKVEIK"/>
        <s v="EVQLVESGGGLVQPGGSLRLSCAASGFNVSYSSIHWVRQAPGKGLEWVASIYSYSGYTNYADSVKGRFTISADTSKNTAYLQMNSLRAEDTAVYYCARYYGGYGGYFDYWGQGTLVTVSSGGGSGGGSGGGSGGGSDIQMTQSPSSLSASVGDRVTITCRASQSVSSAVAWYQQKPGKAPKLLIYSASSLYSGVPSRFSGSRSGTDFTLTISSLQPEDFATYYCQQYKYVPVTFGQGTKVEIK"/>
        <s v="EVQLVESGGGLVQPGGSLRLSCAASGFNVSYYSIHWVRQAPGKGLEWVASIYPYSGYTNYADSVKGRFTISADTSKNTAYLQMNSLRAEDTAVYYCARYYGYWYFDYWGQGTLVTVSSGGGSGGGSGGGSGGGSDIQMTQSPSSLSASVGDRVTITCRASQSVSSAVAWYQQKPGKAPKLLIYSASSLYSGVPSRFSGSRSGTDFTLTISSLQPEDFATYYCQQYKYVPVTFGQGTKVEIK"/>
        <s v="EVQLVESGGGLVQPGGSLRLSCAASGFNVSYSSIHWVRQAPGKGLEWVASIYSYSGYTSYADSVKGRFTISADTSKNTAYLQMNSLRAEDTAVYYCARYYGGYGGWYFDYWGQGTLVTVSSGGGSGGGSGGGSGGGSDIQMTQSPSSLSASVGDRVTITCRASQSVSSAVAWYQQKPGKAPKLLIYSASSLYSGVPSRFSGSRSGTDFTLTISSLQPEDFATYYCQQYKYVPVTFGQGTKVEIK"/>
        <s v="EVQLVESGGGLVQPGGSLRLSCAASGFNVSYYSIHWVRQAPGKGLEWVASISSYYGYTYYADSVKGRFTISADTSKNTAYLQMNSLRAEDTAVYYCARYYGYWYFDYWGQGTLVTVSSGGGSGGGSGGGSGGGSDIQMTQSPSSLSASVGDRVTITCRASQSVSSAVAWYQQKPGKAPKLLIYSASSLYSGVPSRFSGSRSGTDFTLTISSLQPEDFATYYCQQYKYVPVTFGQGTKVEIK"/>
        <s v="EVQLVESGGGLVQPGGSLRLSCAASGFNVSYYSIHWVRQAPGKGLEWVASISSYYGYTYYADSVKGRFTISADTSKNTAYLQMNSLRAEDTAVYYCARYYGTYYGHSYWGQGTLVTVSSGGGSGGGSGGGSGGGSDIQMTQSPSSLSASVGDRVTITCRASQSVSSAVAWYQQKPGKAPKLLIYSASSLYSGVPSRFSGSRSGTDFTLTISSLQPEDFATYYCQQYKYVPVTFGQGTKVEIK"/>
        <s v="EVQLVESGGGLVQPGGSLRLSCAASGFNVSYSSIHWVRQAPGKGLEWVASIYSYSGYTNYADSVKGRFTISADTSKNTAYLQMNSLRAEDTAVYYCARYWYFGYFDYWGQGTLVTVSSGGGSGGGSGGGSGGGSDIQMTQSPSSLSASVGDRVTITCRASQSVSSAVAWYQQKPGKAPKLLIYSASSLYSGVPSRFSGSRSGTDFTLTISSLQPEDFATYYCQQYKYVPVTFGQGTKVEIK"/>
        <s v="EVQLVESGGGLVKPGGSLRLSCAASGFTFRNYAMSWVRQAPGKGLEWVSSISSKSKSTSYADSVKGRFTISRDNAKNSLYLQMNSLRAEDTAVYYCARESGSFSYEGVWGQGTLVTVSSGGGSGGGSGGGSGGGSSVLTQPPSVSGAPGQRVTISCTGSSSNIGAGYDVHWYQQLPGTAPKLLIYDNNKRPSGVPDRFSGSKSGTSASLAITGLQAEDEADYYCQSYDSSLSGLVFGGGTKLTVL"/>
        <s v="EVQLVESGGGLVQPGGSLRLSCAASGFNISSSSIHWVRQAPGKGLEWVASIYYSSGYTHYADSVKGRFTISADTSKNTAYLQMNSLRAEDTAVYYCARWGYWPGQVWLWFAYWGQGTLVTVSGGGSGGGSGGGSGGGSDIQMTQSPSSLSASVGDRVTITCRASQSVSSAVAWYQQKPGKAPKLLIYSASSLYSGVPSRFSGSRSGTDFTLTISSLQPEDFATYYCQQSSSSLITFGQGTKVEIK"/>
        <s v="QVQLVQSGAEVKKPGSSVKVSCKSSGGTSNNYAISWVRQAPGQGLEWMGGIIPILGIANYAQKFQGRVTITADKSTSTAYMELSSLRSEDTAVYYCAREDAVVDYWGQGTLVTVSSGGGSGGGSGGGSGGGSDIQMTQSPSTLSASVGDRVTITCRASQGISSWLAWYQQKPGKAPKLLIYKASSLESGVPSRFSGSGSGTEFTLTISSLQPDDFATYYCQQYNSYPLTFGQGTKVQVK"/>
        <s v="EVQLVESGGGLVQPGGSLRLSCAASGFNVSSSSIHWVRQAPGKGLEWVASISSYYGYTYYADSVKGRFTISADTSKNTAYLQMNSLRAEDTAVYYCARHWGYCSWFAYWGQGTLVTVSSGGGSGGGSGGGSGGGSDIQMTQSPSSLSASVGDRVTITCRASQSVSSAVAWYQQKPGKAPKLLIYSASSLYSGVPSRFSGSRSGTDFTLTISSLQPEDFATYYCQQYKYVPVTFGQGTKVEIK"/>
        <s v="EVQLVESGGGLVQPGGSLRLSCAASGFNISSSSIHWVRQAPGKGLEWVASIYSYSGYTSYADSVKGRFTISADTSKNTAYLQMNSLRAEDTAVYYCARGSHYFGYFDYWGQGTLVTVSSGGGSGGGSGGGSGGGSDIQMTQSPSSLSASVGDRVTITCRASQSVSSAVAWYQQKPGKAPKLLIYSASSLYSGVPSRFSGSRSGTDFTLTISSLQPEDFATYYCQQSSSSLITFGQGTKVEIK"/>
        <s v="QVQLQESGPGLVKPSQTLSLTCTVSGGSISSGDYYWIRQHPGKGLEWIGYIYYSGSTDYNPSLKSRVTISVDTSKNQFSLKVTAADTAVYYCARTWFGSDYWGQGTLVTVSSGGGSGGGSGGGSGGGSDIQMTQSPSSLSASVGDRVTITCRASQGISNYLAWYQQKPGKAPKLLIYAASTLQSGVPSRFSGSGSGTDFTLTISSLQPEDFATYYCQQAHSFPYTFGGGTKLEIK"/>
        <s v="EVQLVESGGGLVQPGGSLRLSCAASGFTFSSYWMNWVRQAPGKGLEWVAFIRYDGGNKYYADSVKGRFTISRDNSKNTLYLQMNSLRAEDTAVYYCARWSYSGGSGSYYVYFDYWGQGTLVTVSGGGSGGGSGGGSGGGSSVLTQPPSVSGAPGQRVTISCTGSSSNIGAGYDVHWYQQLPGTAPKLLIYGNSNRPSGVPDRFSGSKSGTSASLAITGLQAEDEADYYCQSYDSSLSGSVFGGGTKLTVL"/>
        <s v="QVQLVQSGAEVKKPGASVKVSCKASGYTFTNYYIHWVRQAPGQGLEWMGWIYPGGNTNYAQKFQGRVTMTRDTSISTAYMELSRLRSDDTAVYYCARVRTEFDYWGQGTLVTVSSGGGSGGGSGGGSGGGSDIVMTQSPSSLAMSAGAETITCRSSQSVHSNGYLNWYQQKPGQPPKLLIYWASTRESGVPDRFTGSGSGTDFTLTITNVQSEDLAEYFCQQYSSYPLTFGAGTKLELR"/>
        <s v="QVQLQESGPGLVKPSETLSLTCTVSGGSVSSGGYFWSWIRQPPGKGLEWIGYVSGSGSTNYNPSLKSRVTISVDTSKNQFSLKLSSVTAADTAVYYCARWDVWISDYWGQGTLVTVSSGGGSGGGSGGGSGGGSEIVLTQSPATLSLSPGERATLSCRASQSVSSYLAWYQQKPGQAPRLLIYDASNRATGIPARFSGSGSGTDFTLTISSLEPEDFAVYYCQHSWDQPPWTFGQGTKVEIK"/>
        <s v="QVQLQESGPGLVKPSQTLSLTCTVTGSSITSGYWNWIRQFPGNKLEWMGYISYSGTITYNPSLKSRISITRDTSKNQFFLQLNSVTTEDTATYYCARVYDGFYDYWGQGTLVTVSSGGGSGGGSGGGSGGGSDIVMTQSPSSLSASVGDRVTITCRASQGISSWLAWYQQKPGKAPKLLIYKASSLESGVPSRFSGSGSGTEFTLTISSLQPDDFATYYCQQYNSYPLTFGGGTKVEIK"/>
        <s v="QVQLVESGGGVVQPGRSLRLSCAASGFTFSNYAMHWVRQAPGKGLEWVAVISYNSGNPYADSVKGRFTISRDNSKNTLYLQMRVEDTAVYYCSRTTIGYGGDIWGNMFDYWGQGTLVTVSSGGGSGGGSGGGSGGGSDIVMTQSPATLSVSPGDRATLSCRASQSISTNLAWYQQKPGQAPRLLIYTASTLESGVPSRFSGSGSGTEFTLTISNLQSEDFATYFCQQYSAPLTFGGGTKVEIK"/>
        <s v="EVQLVESGGGLVQPGGSLRLSCAASGFASSSSNYVHWVRQAPGKGLEWVATIYPYSSSEYAASVQGRFTISRDDSKNTLYLQMNSLRGEDTAVYYCARYGYYSSRSGYGYYFNYWGQGTLVTVSSGGGSGGGSGGGSDIVMTQSPASLAVSLGQRATISCRASESVDSYGNSFLAWYQQKPGQPPKLLIYWASTRQSGVPARFSGSGSGTDFTLNIHPVEEEDAATYYCQQHNYPLTFGAGTKLEIK"/>
        <s v="EVQLVESGAEVKKPGSSVKVSCKASGGPFTSYVISWVRQAPGQGLEWMGRIIPIRGTTYAQKFQGRVTITADKSTSTAYMELRSEDTAVYYCARGSHVFGYYDYWGQGTLVTVSSGGGSGGGSGGGSGGGSEIVLTQSPGTLSLSPGERATLSCRASQSISGNYLAWYQQKPGQAPRLLIYGASIRAAGIPDRFSGSGSGTDFTLTISRLEPEDFAVYYCQQYGSSPRTFGQGTKVEIK"/>
        <s v="EVQLVETGGGLVQPGGSLKLSCRASGYTFTDYAMHWVRQAPLGLGLYTGGVNYARHFMKSRISITRDNSKNTLYLQMTKVDDTATYFCARRGLFDSDYWGQGTLVTVSSGGGSGGGSGGGSGGGSSVTQPPSVSGSTSVGDRVTTCRASQSISSNWLAWYQQFPGTAPKLLIYENSSRPSGVPDRFSGSGSGTDFTLKISRVEAEDVGVYYCLQALSPRFTFGSGTKLEIK"/>
        <s v="QVQLVQSGAEVKKPGSSVKVSCKASGGTFSNYGISWVRQAPGQGLEWMGGIIPILGIANYAQKFQGRVTITADKSTSTAYMELRSLRSDDTAVYYCAREGHAYFHNGLDYWGQGTLVTVSSGGGSGGGSGGGSGGGSEIVLTQSPGTLSLSPGERATLSCRASQSVSSSYFAWYQQKPGQAPRLLIYGASSRATGIPDRFSGSGSGTDFTLTISRLEPEDFAVYYCQQYGSSPPATFGQGTKVEIK"/>
        <s v="QVQLVESGGGVVQPGRSLRLSCAASGFTFSSFGMHWVRQAPGKGLEWVAIIWDGSNKYYADSVKGRFTISRDNSKNTLYLQMRAEDTAVYYCALDGGSFDDYWGQGTLVTVSSGGGSGGGSGGGSGGGSDIQMTQSPSTLSTSVGDRVTITCRASQSISSWLAWYQQKPGKAPKLLIYKASTLESGVPSRFSGSGSGTEFTLTISSLQPDDFATYYCQHFYGTPITFGPGTKVD"/>
        <s v="EVQLVESGGGLVKPGGSLKVSCAASGFTFSDYSMNWVRQAPGKGLEWVSSITSGYTSIYYADSVKGRFTISRDNAKNSLYLQMNSLRAGDTAVYYCARVSDNFDYWGQGTAVTVSSGGGSGGGSGGGSGGGSDIQMTQSPSSLSASVGDRVTITCQASQDIRFYLNWYQQKPGKAPKLLISAASTLQSGVPSRFSGSGSGTDFTLTITSLQPEDFATYYCAGYVPSYTFGPGTKVDIK"/>
        <s v="EVQLQQSGAELVKPGASVKLSCKASGYTFLDYYMYWVKQRPEQGLEWIGRIDPANGNTIYAPKFQDKATLTLTTDTTSSNTAYMQLSSLTSEDSAVYYCAREGNYGYRDLAWFAYWGQGTLVTVSSGGGSGGGSGGGSGGGSAIRMTQSPSSLSASVGDTVTITCRASQSISSYLNWYQQKPGKAPKLLIYTASNLESGVPSRFSGSGSGTDYTLTISSLQPEDIATYYCQQYDNPPLTFGGGTKVEIK"/>
        <s v="QVQLQESGPGLVKPSETLSLTCTVSGGSVSSGGYFWSWIRQRPGKGLEWIGHIYYSGTTNYNPSLRSRVTISRDTSKSQFSLKMDSLTSEDTALYYCARQLGLRFDIWGQGTMVTVSSGGGSGGGSGGGSGGGSDIQMTQSPSSLSASVGDRVTITCRASQSISSYLNWYQQKPGKAPKLLIYAASSLQSGVPSRFSGSGSGTDFTLTISSLQPEDFATYYCQQSYTTPPTFGQGTKVEIK"/>
        <s v="QVQLVESGGGLVQPGGSLRLSCAASGFNLYSSSIHWVRQAPGKGLEWVARIYPSGATYYADSVKGRFTISADTSKNTAYLQMRAEDTAVYYCARSYYGDDYWGQGTLVTVSSGGGSGGGSGGGSGGGSDIQMTQSPSSLSASVGDRVTITCRASQSVSSAVAWYQQKPGKAPKLLIYSASFLYSGVPSRFSGSRSGTDFTLTISSLQPEDFATYYCQQYSYYPFTFGQGTKVEIK"/>
        <s v="EVQLLESGGGLVQPGGSLRLSCAASGFTFSSYAMSWVRQAPGKGLEWVSYISSSSSTIYYADSVKGRFTISRDNAKNSLYLQMNSLRAEDTAVYYCAKYSSYDYDYWGRGTMVTVSSGGGSGGGSGGGSGGGSDIQLTQSPSSLSASVGDRVTITCRASQGISSYLNWYQQKPGKAPKLLIYDASSLQSGVPSRFSGSGSGTDFTLTISSLQPEDFATYYCQQFYEWLRTFGQGTRLEIK"/>
        <s v="EVQLVESGGGLVQPGGSLRLSCAASGFATVSSNYMSWVRQAPGKGLEWVSVIYSCGSTYYADSVKGRFTISRDNSKNTLYLQMNSLRAEDTAVYYCARYYYDSSRSGYYYYFDYWGQGTLVTVSSGGGSGGGSGGGSDIVLTQSPASLAVSLGQRATISCKASQSVDYDGDSYMHWYQQKPGQPPKLLIYRASNLESGIPARFSGSGSRTDFTLTINPVEADDVATYYCQQSNYPLTFGSGTKVEIK"/>
        <s v="EVQLVESGGGLVQPGGSLRLSCAASGFNISDSSIHWVRQAPGKGLEWVASISSYSGYTYYADSVKGRFTISADTSKNTAYLQMNSLRAEDTAVYYCARGGRDLFGLDALDYWGQGTLVTVSSGGGSGGGSGGGSDIQMTQSPSSLSASVGDRVTITCRASQSVSSAVAWYQQKPGKAPKLLIYSASSLYSGVPSRFSGSRSGTDFTLTISSLQPEDFATYYCQQYKYVPVTFGQGTKVEIK"/>
        <s v="EVQLVESGGGLVQPGGSLRLSCAASGFNISSSSIHWVRQAPGKGLEWVASIYSYSGLTYYADSVKGRFTISADTSKNTAYLQMNSLRAEDTAVYYCARGGYYLDGLYALDYWGQGTLVTVSSGGGSGGGSGGGSDIQMTQSPSSLSASVGDRVTITCRASQSVSSAVAWYQQKPGKAPKLLIYSASSLYSGVPSRFSGSRSGTDFTLTISSLQPEDFATYYCQQYKYVPVTFGQGTKVEIK"/>
        <s v="EVQLVESGGGLVQPGGSLRLSCAASGFNISSSSIHWVRQAPGKGLEWVASIYSYSGATYYADSVKGRFTISADTSKNTAYLQMNSLRAEDTAVYYCARGGNHLDGLYALDYWGQGTLVTVSSGGGSGGGSGGGSDIQMTQSPSSLSASVGDRVTITCRASQSVSSAVAWYQQKPGKAPKLLIYSASSLYSGVPSRFSGSRSGTDFTLTISSLQPEDFATYYCQQYKYVPVTFGQGTKVEIK"/>
        <s v="EVQLVESGGGLVQPGGSLRLSCAASGFNISSSSIHWVRQAPGKGLEWVASIYSYSGYTYYADSVKGRFTISADTSKNTAYLQMNSLRAEDTAVYYCARGGRYLDGLFALDYWGQGTLVTVSSGGGSGGGSGGGSDIQMTQSPSSLSASVGDRVTITCRASQSVSSAVAWYQQKPGKAPKLLIYSASSLYSGVPSRFSGSRSGTDFTLTISSLQPEDFATYYCQQYKYVPVTFGQGTKVEIK"/>
        <s v="EVQLVESGGGLVQPGGSLRLSCAASGFNISSSSIHWVRQAPGKGLEWVASISSYSGYTYYADSVKGRFTISADTSKNTAYLQMNSLRAEDTAVYYCARGGSLLRGLSALDYWGQGTLVTVSSGGGSGGGSGGGSDIQMTQSPSSLSASVGDRVTITCRASQSVSSAVAWYQQKPGKAPKLLIYSASSLYSGVPSRFSGSRSGTDFTLTISSLQPEDFATYYCQQYKYVPVTFGQGTKVEIK"/>
        <s v="EVQLVESGGGLVQPGGSLRLSCAASGFNISDSSIHWVRQAPGKGLEWVASISSYSGYTYYADSVKGRFTISADTSKNTAYLQMNSLRAEDTAVYYCARGGRYLDGLYALDYWGQGTLVTVSSGGGSGGGSGGGSDIQMTQSPSSLSASVGDRVTITCRASQSVSSAVAWYQQKPGKAPKLLIYSASSLYSGVPSRFSGSRSGTDFTLTISSLQPEDFATYYCQQYKYVPVTFGQGTKVEIK"/>
        <s v="EVQLVESGGGLVQPGGSLRLSCAASGFNISSSSIHWVRQAPGKGLEWVASISSYSGYTYYADSVKGRFTISADTSKNTAYLQMNSLRAEDTAVYYCARGGSYLDGLSALDYWGQGTLVTVSSGGGSGGGSGGGSDIQMTQSPSSLSASVGDRVTITCRASQSVSSAVAWYQQKPGKAPKLLIYSASSLYSGVPSRFSGSRSGTDFTLTISSLQPEDFATYYCQQYKYVPVTFGQGTKVEIK"/>
        <s v="EVQLVESGGGLVQPGGSLRLSCAASGFNISDSSIHWVRQAPGKGLEWVASIYNYSGYTYYADSVKGRFTISADTSKNTAYLQMNSLRAEDTAVYYCARGGYYLDGLDALDYWGQGTLVTVSSGGGSGGGSGGGSDIQMTQSPSSLSASVGDRVTITCRASQSVSSAVAWYQQKPGKAPKLLIYSASSLYSGVPSRFSGSRSGTDFTLTISSLQPEDFATYYCQQYKYVPVTFGQGTKVEIK"/>
        <s v="EVQLVESGGGLVQPGGSLRLSCAASGFNISDYSIHWVRQAPGKGLEWVASIYNRSGYTYYADSVKGRFTISADTSKNTAYLQMNSLRAEDTAVYYCARGGYYLDGLYALDYWGQGTLVTVSSGGGSGGGSGGGSDIQMTQSPSSLSASVGDRVTITCRASQSVSSAVAWYQQKPGKAPKLLIYSASSLYSGVPSRFSGSRSGTDFTLTISSLQPEDFATYYCQQYKYVPVTFGQGTKVEIK"/>
        <s v="EVQLVESGGGLVQPGGSLRLSCAASGFNISSSSIHWVRQAPGKGLEWVASISSYSGYTYYADSVKGRFTISADTSKNTAYLQMNSLRAEDTAVYYCARGGHDLDGLYALDYWGQGTLVTVSSGGGSGGGSGGGSDIQMTQSPSSLSASVGDRVTITCRASQSVSSAVAWYQQKPGKAPKLLIYSASSLYSGVPSRFSGSRSGTDFTLTISSLQPEDFATYYCQQYKYVPVTFGQGTKVEIK"/>
        <s v="EVQLVESGGGLVKPGGSLKVSCAASGFTFSSYAMHWVRQAPGKGLEWVSYIWSGADSIGYADSVKGRFTISRDNAKNSLYLQMNSLRAGDTAVYYCARDDDAFDYWGQGTAVTVSSGGGSGGGSGGGSDIQMTQSPSSLSASVGDRVTITCQASQDIRFYLNWYQQKPGKAPKLLISAASTLQSGVPSRFSGSGSGTDFTLTITSLQPEDFATYYCAGYVPSYTFGPGTKVDIK"/>
        <s v="EVQLVESGGGLVKPGGSLKVSCAASGFTFSSYSMHWVRQAPGKGLEWVSSIWSGADSTGYADSVKGRFTISRDNAKNSLYLQMNSLRAGDTAVYYCARDDDAFDYWGQGTAVTVSSGGGSGGGSGGGSDIQMTQSPSSLSASVGDRVTITCQASQDIRFYLNWYQQKPGKAPKLLISAASTLQSGVPSRFSGSGSGTDFTLTITSLQPEDFATYYCAGYVPSYTFGPGTKVDIK"/>
        <s v="EVQLVESGGGLVKPGGSLKVSCAASGFTFSSYAMHWVRQAPGKGLEWVSRIWSGADSTGYADSVKGRFTISRDNAKNSLYLQMNSLRAGDTAVYYCARDDDAFDYWGQGTAVTVSSGGGSGGGSGGGSDIQMTQSPSSLSASVGDRVTITCQASQDIRFYLNWYQQKPGKAPKLLISAASTLQSGVPSRFSGSGSGTDFTLTITSLQPEDFATYYCAGYVPSYTFGPGTKVDIK"/>
        <s v="EVQLVESGGGLVKPGGSLKVSCAASGFTFSSYAMHWVRQAPGKGLEWVSYIWSGADSIGYADSVKGRFTISRDNAKNSLYLQMNSLRAGDTAVYYCARYDDAFDYWGQGTAVTVSSGGGSGGGSGGGSDIQMTQSPSSLSASVGDRVTITCQASQDIRFYLNWYQQKPGKAPKLLISAASTLQSGVPSRFSGSGSGTDFTLTITSLQPEDFATYYCAGYVPSYTFGPGTKVDIK"/>
        <s v="EVQLVESGGGLVKPGGSLKVSCAASGFTFSSYSMHWVRQAPGKGLEWVSRIWSGTDSIGYADSVKGRFTISRDNAKNSLYLQMNSLRAGDTAVYYCARDDDAFDYWGQGTAVTVSSGGGSGGGSGGGSDIQMTQSPSSLSASVGDRVTITCQASQDIRFYLNWYQQKPGKAPKLLISAASTLQSGVPSRFSGSGSGTDFTLTITSLQPEDFATYYCAGYVPSYTFGPGTKVDIK"/>
        <s v="EVQLVESGGGLVKPGGSLKVSCAASGFTFSSYAMHWVRQAPGKGLEWVSYIWSGVDSIGYADSVKGRFTISRDNAKNSLYLQMNSLRAGDTAVYYCARDDDAFDYWGQGTAVTVSSGGGSGGGSGGGSDIQMTQSPSSLSASVGDRVTITCQASQDIRFYLNWYQQKPGKAPKLLISAASTLQSGVPSRFSGSGSGTDFTLTITSLQPEDFATYYCAGYVPSYTFGPGTKVDIK"/>
        <s v="EVQLVESGGGLVKPGGSLKVSCAASGFTFSSFAMHWVRQAPGKGLEWVSYIWSGADSTGYADSVKGRFTISRDNAKNSLYLQMNSLRAGDTAVYYCARDDDAFDYWGQGTAVTVSSGGGSGGGSGGGSDIQMTQSPSSLSASVGDRVTITCQASQDIRFYLNWYQQKPGKAPKLLISAASTLQSGVPSRFSGSGSGTDFTLTITSLQPEDFATYYCAGYVPSYTFGPGTKVDIK"/>
        <s v="EVQLVESGGGLVKPGGSLKVSCAASGFTFSSYSMVWVRQAPGKGLEWVSRIWSGVDSTGYADSVKGRFTISRDNAKNSLYLQMNSLRAGDTAVYYCARDDDAFDYWGQGTAVTVSSGGGSGGGSGGGSDIQMTQSPSSLSASVGDRVTITCQASQDIRFYLNWYQQKPGKAPKLLISAASTLQSGVPSRFSGSGSGTDFTLTITSLQPEDFATYYCAGYVPSYTFGPGTKVDIK"/>
        <s v="EVQLVESGGGLVQPGGSLRLSCAASGFNISYSSIHWVRQAPGKGLEWVASISSYSGSTYYADSVKGRFTISADTSKNTAYLQMNSLRAEDTAVYYCARGGYVPVGWYALDYWGQGTLVTVSSGGGSGGGSGGGSGGGSDIQMTQSPSSLSASVGDRVTITCRASQSVSTAVAWYQQKPGKAPKLLIYYASDRYSGVPSRFSGSRSGTDFTLTISSLQPEDFATYYCQQHYNYPLTFGQGTKVEIK"/>
        <s v="EVQLVESGGGLVQPGGSLRLSCAASGFNISYSSIHWVRQAPGKGLEWVASISSYSGSTYYADSVKGRFTISADTSKNTAYLQMNSLRAEDTAVYYCARGGAVPVGWYALDYWGQGTLVTVSSGGGSGGGSGGGSGGGSDIQMTQSPSSLSASVGDRVTITCRASQSVSDDVAWYQQKPGKAPKLLIYRASDRYFGVPSRFSGSRSGTDFTLTISSLQPEDFATYYCQQYYSYPITFGQGTKVEIK"/>
        <s v="EVQLVESGGGLVQPGGSLRLSCAASGFNISYSSIHWVRQAPGKGLEWVASISSYSGSTYYADSVKGRFTISADTSKNTAYLQMNSLRAEDTAVYYCARGGDVPNGWYALDYWGQGTLVTVSSGGGSGGGSGGGSGGGSDIQMTQSPSSLSASVGDRVTITCRASQSVYTAVAWYQQKPGKAPKLLIYFASDRYSGVPSRFSGSRSGTDFTLTISSLQPEDFATYYCQQHYYYPITFGQGTKVEIK"/>
        <s v="EVQLVESGGGLVQPGGSLRLSCAASGFNISYSSIHWVRQAPGKGLEWVASISSYSGSTYYADSVKGRFTISADTSKNTAYLQMNSLRAEDTAVYYCARGGDVPVGWYALDYWGQGTLVTVSSGGGSGGGSGGGSGGGSDIQMTQSPSSLSASVGDRVTITCRASQSVSDAVAWYQQKPGKAPKLLIYYASDRYAGVPSRFSGSRSGTDFTLTISSLQPEDFATYYCQQYYSYPLTFGQGTKVEIK"/>
        <s v="EVQLVESGGGLVQPGGSLRLSCAASGFNISSSSIHWVRQAPGKGLEWVASISSSSGSTYYADSVKGRFTISADTSKNTAYLQMNSLRAEDTAVYYCARGGDVPNGWYALDYWGQGTLVTVSSGGGSGGGSGGGSGGGSDIQMTQSPSSLSASVGDRVTITCRASQSVYTAVAWYQQKPGKAPKLLIYRASDRYAGVPSRFSGSRSGTDFTLTISSLQPEDFATYYCQQYYYYPLTFGQGTKVEIK"/>
        <s v="EVQLVESGGGLVQPGGSLRLSCAASGFNISYSSIHWVRQAPGKGLEWVASISSYSGSTYYADSVKGRFTISADTSKNTAYLQMNSLRAEDTAVYYCARGGDVPVGYYALDYWGQGTLVTVSSGGGSGGGSGGGSGGGSDIQMTQSPSSLSASVGDRVTITCRASQSVNTAVAWYQQKPGKAPKLLIYSASDRYFGVPSRFSGSRSGTDFTLTISSLQPEDFATYYCQQHYSYPLTFGQGTKVEIK"/>
        <s v="EVQLVESGGGLVQPGGSLRLSCAASGFNISYSSIHWVRQAPGKGLEWVASISSYSGSTYYADSVKGRFTISADTSKNTAYLQMNSLRAEDTAVYYCARGGDVPNGWYALDYWGQGTLVTVSSGGGSGGGSGGGSGGGSDIQMTQSPSSLSASVGDRVTITCRASQSVYTAVAWYQQKPGKAPKLLIYSASDRYSGVPSRFSGSRSGTDFTLTISSLQPEDFATYYCQQYASYPITFGQGTKVEIK"/>
        <s v="EVQLVESGGGLVQPGGSLRLSCAASGFNISYSSIHWVRQAPGKGLEWVASISSYSGSTYYADSVKGRFTISADTSKNTAYLQMNSLRAEDTAVYYCARGGAVPVGWYALDYWGQGTLVTVSSGGGSGGGSGGGSGGGSDIQMTQSPSSLSASVGDRVTITCRASQSVSIAVAWYQQKPGKAPKLLIYSASDRYFGVPSRFSGSRSGTDFTLTISSLQPEDFATYYCQQYYSYPLTFGQGTKVEIK"/>
        <s v="EVQLVESGGGLVQPGGSLRLSCAASGFNISYSSIHWVRQAPGKGLEWVASISSYSGSTYYADSVKGRFTISADTSKNTAYLQMNSLRAEDTAVYYCARGGDVPVGWYALDYWGQGTLVTVSSGGGSGGGSGGGSGGGSDIQMTQSPSSLSASVGDRVTITCRASQSVYYAVAWYQQKPGKAPKLLIYRASDRYSGVPSRFSGSRSGTDFTLTISSLQPEDFATYYCQQYYSYPLTFGQGTKVEIK"/>
        <s v="EVQLVESGGGLVQPGGSLRLSCAASGFNISYSSIHWVRQAPGKGLEWVASISSYSGSTYYADSVKGRFTISADTSKNTAYLQMNSLRAEDTAVYYCARGGYVPVGWYALDYWGQGTLVTVSSGGGSGGGSGGGSGGGSDIQMTQSPSSLSASVGDRVTITCRASQSVYTAVAWYQQKPGKAPKLLIYRASDRYFGVPSRFSGSRSGTDFTLTISSLQPEDFATYYCQQYYYYPLTFGQGTKVEIK"/>
        <s v="EVQLVESGGGLVQPGGSLRLSCAASGFNISYSSIHWVRQAPGKGLEWVASISSYSGYTYYADSVKGRFTISADTSKNTAYLQMNSLRAEDTAVYYCARGGWRPIGSYALDYWGQGTLVTVSSGGGSGGGSGGGSGGGSGGGSDIQMTQSPSSLSASVGDRVTITCRASQDVFSAVAWYQQKPGKAPKLLIYYASFLYSGVPSRFSGSRSGTDFTLTISSLQPEDFATYYCQQHSVVPITFGQGTKVEIK"/>
        <s v="EVQLVESGGGLVQPGGSLRLSCAASGFNISYSSIHWVRQAPGKGLEWVASISSYSGSTYYADSVKGRFTISADTSKNTAYLQMNSLRAEDTAVYYCARGGYRPIGNYALDYWGQGTLVTVSSGGGSGGGSGGGSGGGSGGGSDIQMTQSPSSLSASVGDRVTITCRASQDVDSAVAWYQQKPGKAPKLLIYYASFLYSGVPSRFSGSRSGTDFTLTISSLQPEDFATYYCQQHYVVPVTFGQGTKVEIK"/>
        <s v="EVQLVESGGGLVQPGGSLRLSCAASGFNISYYSIHWVRQAPGKGLEWVASISSYSGYTYYADSVKGRFTISADTSKNTAYLQMNSLRAEDTAVYYCARGGDRPSGCYALDYWGQGTLVTVSSGGGSGGGSGGGSGGGSGGGSDIQMTQSPSSLSASVGDRVTITCRASQDVFSAVAWYQQKPGKAPKLLIYFASFLYSGVPSRFSGSRSGTDFTLTISSLQPEDFATYYCQQHYEVPITFGQGTKVEIK"/>
        <s v="EVQLVESGGGLVQPGGSLRLSCAASGFNISYSSIHWVRQAPGKGLEWVASISSYSGYTYYADSVKGRFTISADTSKNTAYLQMNSLRAEDTAVYYCARGGSLPTGCYALDYWGQGTLVTVSSGGGSGGGSGGGSGGGSGGGSDIQMTQSPSSLSASVGDRVTITCRASQDVDSAVAWYQQKPGKAPKLLIYFASSLYSGVPSRFSGSRSGTDFTLTISSLQPEDFATYYCQQHYDAPITFGQGTKVEIK"/>
        <s v="EVQLVESGGGLVQPGGSLRLSCAASGFNISYSSIHWVRQAPGKGLEWVASISSYSGYTYYADSVKGRFTISADTSKNTAYLQMNSLRAEDTAVYYCARGGWYPWGCDALDYWGQGTLVTVSSGGGSGGGSGGGSGGGSGGGSDIQMTQSPSSLSASVGDRVTITCRASQDVDSAVAWYQQKPGKAPKLLIYFASFLYSGVPSRFSGSRSGTDFTLTISSLQPEDFATYYCQQHYDVPITFGQGTKVEIK"/>
        <s v="EVQLVESGGGLVQPGGSLRLSCAASGFNISYSSIHWVRQAPGKGLEWVASISSYSGYTYYADSVKGRFTISADTSKNTAYLQMNSLRAEDTAVYYCARGGDRPVGCYALDYWGQGTLVTVSSGGGSGGGSGGGSGGGSGGGSDIQMTQSPSSLSASVGDRVTITCRASQDVTSAVAWYQQKPGKAPKLLIYSASFRYSGVPSRFSGSRSGTDFTLTISSLQPEDFATYYCQQHYVVPVTFGQGTKVEIK"/>
        <s v="EVQLVESGGGLVQPGGSLRLSCAASGFNISYSSIHWVRQAPGKGLEWVASISSYSGYTYYADSVKGRFTISADTSKNTAYLQMNSLRAEDTAVYYCARGGWYPLGCYAMDYWGQGTLVTVSSGGGSGGGSGGGSGGGSGGGSDIQMTQSPSSLSASVGDRVTITCRASQDVLSDVAWYQQKPGKAPKLLIYYASFRYSGVPSRFSGSRSGTDFTLTISSLQPEDFATYYCQQHYVVPVTFGQGTKVEIK"/>
        <s v="EVQLVESGGGLVQPGGSLRLSCAASGFNISYSSIHWVRQAPGKGLEWVASISSYSGYTYYADSVKGRFTISADTSKNTAYLQMNSLRAEDTAVYYCARGGWRPFGCYALDYWGQGTLVTVSSGGGSGGGSGGGSGGGSGGGSDIQMTQSPSSLSASVGDRVTITCRASQDVFSAVAWYQQKPGKAPKLLIYSASFLYSGVPSRFSGSRSGTDFTLTISSLQPEDFATYYCQQHYIYPVTFGQGTKVEIK"/>
        <s v="EVQLVESGGGLVQPGGSLRLSCAASGFNISYSSIHWVRQAPGKGLEWVASISSYSGSTYYADSVKGRFTISADTSKNTAYLQMNSLRAEDTAVYYCARGGWYPWGNYALDYWGQGTLVTVSSGGGSGGGSGGGSGGGSGGGSDIQMTQSPSSLSASVGDRVTITCRASQDVNTAVAWYQQKPGKAPKLLIYEASFRYSGVPSRFSGSRSGTDFTLTISSLQPEDFATYYCQQHYEVPITFGQGTKVEIK"/>
        <s v="EVQLVESGGGLVQPGGSLRLSCAASGFNISYSSIHWVRQAPGKGLEWVASISSYSGSTYYADSVKGRFTISADTSKNTAYLQMNSLRAEDTAVYYCARGGSRPWGCYALDYWGQGTLVTVSSGGGSGGGSGGGSGGGSGGGSDIQMTQSPSSLSASVGDRVTITCRASQDVFTAVAWYQQKPGKAPKLLIYFASFLYSGVPSRFSGSRSGTDFTLTISSLQPEDFATYYCQQYSIVPVTFGQGTKVEIK"/>
        <s v="EVQLVESGGGLVQPGGSLRLSCAASGFNISYSSIHWVRQAPGKGLEWVASISSYSGSTYYADSVKGRFTISADTSKNTAYLQMNSLRAEDTAVYYCARGGDVPVGWYALDYWGQGTLVTVSSGGGSGGGSGGGSGGGSGGGSDIQMTQSPSSLSASVGDRVTITCRASQSVYYAVAWYQQKPGKAPKLLIYRASDLYSGVPSRFSGSRSGTDFTLTISSLQPEDFATYYCQQYYSYPLTFGQGTKVEIK"/>
        <m/>
        <s v="EVQLVESGGGLVQPGGSLRLSCAASGFNISYSSIHWVRQAPGKGLEWVASISSYSGSTYYADSVKGRFTISADTSKNTAYLQMNSLRAEDTAVYYCARGGDVPVGWYALDYWGQGTLVTVSSGGGSGGGSGGGSGGGSGGGSDIQMTQSPSSLSASVGDRVTITCRASQSVYYAVAWYQQKPGKAPKLLIYRASDRYSGVPSRFSGSRSGTDFTLTISSLQPEDFATYYCQQYYSYPLTFGQGTKVEIK" u="1"/>
      </sharedItems>
    </cacheField>
    <cacheField name="len_franken_chain" numFmtId="0">
      <sharedItems containsString="0" containsBlank="1" containsNumber="1" containsInteger="1" minValue="231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Blank="1" containsMixedTypes="1" containsNumber="1" minValue="0" maxValue="0.572295"/>
    </cacheField>
    <cacheField name="max_ipsae" numFmtId="0">
      <sharedItems containsBlank="1" containsMixedTypes="1" containsNumber="1" minValue="0" maxValue="0.73576600000000003"/>
    </cacheField>
    <cacheField name="submitted_to_comp" numFmtId="0">
      <sharedItems containsNonDate="0" containsDate="1" containsString="0" containsBlank="1" minDate="2023-11-12T00:00:00" maxDate="2025-12-01T00:00:00" count="21"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5T00:00:00"/>
        <m/>
        <d v="2025-11-16T00:00:00"/>
        <d v="2025-11-17T00:00:00"/>
        <d v="2025-11-18T00:00:00"/>
        <d v="2025-11-22T00:00:00"/>
        <d v="2025-11-26T00:00:00"/>
        <d v="2025-11-28T00:00:00"/>
        <d v="2025-11-29T00:00:00"/>
        <d v="2025-11-30T00:00:00"/>
        <d v="2025-11-23T00:00:00" u="1"/>
        <d v="2025-11-21T00:00:00" u="1"/>
        <d v="2025-11-14T00:00:00" u="1"/>
        <d v="2023-11-12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x v="0"/>
    <s v="peleke-1"/>
    <x v="0"/>
    <n v="0.7"/>
    <s v="base"/>
    <m/>
    <s v="nipah_gpG"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5.3039999999999997E-3"/>
    <n v="2.5982999999999999E-2"/>
    <x v="0"/>
  </r>
  <r>
    <x v="1"/>
    <s v="peleke-1"/>
    <x v="0"/>
    <n v="0.7"/>
    <s v="base"/>
    <m/>
    <s v="nipah_gpG"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2459999999999998E-3"/>
    <x v="1"/>
  </r>
  <r>
    <x v="2"/>
    <s v="peleke-1"/>
    <x v="0"/>
    <n v="0.9"/>
    <s v="base"/>
    <m/>
    <s v="nipah_gpG"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4.7468000000000003E-2"/>
    <n v="9.3658000000000005E-2"/>
    <x v="1"/>
  </r>
  <r>
    <x v="3"/>
    <s v="peleke-1"/>
    <x v="0"/>
    <n v="0.9"/>
    <s v="base"/>
    <m/>
    <s v="nipah_gpG"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1.2938E-2"/>
    <n v="5.7574E-2"/>
    <x v="1"/>
  </r>
  <r>
    <x v="4"/>
    <s v="peleke-1"/>
    <x v="0"/>
    <n v="0.5"/>
    <s v="base"/>
    <m/>
    <s v="nipah_gpG"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0559999999999997E-3"/>
    <x v="1"/>
  </r>
  <r>
    <x v="5"/>
    <s v="General LLM"/>
    <x v="1"/>
    <m/>
    <s v="base"/>
    <m/>
    <s v="nipah_gpG"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0"/>
    <x v="1"/>
  </r>
  <r>
    <x v="6"/>
    <s v="peleke-1 + ProteinMPNN"/>
    <x v="2"/>
    <n v="0.1"/>
    <s v="derivative"/>
    <s v="sbio-nipahgpg-001"/>
    <s v="nipah_gpG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0"/>
    <n v="0"/>
    <x v="0"/>
  </r>
  <r>
    <x v="7"/>
    <s v="peleke-1 + ProteinMPNN"/>
    <x v="2"/>
    <n v="0.1"/>
    <s v="derivative"/>
    <s v="sbio-nipahgpg-001"/>
    <s v="nipah_gpG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s v="peleke-1 + ProteinMPNN"/>
    <x v="2"/>
    <n v="0.1"/>
    <s v="derivative"/>
    <s v="sbio-nipahgpg-001"/>
    <s v="nipah_gpG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"/>
    <n v="0"/>
    <x v="0"/>
  </r>
  <r>
    <x v="9"/>
    <s v="peleke-1 + ProteinMPNN"/>
    <x v="2"/>
    <n v="0.1"/>
    <s v="derivative"/>
    <s v="sbio-nipahgpg-001"/>
    <s v="nipah_gpG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.222529"/>
    <n v="0.346188"/>
    <x v="0"/>
  </r>
  <r>
    <x v="10"/>
    <s v="peleke-1 + ProteinMPNN"/>
    <x v="2"/>
    <n v="0.1"/>
    <s v="derivative"/>
    <s v="sbio-nipahgpg-001"/>
    <s v="nipah_gpG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s v="peleke-1 + ProteinMPNN"/>
    <x v="2"/>
    <n v="0.1"/>
    <s v="derivative"/>
    <s v="sbio-nipahgpg-001"/>
    <s v="nipah_gpG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s v="peleke-1 + ProteinMPNN"/>
    <x v="2"/>
    <n v="0.1"/>
    <s v="derivative"/>
    <s v="sbio-nipahgpg-001"/>
    <s v="nipah_gpG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0"/>
    <n v="0"/>
    <x v="0"/>
  </r>
  <r>
    <x v="13"/>
    <s v="peleke-1 + ProteinMPNN"/>
    <x v="3"/>
    <n v="0.15"/>
    <s v="derivative"/>
    <s v="sbio-nipahgpg-001"/>
    <s v="nipah_gpG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e v="#N/A"/>
    <e v="#N/A"/>
    <x v="1"/>
  </r>
  <r>
    <x v="14"/>
    <s v="peleke-1 + ProteinMPNN"/>
    <x v="3"/>
    <n v="0.15"/>
    <s v="derivative"/>
    <s v="sbio-nipahgpg-001"/>
    <s v="nipah_gpG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9.9030000000000003E-3"/>
    <n v="2.6096000000000001E-2"/>
    <x v="0"/>
  </r>
  <r>
    <x v="15"/>
    <s v="peleke-1 + ProteinMPNN"/>
    <x v="3"/>
    <n v="0.15"/>
    <s v="derivative"/>
    <s v="sbio-nipahgpg-001"/>
    <s v="nipah_gpG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s v="peleke-1 + ProteinMPNN"/>
    <x v="3"/>
    <n v="0.15"/>
    <s v="derivative"/>
    <s v="sbio-nipahgpg-001"/>
    <s v="nipah_gpG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s v="peleke-1 + ProteinMPNN"/>
    <x v="3"/>
    <n v="0.15"/>
    <s v="derivative"/>
    <s v="sbio-nipahgpg-001"/>
    <s v="nipah_gpG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5.0000000000000001E-3"/>
    <n v="5.3550000000000004E-3"/>
    <x v="2"/>
  </r>
  <r>
    <x v="18"/>
    <s v="peleke-1 + ProteinMPNN"/>
    <x v="3"/>
    <n v="0.15"/>
    <s v="derivative"/>
    <s v="sbio-nipahgpg-001"/>
    <s v="nipah_gpG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5.1789999999999996E-3"/>
    <n v="9.8119999999999995E-3"/>
    <x v="2"/>
  </r>
  <r>
    <x v="19"/>
    <s v="peleke-1 + ProteinMPNN"/>
    <x v="3"/>
    <n v="0.15"/>
    <s v="derivative"/>
    <s v="sbio-nipahgpg-001"/>
    <s v="nipah_gpG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.28534100000000001"/>
    <n v="0.38202399999999997"/>
    <x v="2"/>
  </r>
  <r>
    <x v="20"/>
    <s v="peleke-1 + ProteinMPNN"/>
    <x v="3"/>
    <n v="0.15"/>
    <s v="derivative"/>
    <s v="sbio-nipahgpg-001"/>
    <s v="nipah_gpG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0"/>
    <x v="2"/>
  </r>
  <r>
    <x v="21"/>
    <s v="ProteinMPNN"/>
    <x v="4"/>
    <n v="0.1"/>
    <s v="derivative"/>
    <s v="m102.3 (PDB: 6CMI)"/>
    <s v="nipah_gpG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s v="ProteinMPNN"/>
    <x v="4"/>
    <n v="0.1"/>
    <s v="derivative"/>
    <s v="m102.3 (PDB: 6CMI)"/>
    <s v="nipah_gpG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"/>
    <n v="0"/>
    <x v="0"/>
  </r>
  <r>
    <x v="23"/>
    <s v="ProteinMPNN"/>
    <x v="4"/>
    <n v="0.1"/>
    <s v="derivative"/>
    <s v="m102.3 (PDB: 6CMI)"/>
    <s v="nipah_gpG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5.104E-3"/>
    <n v="5.104E-3"/>
    <x v="0"/>
  </r>
  <r>
    <x v="24"/>
    <s v="ProteinMPNN"/>
    <x v="4"/>
    <n v="0.1"/>
    <s v="derivative"/>
    <s v="m102.3 (PDB: 6CMI)"/>
    <s v="nipah_gpG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1330000000000004E-3"/>
    <n v="1.3644E-2"/>
    <x v="2"/>
  </r>
  <r>
    <x v="25"/>
    <s v="ProteinMPNN"/>
    <x v="4"/>
    <n v="0.1"/>
    <s v="derivative"/>
    <s v="m102.3 (PDB: 6CMI)"/>
    <s v="nipah_gpG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.55087299999999995"/>
    <n v="0.73576600000000003"/>
    <x v="2"/>
  </r>
  <r>
    <x v="26"/>
    <s v="ProteinMPNN"/>
    <x v="4"/>
    <n v="0.1"/>
    <s v="derivative"/>
    <s v="m102.3 (PDB: 6CMI)"/>
    <s v="nipah_gpG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0"/>
    <n v="0"/>
    <x v="2"/>
  </r>
  <r>
    <x v="27"/>
    <s v="ProteinMPNN"/>
    <x v="4"/>
    <n v="0.1"/>
    <s v="derivative"/>
    <s v="m102.3 (PDB: 6CMI)"/>
    <s v="nipah_gpG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"/>
    <n v="5.1970000000000002E-3"/>
    <x v="0"/>
  </r>
  <r>
    <x v="28"/>
    <s v="ProteinMPNN"/>
    <x v="4"/>
    <n v="0.1"/>
    <s v="derivative"/>
    <s v="m102.3 (PDB: 6CMI)"/>
    <s v="nipah_gpG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214564"/>
    <n v="0.35564200000000001"/>
    <x v="0"/>
  </r>
  <r>
    <x v="29"/>
    <s v="peleke-1"/>
    <x v="5"/>
    <n v="0.7"/>
    <s v="base"/>
    <m/>
    <s v="nipah_gpG"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1"/>
    <n v="4.9880000000000002E-3"/>
    <n v="2.6955E-2"/>
    <x v="3"/>
  </r>
  <r>
    <x v="30"/>
    <s v="peleke-1"/>
    <x v="5"/>
    <n v="0.7"/>
    <s v="base"/>
    <m/>
    <s v="nipah_gpG"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1"/>
    <n v="8.5369999999999994E-3"/>
    <n v="3.8865999999999998E-2"/>
    <x v="3"/>
  </r>
  <r>
    <x v="31"/>
    <s v="peleke-1"/>
    <x v="5"/>
    <n v="0.7"/>
    <s v="base"/>
    <m/>
    <s v="nipah_gpG"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1"/>
    <n v="0.29099799999999998"/>
    <n v="0.37256800000000001"/>
    <x v="3"/>
  </r>
  <r>
    <x v="32"/>
    <s v="peleke-1"/>
    <x v="5"/>
    <n v="0.7"/>
    <s v="base"/>
    <m/>
    <s v="nipah_gpG"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1"/>
    <n v="0"/>
    <n v="5.372E-3"/>
    <x v="3"/>
  </r>
  <r>
    <x v="33"/>
    <s v="peleke-1"/>
    <x v="5"/>
    <n v="0.7"/>
    <s v="base"/>
    <m/>
    <s v="nipah_gpG"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1"/>
    <n v="0"/>
    <n v="5.6839999999999998E-3"/>
    <x v="3"/>
  </r>
  <r>
    <x v="34"/>
    <s v="peleke-1"/>
    <x v="5"/>
    <n v="0.7"/>
    <s v="base"/>
    <m/>
    <s v="nipah_gpG"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1"/>
    <n v="5.4289999999999998E-3"/>
    <n v="6.0312999999999999E-2"/>
    <x v="3"/>
  </r>
  <r>
    <x v="35"/>
    <s v="peleke-1"/>
    <x v="5"/>
    <n v="0.7"/>
    <s v="base"/>
    <m/>
    <s v="nipah_gpG"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1"/>
    <n v="7.3824000000000001E-2"/>
    <n v="0.14274700000000001"/>
    <x v="3"/>
  </r>
  <r>
    <x v="36"/>
    <s v="peleke-1"/>
    <x v="5"/>
    <n v="0.7"/>
    <s v="base"/>
    <m/>
    <s v="nipah_gpG"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1"/>
    <n v="0"/>
    <n v="5.7530000000000003E-3"/>
    <x v="3"/>
  </r>
  <r>
    <x v="37"/>
    <s v="peleke-1"/>
    <x v="5"/>
    <n v="0.7"/>
    <s v="base"/>
    <m/>
    <s v="nipah_gpG"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1"/>
    <n v="0"/>
    <n v="5.0790000000000002E-3"/>
    <x v="3"/>
  </r>
  <r>
    <x v="38"/>
    <s v="peleke-1"/>
    <x v="5"/>
    <n v="0.7"/>
    <s v="base"/>
    <m/>
    <s v="nipah_gpG"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1"/>
    <n v="5.6490000000000004E-3"/>
    <n v="1.4251E-2"/>
    <x v="3"/>
  </r>
  <r>
    <x v="39"/>
    <s v="peleke-1"/>
    <x v="5"/>
    <n v="0.7"/>
    <s v="base"/>
    <m/>
    <s v="nipah_gpG"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1"/>
    <n v="0"/>
    <n v="5.3359999999999996E-3"/>
    <x v="4"/>
  </r>
  <r>
    <x v="40"/>
    <s v="peleke-1"/>
    <x v="5"/>
    <n v="0.7"/>
    <s v="base"/>
    <m/>
    <s v="nipah_gpG"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1"/>
    <n v="0"/>
    <n v="0"/>
    <x v="4"/>
  </r>
  <r>
    <x v="41"/>
    <s v="peleke-1"/>
    <x v="5"/>
    <n v="0.7"/>
    <s v="base"/>
    <m/>
    <s v="nipah_gpG"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1"/>
    <n v="0"/>
    <n v="0"/>
    <x v="4"/>
  </r>
  <r>
    <x v="42"/>
    <s v="peleke-1"/>
    <x v="5"/>
    <n v="0.7"/>
    <s v="base"/>
    <m/>
    <s v="nipah_gpG"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1"/>
    <n v="0"/>
    <n v="5.7590000000000002E-3"/>
    <x v="4"/>
  </r>
  <r>
    <x v="43"/>
    <s v="peleke-1"/>
    <x v="5"/>
    <n v="0.7"/>
    <s v="base"/>
    <m/>
    <s v="nipah_gpG"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1"/>
    <n v="0"/>
    <n v="5.1970000000000002E-3"/>
    <x v="4"/>
  </r>
  <r>
    <x v="44"/>
    <s v="peleke-1"/>
    <x v="5"/>
    <n v="0.7"/>
    <s v="base"/>
    <m/>
    <s v="nipah_gpG"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1"/>
    <n v="5.5849999999999997E-3"/>
    <n v="5.5849999999999997E-3"/>
    <x v="4"/>
  </r>
  <r>
    <x v="45"/>
    <s v="peleke-1"/>
    <x v="5"/>
    <n v="0.7"/>
    <s v="base"/>
    <m/>
    <s v="nipah_gpG"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1"/>
    <n v="0"/>
    <n v="1.9698E-2"/>
    <x v="4"/>
  </r>
  <r>
    <x v="46"/>
    <s v="peleke-1"/>
    <x v="5"/>
    <n v="0.7"/>
    <s v="base"/>
    <m/>
    <s v="nipah_gpG"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1"/>
    <n v="0"/>
    <n v="0"/>
    <x v="4"/>
  </r>
  <r>
    <x v="47"/>
    <s v="peleke-1"/>
    <x v="5"/>
    <n v="0.7"/>
    <s v="base"/>
    <m/>
    <s v="nipah_gpG"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1"/>
    <m/>
    <m/>
    <x v="4"/>
  </r>
  <r>
    <x v="48"/>
    <s v="peleke-1"/>
    <x v="5"/>
    <n v="0.7"/>
    <s v="base"/>
    <m/>
    <s v="nipah_gpG"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1"/>
    <n v="0"/>
    <n v="0"/>
    <x v="4"/>
  </r>
  <r>
    <x v="49"/>
    <s v="peleke-1"/>
    <x v="0"/>
    <n v="0.2"/>
    <s v="base"/>
    <m/>
    <s v="nipah_gpG_compout"/>
    <m/>
    <s v="QVQLQESGPGLVKPSETLSLTCTVSGGSVSSGGYFWSWIRQPPGKGLEWIGCIYYSGSTNYNPSLKSRVTISVDTSKNQFSLKLSSVTAADTAVYYCARVDSFYYGMDVWGQGTTVTVSS"/>
    <s v="DIQMTQSPSSLSASVGDRVTITCRASQGIRNDLGWYQQKPGKAPKLLIYAASSLQSGVPSRFSGSGSGTDFTLTISSLQPEDFATYYCQQSYSTPRTFGQGTKVEIK"/>
    <b v="1"/>
    <s v="GGGSGGGSGGGSGGGS"/>
    <x v="49"/>
    <n v="243"/>
    <b v="1"/>
    <b v="0"/>
    <b v="1"/>
    <n v="0.54889900000000003"/>
    <n v="0.65651000000000004"/>
    <x v="5"/>
  </r>
  <r>
    <x v="50"/>
    <s v="peleke-1"/>
    <x v="0"/>
    <n v="0.2"/>
    <s v="base"/>
    <m/>
    <s v="nipah_gpG_compout"/>
    <m/>
    <s v="EVQLVESGGGLVQPGGSLRLSCAASGFTFSSYAMSWVRQAPGKGLEWVSAISGSGGSTYYADSVKGRFTISRDNSKNTLYLQMNSLRAEDTAVYYCARQVWFGGFDYWGQGTLVTVSS"/>
    <s v="DIQMTQSPSSLSASVGDRVTITCRASQSVSSAVAWYQQKPGKAPKLLIYSASSLYSGVPSRFSGSRSGTDFTLTISSLQPEDFATYYCQQYKYVPVTFGQGTKVEIK"/>
    <b v="1"/>
    <s v="GGGSGGGSGGGSGGGS"/>
    <x v="50"/>
    <n v="241"/>
    <b v="1"/>
    <b v="0"/>
    <b v="1"/>
    <n v="5.4320000000000002E-3"/>
    <n v="2.4593E-2"/>
    <x v="5"/>
  </r>
  <r>
    <x v="51"/>
    <s v="peleke-1"/>
    <x v="0"/>
    <n v="0.2"/>
    <s v="base"/>
    <m/>
    <s v="nipah_gpG_compout"/>
    <m/>
    <s v="EVQLVESGGGLVQPGGSLRLSCAASGFNVSSSYIHWVRQAPGKGLEWVASISSYYGYTYYADSVKGRFTISADTSKNTAYLQMNSLRAEDTAVYYCARSRQFWYSGLDYWGQGTLVTVSS"/>
    <s v="DIQMTQSPSSLSASVGDRVTITCRASQSVSSAVAWYQQKPGKAPKLLIYSASSLYSGVPSRFSGSRSGTDFTLTISSLQPEDFATYYCQQYKYVPVTFGQGTKVEIK"/>
    <b v="1"/>
    <s v="GGGSGGGSGGGSGGGS"/>
    <x v="51"/>
    <n v="243"/>
    <b v="1"/>
    <b v="0"/>
    <b v="1"/>
    <n v="0.13125000000000001"/>
    <n v="0.22309999999999999"/>
    <x v="5"/>
  </r>
  <r>
    <x v="52"/>
    <s v="peleke-1"/>
    <x v="0"/>
    <n v="0.2"/>
    <s v="base"/>
    <m/>
    <s v="nipah_gpG_compout"/>
    <m/>
    <s v="EVQLVESGGGLVQPGGSLRLSCAASGFNISSSSIHWVRQAPGKGLEWVASIYSYSGYTSYADSVKGRFTISADTSKNTAYLQMNSLRAEDTAVYYCARGGSSYFGYYAMDYWGQGTLVTVSS"/>
    <s v="DIQMTQSPSSLSASVGDRVTITCRASQSVSSAVAWYQQKPGKAPKLLIYSASSLYSGVPSRFSGSRSGTDFTLTISSLQPEDFATYYCQQYKYVPVTFGQGTKVEIK"/>
    <b v="1"/>
    <s v="GGGSGGGSGGGSGGGS"/>
    <x v="52"/>
    <n v="245"/>
    <b v="1"/>
    <b v="0"/>
    <b v="1"/>
    <n v="0"/>
    <n v="4.986E-3"/>
    <x v="6"/>
  </r>
  <r>
    <x v="53"/>
    <s v="peleke-1"/>
    <x v="0"/>
    <n v="0.2"/>
    <s v="base"/>
    <m/>
    <s v="nipah_gpG_compout"/>
    <m/>
    <s v="QVQLVQSGAEVKKPGSSVKVSCKASGGTFSSYSISWVRQAPGQGLEWMGGIIIFGTANYAQKFQGRVTITADESTSTAYMELSSLRSEDTAVYYCARGQGTLVDFYWGQGTLVTVSS"/>
    <s v="DIQMTQSPSSLSASVGDRVTITCRASQSISSYLNWYQQKPGKAPKLLIYAASSLQSGVPSRFSGSGSGTDFTLTISSLQPEDFATYYCQQSYSTPRTFGQGTKVEIK"/>
    <b v="1"/>
    <s v="GGGSGGGSGGGSGGGS"/>
    <x v="53"/>
    <n v="240"/>
    <b v="1"/>
    <b v="0"/>
    <b v="1"/>
    <n v="5.679E-3"/>
    <n v="5.7196999999999998E-2"/>
    <x v="6"/>
  </r>
  <r>
    <x v="54"/>
    <s v="peleke-1"/>
    <x v="0"/>
    <n v="0.2"/>
    <s v="base"/>
    <m/>
    <s v="nipah_gpG_compout"/>
    <m/>
    <s v="EVQLVESGGGLVQPGGSLRLSCAASGFNVSYYSIHWVRQAPGKGLEWVASIYPYSGYTNYADSVKGRFTISADTSKNTAYLQMNSLRAEDTAVYYCARYYGYGYWGYAMDYWGQGTLVTVSS"/>
    <s v="DIQMTQSPSSLSASVGDRVTITCRASQSVSSAVAWYQQKPGKAPKLLIYSASSLYSGVPSRFSGSRSGTDFTLTISSLQPEDFATYYCQQYKYVPVTFGQGTKVEIK"/>
    <b v="1"/>
    <s v="GGGSGGGSGGGSGGGS"/>
    <x v="54"/>
    <n v="245"/>
    <b v="1"/>
    <b v="0"/>
    <b v="1"/>
    <n v="0"/>
    <n v="5.3839999999999999E-3"/>
    <x v="6"/>
  </r>
  <r>
    <x v="55"/>
    <s v="peleke-1"/>
    <x v="0"/>
    <n v="0.2"/>
    <s v="base"/>
    <m/>
    <s v="nipah_gpG_compout"/>
    <m/>
    <s v="EVQLVESGGGLVQPGGSLRLSCAASGFTFSSYAMSWVRQAPGKGLEWVSAISGSGGSTYYADSVKGRFTISRDNSKNTLYLQMNSLRAEDTAVYYCARGYQVYFDYWGQGTLVTVSS"/>
    <s v="DIQMTQSPSSLSASVGDRVTITCRASQSVSSAVAWYQQKPGKAPKLLIYSASSLYSGVPSRFSGSRSGTDFTLTISSLQPEDFATYYCQQYKYVPVTFGQGTKVEIK"/>
    <b v="1"/>
    <s v="GGGSGGGSGGGSGGGS"/>
    <x v="55"/>
    <n v="240"/>
    <b v="1"/>
    <b v="0"/>
    <b v="1"/>
    <n v="0"/>
    <n v="0"/>
    <x v="7"/>
  </r>
  <r>
    <x v="56"/>
    <s v="peleke-1"/>
    <x v="0"/>
    <n v="0.2"/>
    <s v="base"/>
    <m/>
    <s v="nipah_gpG_compout"/>
    <m/>
    <s v="EVQLVESGGGLVQPGGSLRLSCAASGFNVSSSYIHWVRQAPGKGLEWVASISSYYGSTYYADSVKGRFTISADTSKNTAYLQMNSLRAEDTAVYYCARGWSYSWSYSWSYSGLDVWGQGTTVTVSS"/>
    <s v="DIQMTQSPSSLSASVGDRVTITCRASQSVSSAVAWYQQKPGKAPKLLIYSASSLYSGVPSRFSGSRSGTDFTLTISSLQPEDFATYYCQQSSSSLITFGQGTKVEIK"/>
    <b v="1"/>
    <s v="GGGSGGGSGGGSGGGS"/>
    <x v="56"/>
    <n v="249"/>
    <b v="1"/>
    <b v="0"/>
    <b v="1"/>
    <n v="6.9049999999999997E-3"/>
    <n v="7.6717999999999995E-2"/>
    <x v="7"/>
  </r>
  <r>
    <x v="57"/>
    <s v="peleke-1"/>
    <x v="0"/>
    <n v="0.2"/>
    <s v="base"/>
    <m/>
    <s v="nipah_gpG_compout"/>
    <m/>
    <s v="EVQLVESGGGLVQPGGSLRLSCAASGFNISSSSIHWVRQAPGKGLEWVASIYSYSGYTSYADSVKGRFTISADTSKNTAYLQMNSLRAEDTAVYYCARGWYYGSSYWGQGTLVTVSS"/>
    <s v="DIQMTQSPSSLSASVGDRVTITCRASQSVSSAVAWYQQKPGKAPKLLIYSASSLYSGVPSRFSGSRSGTDFTLTISSLQPEDFATYYCQQYKYVPVTFGQGTKVEIK"/>
    <b v="1"/>
    <s v="GGGSGGGSGGGSGGGS"/>
    <x v="57"/>
    <n v="240"/>
    <b v="1"/>
    <b v="0"/>
    <b v="1"/>
    <n v="0.16498099999999999"/>
    <n v="0.26647999999999999"/>
    <x v="8"/>
  </r>
  <r>
    <x v="58"/>
    <s v="peleke-1"/>
    <x v="0"/>
    <n v="0.2"/>
    <s v="base"/>
    <m/>
    <s v="nipah_gpG_compout"/>
    <m/>
    <s v="EVQLVESGGGLVQPGGSLRLSCAASGFNVSSSYIHWVRQAPGKGLEWVASISSYYGYTYYADSVKGRFTISADTSKNTAYLQMNSLRAEDTAVYYCARYYGTYYGSSYWGQGTLVTVSS"/>
    <s v="DIQMTQSPSSLSASVGDRVTITCRASQSVSSAVAWYQQKPGKAPKLLIYSASSLYSGVPSRFSGSRSGTDFTLTISSLQPEDFATYYCQQYKYVPVTFGQGTKVEIK"/>
    <b v="1"/>
    <s v="GGGSGGGSGGGSGGGS"/>
    <x v="58"/>
    <n v="242"/>
    <b v="1"/>
    <b v="0"/>
    <b v="1"/>
    <n v="0"/>
    <n v="1.0189999999999999E-2"/>
    <x v="8"/>
  </r>
  <r>
    <x v="59"/>
    <s v="peleke-1"/>
    <x v="0"/>
    <n v="0.5"/>
    <s v="base"/>
    <m/>
    <s v="nipah_gpG_compout"/>
    <m/>
    <s v="QMQLVQSGAEVKKPGESLKISCKGSGYSFTSYWIGWVRQMPGKGLEWMGIIYPGDSDTRYSPSFQGQVTISADKSISTAYLQWSSLKASDTAIYYCARHYYGGQYFDYWGQGTLVTVSS"/>
    <s v="DIQMTQSPSSLSASVGDRVTITCRASQGIRNDLGWYQQKPGKAPKLLIYAASSLQSGVPSRFSGSGSGTDFTLTISSLQPEDFATYYCQQSYSTPYTFGQGTKLEIK"/>
    <b v="1"/>
    <s v="GGGSGGGSGGGSGGGS"/>
    <x v="59"/>
    <n v="242"/>
    <b v="1"/>
    <b v="0"/>
    <b v="1"/>
    <n v="0"/>
    <n v="5.0220000000000004E-3"/>
    <x v="5"/>
  </r>
  <r>
    <x v="60"/>
    <s v="peleke-1"/>
    <x v="0"/>
    <n v="0.5"/>
    <s v="base"/>
    <m/>
    <s v="nipah_gpG_compout"/>
    <m/>
    <s v="QVQLVQSGAEVKKPGSSVKVSCKASGGTFSSYAISWVRQAPGQGLEWMGGIIPIFGTANYAQKFQGRVTITADESTSTAYMELSSLRSEDTAVYYCARWYDGYFVYWGQGTLVTVSS"/>
    <s v="DIQMTQSPSSLSASVGDRVTITCRASQSISSYLNWYQQKPGKAPKLLIYAASSLQSGVPSRFSGSGSGTDFTLTISSLQPEDFATYYCQQSYSTPYTFGQGTKVEIK"/>
    <b v="1"/>
    <s v="GGGSGGGSGGGSGGGS"/>
    <x v="60"/>
    <n v="240"/>
    <b v="1"/>
    <b v="0"/>
    <b v="1"/>
    <n v="0"/>
    <n v="1.2418E-2"/>
    <x v="5"/>
  </r>
  <r>
    <x v="61"/>
    <s v="peleke-1"/>
    <x v="0"/>
    <n v="0.5"/>
    <s v="base"/>
    <m/>
    <s v="nipah_gpG_compout"/>
    <m/>
    <s v="EVQLVESGGGLVQPGGSLRLSCAASGFNVSSSSIHWVRQAPGKGLEWVASISSYYGYTYYADSVKGRFTISADTSKNTAYLQMNSLRAEDTAVYYCARSRQFWYSGLDYWGQGTLVTVFN"/>
    <s v="DIQMTQSPSSLSASVGDRVTITCRASQSVSSAVAWYQQKPGKAPKLLIYSASSLYSGVPSRFSGSRSGTDFTLTISSLQPEDFATYYCQQYKYVPVTFGQGTKVEIK"/>
    <b v="1"/>
    <s v="GGGSGGGSGGGSGGGS"/>
    <x v="61"/>
    <n v="243"/>
    <b v="1"/>
    <b v="0"/>
    <b v="1"/>
    <n v="0.13139000000000001"/>
    <n v="0.20833399999999999"/>
    <x v="5"/>
  </r>
  <r>
    <x v="62"/>
    <s v="peleke-1"/>
    <x v="0"/>
    <n v="0.5"/>
    <s v="base"/>
    <m/>
    <s v="nipah_gpG_compout"/>
    <m/>
    <s v="EVQLVESGGGLVQPGGSLRLSCAASGFNISSSSIHWVRQAPGKGLEWVASIYSYYGSTYYADSVKGRFTISADTSKNTAYLQMRAEDTAVYYCARGWRSYAMDYWGQGTLVTVSS"/>
    <s v="DIQMTQSPSSLSASVGDRVTITCRASQSVSSAVAWYQQKPGKAPKLLIYSASSLYSGVPSRFSGSRSGTDFTLTISSLQPEDFATYYCQQSSSSLITFGQGTKVEIK"/>
    <b v="1"/>
    <s v="GGGSGGGSGGGSGGGS"/>
    <x v="62"/>
    <n v="238"/>
    <b v="1"/>
    <b v="0"/>
    <b v="1"/>
    <n v="0"/>
    <n v="5.0930000000000003E-3"/>
    <x v="6"/>
  </r>
  <r>
    <x v="63"/>
    <s v="peleke-1"/>
    <x v="0"/>
    <n v="0.5"/>
    <s v="base"/>
    <m/>
    <s v="nipah_gpG_compout"/>
    <m/>
    <s v="QVQLVQSGAEVKKPGSSVKVSCKASGGTFSSYSFIWVRQAPGQGLEWMGGIIPIFGTANYAQKFQGRVTITADESTSTAYMELSSLRSEDTAVYYCARSSYSGVYYSWYFDVWGAGTTVTVSS"/>
    <s v="DIQMTQSPSSLSASVGDRVTITCRASQGISNYLAWYQQKPGKAPKLLIYAASTLQSGVPSRFSGSGSGTDFTLTISSLQPEDFATYYCQQSYSTPRTFGQGTKVEIK"/>
    <b v="1"/>
    <s v="GGGSGGGSGGGSGGGS"/>
    <x v="63"/>
    <n v="246"/>
    <b v="1"/>
    <b v="0"/>
    <b v="1"/>
    <n v="0"/>
    <n v="0"/>
    <x v="6"/>
  </r>
  <r>
    <x v="64"/>
    <s v="peleke-1"/>
    <x v="0"/>
    <n v="0.5"/>
    <s v="base"/>
    <m/>
    <s v="nipah_gpG_compout"/>
    <m/>
    <s v="EVQLQESGPGLVKPSQTLSLTCTVSGGSISSYAAWSWIRQPPGKGLEWIGYIYSSSGSTNYNPSLKSRVTISVDTSKNQFSLKLSSVTAADTAVYYCARGDYSYSYYGLDYWGQGTLVTVSS"/>
    <s v="DIQMTQSPSSLSASVGDRVTITCRASQGIRNDLGWYQQKPGKAPKLLIYAASNLQSGVPSRFSGSGSGTDFTLTISSLQPEDFATYYCQQSYSTPRYTFGQGTKVEIK"/>
    <b v="1"/>
    <s v="GGGSGGGSGGGSGGGS"/>
    <x v="64"/>
    <n v="246"/>
    <b v="1"/>
    <b v="0"/>
    <b v="1"/>
    <n v="5.4320000000000002E-3"/>
    <n v="3.7756999999999999E-2"/>
    <x v="6"/>
  </r>
  <r>
    <x v="65"/>
    <s v="peleke-1"/>
    <x v="0"/>
    <n v="0.5"/>
    <s v="base"/>
    <m/>
    <s v="nipah_gpG_compout"/>
    <m/>
    <s v="EVQLQQSGPELVKPGASVKMSCKASGYTFTSYNIHWVKQTPVHGLEWIGAIVSGGDTNYNENFKDKATLTVDKSSSTAYMQLTSEDSAVYYCARGGFYGDYWGQGTSVTVSS"/>
    <s v="DIVLTQSPATLSVTPGDSVSLSCRASQSVTNNIHWYQQKSHESPRLLIKYASQSISGIPSRFSGSGSGTDFTLSINSVETEDFGMYFCQQSNSWPYTFGGGTKLEIK"/>
    <b v="1"/>
    <s v="GGGSGGGSGGGSGGGS"/>
    <x v="65"/>
    <n v="235"/>
    <b v="1"/>
    <b v="0"/>
    <b v="1"/>
    <n v="0"/>
    <n v="5.1409999999999997E-3"/>
    <x v="7"/>
  </r>
  <r>
    <x v="66"/>
    <s v="peleke-1"/>
    <x v="0"/>
    <n v="0.5"/>
    <s v="base"/>
    <m/>
    <s v="nipah_gpG_compout"/>
    <m/>
    <s v="QVQLQESGPGLVKPSQTLSLTCTVSGGSISSGDYYWIRQHPGKGLEWIGYIYYSGSTYYNPSLKSRVTISVDTSKNQFSLKLSSVTAADTAVYYCARQLWLRGRFDYWGQGTLVTVSS"/>
    <s v="DIQMTQSPSSLSASVGDRVTITCRASQGISSWLAWYQQKPGKAPKLLIYAASTLQSGVPSRFSGSGSGTDFTLTISSLQPEDFATYYCQQSYSTPYTFGQGTKVEIK"/>
    <b v="1"/>
    <s v="GGGSGGGSGGGSGGGS"/>
    <x v="66"/>
    <n v="241"/>
    <b v="1"/>
    <b v="0"/>
    <b v="1"/>
    <n v="5.9430000000000004E-3"/>
    <n v="8.7933999999999998E-2"/>
    <x v="7"/>
  </r>
  <r>
    <x v="67"/>
    <s v="peleke-1"/>
    <x v="0"/>
    <n v="0.5"/>
    <s v="base"/>
    <m/>
    <s v="nipah_gpG_compout"/>
    <m/>
    <s v="EVQLVESGGGLVQPGGSLRLSCAASGFTVSSNYMSWVRQAPGKGLEWVSVIYSGGSTYYADSVKGRFTISRDNSKNTLYLQMNSLRAEDTAVYYCAREAGVWVFDYWGQGTLVTVSS"/>
    <s v="DIQMTQSPSSLSASVGDRVTITCRASQSVSSAVAWYQQKPGKAPKLLIYSASSLYSGVPSRFSGSRSGTDFTLTISSLQPEDFATYYCQQYKYVPVTFGQGTKVEIK"/>
    <b v="1"/>
    <s v="GGGSGGGSGGGSGGGS"/>
    <x v="67"/>
    <n v="240"/>
    <b v="1"/>
    <b v="0"/>
    <b v="1"/>
    <n v="0"/>
    <n v="5.2589999999999998E-3"/>
    <x v="9"/>
  </r>
  <r>
    <x v="68"/>
    <s v="peleke-1"/>
    <x v="0"/>
    <n v="0.5"/>
    <s v="base"/>
    <m/>
    <s v="nipah_gpG_compout"/>
    <m/>
    <s v="EVQLVESGGGLVQPGGSLRLSCAASGFNLYSSSIHWVRQAPGKGLEWVASISSYYGSTYYADSVKGRFTISADTSKNTAYLQMNSLRAEDTAVYYCARSRQFWLWFGQGTLVTVSS"/>
    <s v="DIQMTQSPSSLSASVGDRVTITCRASQSVSSAVAWYQQKPGKAPKLLIYSASSLYSGVPSRFSGSRSGTDFTLTISSLQPEDFATYYCQQYKYVPVTFGQGTKVEIK"/>
    <b v="1"/>
    <s v="GGGSGGGSGGGSGGGS"/>
    <x v="68"/>
    <n v="239"/>
    <b v="1"/>
    <b v="0"/>
    <b v="1"/>
    <n v="0"/>
    <n v="0"/>
    <x v="8"/>
  </r>
  <r>
    <x v="69"/>
    <s v="peleke-1"/>
    <x v="0"/>
    <n v="0.7"/>
    <s v="base"/>
    <m/>
    <s v="nipah_gpG_compout"/>
    <m/>
    <s v="VQLVQSGAEVKKPGASVKVSCKASGYTFTTYTISWVRQAPGQGLEWMGWINNSGGTNYAQKFQGRVTMTRDTSTSTVSAYMELRSEDTAVYYCATFVYGYSAYQPLTDDYGQMDVWGQGTTVTVSS"/>
    <s v="DIQMTQSPSSLSASVGDRVTITCRASQSISSYLNWFQQKPGKAPKLLIYAASSLQSGVPSRFSGSGSGTDFTLTISSLQPEDFATYYCQQSLLYPLTFGGGTKVEIK"/>
    <b v="1"/>
    <s v="GGGSGGGSGGGSGGGS"/>
    <x v="69"/>
    <n v="249"/>
    <b v="1"/>
    <b v="0"/>
    <b v="1"/>
    <n v="0"/>
    <n v="5.0299999999999997E-3"/>
    <x v="5"/>
  </r>
  <r>
    <x v="70"/>
    <s v="peleke-1"/>
    <x v="0"/>
    <n v="0.7"/>
    <s v="base"/>
    <m/>
    <s v="nipah_gpG_compout"/>
    <m/>
    <s v="EVQLVESGGGLVQPGGSLRLSCAASGFNISSSSIHWVRQAPGKGLEWVASIYSSSGSTYYADSVKGRFTISADTSKNTAYLQMNSLRAEDTAVYYCARHRWWAHPYWGQGTLVTVSS"/>
    <s v="DIQMTQSPSSLSASVGDRVTITCRASQSVSSAVAWYQQKPGKAPKLLIYSASSLYSGVPSRFSGSRSGTDFTLTISSLQPEDFATYYCQQSYYITPYTFGQGTKVEIK"/>
    <b v="1"/>
    <s v="GGGSGGGSGGGSGGGS"/>
    <x v="70"/>
    <n v="241"/>
    <b v="1"/>
    <b v="0"/>
    <b v="1"/>
    <n v="5.0870000000000004E-3"/>
    <n v="4.0273000000000003E-2"/>
    <x v="5"/>
  </r>
  <r>
    <x v="71"/>
    <s v="peleke-1"/>
    <x v="0"/>
    <n v="0.7"/>
    <s v="base"/>
    <m/>
    <s v="nipah_gpG_compout"/>
    <m/>
    <s v="EVQLVESGGGVVQPGRSLRLSCAASGFTFSSYAMHWVRQAPGKGLEWVAVIWYDGSNKYYADSVKGRFTISRDNSKNTLFLQMNSLRPEDTAVYYCARDTPMYYDVWGQGTTVTVSS"/>
    <s v="DIQLTQSPSSLSASVGDRVTITCRTSQDIDNYLNWYQQKPGKAPKLLIYYTSSLHSGVPSRFSGSGSGTDFTFTISSLQPEDIATYYCQQYDNLPITFGQGTKLEIK"/>
    <b v="1"/>
    <s v="GGGSGGGSGGGSGGGS"/>
    <x v="71"/>
    <n v="240"/>
    <b v="1"/>
    <b v="0"/>
    <b v="1"/>
    <n v="0"/>
    <n v="5.0660000000000002E-3"/>
    <x v="5"/>
  </r>
  <r>
    <x v="72"/>
    <s v="peleke-1"/>
    <x v="0"/>
    <n v="0.7"/>
    <s v="base"/>
    <m/>
    <s v="nipah_gpG_compout"/>
    <m/>
    <s v="EVQLVESGGGLVQPGGSLRLSCAASGFTFSNYAMSWVRQAPGKGLEWVSAISGSGGSTYYADSVKGRFTISRDNSKNTLYLQMNSLRAEDTAVYYCARLSPYNGSMDYWGQGTLVTVSS"/>
    <s v="VTQPASVSGSPGQSITISCTGTSSDIGAYNYVSWYQQHPGKAPKLMIYEVSKRPSGVSNRFSGSKSGNTASLTISGLQTEDEADYYCSSYTRSGSVVFGGGTKLTVL"/>
    <b v="1"/>
    <s v="GGGSGGGSGGGSGGGS"/>
    <x v="72"/>
    <n v="242"/>
    <b v="1"/>
    <b v="0"/>
    <b v="1"/>
    <n v="0"/>
    <n v="0"/>
    <x v="6"/>
  </r>
  <r>
    <x v="73"/>
    <s v="peleke-1"/>
    <x v="0"/>
    <n v="0.7"/>
    <s v="base"/>
    <m/>
    <s v="nipah_gpG_compout"/>
    <m/>
    <s v="QVQLVQSGAEVKKPGSSVKVSCKASGGTFSSYTISWVRQAPGQGLEWMGGIIPILGIANYAQKFQGRVTITADKSTSTAYMELSSLRSEDTAVYYCARGDSSYVDSWDYWGQGTLVTVS"/>
    <s v="EIVLTQSPGTLSLSPGERATLSCRASQSVSSSYLAWYQQKPGQAPRLLIYGASSRATGIPDRFSGSGSGTDFTLTISRLEPEDFAVYYCQQYGSSPWTFGQGTKVEIK"/>
    <b v="1"/>
    <s v="GGGSGGGSGGGSGGGS"/>
    <x v="73"/>
    <n v="243"/>
    <b v="1"/>
    <b v="0"/>
    <b v="1"/>
    <n v="4.8799999999999998E-3"/>
    <n v="4.8799999999999998E-3"/>
    <x v="6"/>
  </r>
  <r>
    <x v="74"/>
    <s v="peleke-1"/>
    <x v="0"/>
    <n v="0.7"/>
    <s v="base"/>
    <m/>
    <s v="nipah_gpG_compout"/>
    <m/>
    <s v="QVQLVESGGGVVQPGRSLRLSCAASGFTFSNYGMHWVRQAPGKGLEWVAVISDGSNKYYADSVKGRFTISRDNSKNTLYLQMRAEDTAVYYCARGSHSSRDYWGQGTLVTVSS"/>
    <s v="DIQMTQSPSSLSASVGDRVTITCRASQSISSYLNWYQQKPGKAPKLLIYAASSLQSGVPSRFSGSGSGTDFTLTISSLQPEDFATYYCQQSYSTPPYTFGQGTKVEIK"/>
    <b v="1"/>
    <s v="GGGSGGGSGGGSGGGS"/>
    <x v="74"/>
    <n v="237"/>
    <b v="1"/>
    <b v="0"/>
    <b v="1"/>
    <n v="0"/>
    <n v="5.3730000000000002E-3"/>
    <x v="6"/>
  </r>
  <r>
    <x v="75"/>
    <s v="peleke-1"/>
    <x v="0"/>
    <n v="0.7"/>
    <s v="base"/>
    <m/>
    <s v="nipah_gpG_compout"/>
    <m/>
    <s v="VQLVQSGAEVKRPGSSVKVSCKTSGGTIFSTYVFWVRQAPGQGLEWMGGFPPKAGYIYAQKFQGRVTFTADESSSTTVYMEDLRSEDTAVYFCARFPYFVYDVWGQGTTVTVSS"/>
    <s v="DIQMTQSPSSLSASVGDRVTITCRASQSIGGYLAWYQQKPGKVPKLLIYAASSLQSGVPSRFSGSGSGTDFTLTISSLQPEDFATYYCQQSYSTPRTFGQGTKVEIK"/>
    <b v="1"/>
    <s v="GGGSGGGSGGGSGGGS"/>
    <x v="75"/>
    <n v="237"/>
    <b v="1"/>
    <b v="0"/>
    <b v="1"/>
    <n v="0"/>
    <n v="0"/>
    <x v="7"/>
  </r>
  <r>
    <x v="76"/>
    <s v="peleke-1"/>
    <x v="0"/>
    <n v="0.7"/>
    <s v="base"/>
    <m/>
    <s v="nipah_gpG_compout"/>
    <m/>
    <s v="VQLQESGPGLVKPSQSLSLTCTVTGFSIDYNIYWGWIRQPPGKGLEWIGYIYSGSDTYNPSLKSRVTISVDTSKNQFSLKVNSVTAADTAVYYCARVVDLWYDDGKYASCVKGAIDYWGQGTLVTVSS"/>
    <s v="SVLTQPPSVSGAPGQRVTISCTGSSGAGYDVHWYQQLPGTAPKLLIYGNSNRPSGVPDRFSGSKSGTSASLAITGLQAEDEADYYCQSYDSSLSGWVFGGGTKLTVL"/>
    <b v="1"/>
    <s v="GGGSGGGSGGGS"/>
    <x v="76"/>
    <n v="247"/>
    <b v="1"/>
    <b v="0"/>
    <b v="1"/>
    <n v="0"/>
    <n v="4.8869999999999999E-3"/>
    <x v="7"/>
  </r>
  <r>
    <x v="77"/>
    <s v="peleke-1"/>
    <x v="0"/>
    <n v="0.7"/>
    <s v="base"/>
    <m/>
    <s v="nipah_gpG_compout"/>
    <m/>
    <s v="EVQLVESGGGLVQPGGSLRLSCAASGFNVVDFSLHWVRQAPGKGLEWVASIYPYDGSAYYADSVKGRFTISADTSKNTAYLQMNSLRAEDTAVYYCARWGYWPGEGWLGKYWGQGTLVTVS"/>
    <s v="DIQMTQSPSSLSASVGDRVTITCRASQSVSSAVAWYQQKPGKAPKLLIYSASSLYSGVPSRFSGSRSGTDFTLTISSLQPEDFATYYCQQYKYVPVTFGQGTKVEI"/>
    <b v="1"/>
    <s v="GGGSGGGSGGGSGGGS"/>
    <x v="77"/>
    <n v="243"/>
    <b v="1"/>
    <b v="0"/>
    <b v="1"/>
    <n v="8.0009999999999994E-3"/>
    <n v="0.10431"/>
    <x v="9"/>
  </r>
  <r>
    <x v="78"/>
    <s v="peleke-1"/>
    <x v="0"/>
    <n v="0.7"/>
    <s v="base"/>
    <m/>
    <s v="nipah_gpG_compout"/>
    <m/>
    <s v="EVQLVESGGGLVQPGGSLRLSCAASGFNISSSSIHWVRQAPGKGLEWVASISSSYGSTYYADSVKGRFTISADTSKNTAYLQMNSLRAEDTAVYYCARWEGYRGDLWGQGTLVTVSS"/>
    <s v="DIQMTQSPSSLSASVGDRVTITCRASQSVSSAVAWYQQKPGKAPKLLIYSASSLYSGVPSRFSGSRSGTDFTLTISSLQPEDFATYYCQQYYEWLRTFGQGTKVEIK"/>
    <b v="1"/>
    <s v="GGGSGGGSGGGSGGGS"/>
    <x v="78"/>
    <n v="240"/>
    <b v="1"/>
    <b v="0"/>
    <b v="1"/>
    <n v="0.26539499999999999"/>
    <n v="0.41420200000000001"/>
    <x v="9"/>
  </r>
  <r>
    <x v="79"/>
    <s v="peleke-1"/>
    <x v="0"/>
    <n v="0.2"/>
    <s v="derivative"/>
    <s v="sbio-nipahgpg-052"/>
    <s v="nipah_gpG_compout"/>
    <n v="3"/>
    <s v="QVQLQESGPGLVKPSQTLSLTCTVSGGSVSSGSYYWSWIRQPPGKGLEWIGYIYYSGSTNYNPSLKSRVTISVDTSKNQFSLKLSSVTAADTAVYYCARVDSFYYGMDVWGQGTTVTVSS"/>
    <s v="DIQMTQSPSSLSASVGDRVTITCRASSGSSYDNGWYQQKPGKAPKLLIYAASSLQSGVPSRFSGSGSGTDFTLTISSLQPEDFATYYLQDSNYTPRTFGQGTKVEIK"/>
    <b v="1"/>
    <s v="GGGSGGGSGGGSGGGS"/>
    <x v="79"/>
    <n v="243"/>
    <b v="1"/>
    <b v="0"/>
    <b v="1"/>
    <n v="0.22428600000000001"/>
    <n v="0.32534800000000003"/>
    <x v="5"/>
  </r>
  <r>
    <x v="80"/>
    <s v="peleke-1"/>
    <x v="0"/>
    <n v="0.5"/>
    <s v="derivative"/>
    <s v="sbio-nipahgpg-063"/>
    <s v="nipah_gpG_compout"/>
    <n v="3"/>
    <s v="QVQLVQSGAEVKKPGSSVKVSCKASGGTFSSYTISWVRQAPGQGLEWMGRIIPIFGTANYAQKFQGRVTITADKSTSTAYMELSSLRSEDTAVYYCARYYDSYFDYWGQGTLVTVSS"/>
    <s v="DIQMTQSPSSLSASVGDRVTITCRASQGISSWLAWYQQKPGKAPKLLIYAASSLQSGVPSRFSGSGSGTDFTLTISSLQPEDFATYYCQCGNSFPWTFGGGTKLEIK"/>
    <b v="1"/>
    <s v="GGGSGGGSGGGSGGGS"/>
    <x v="80"/>
    <n v="240"/>
    <b v="1"/>
    <b v="0"/>
    <b v="1"/>
    <n v="0"/>
    <n v="5.3290000000000004E-3"/>
    <x v="6"/>
  </r>
  <r>
    <x v="81"/>
    <s v="General LLM"/>
    <x v="6"/>
    <n v="0.7"/>
    <s v="base"/>
    <m/>
    <s v="nipah_gpG_compout"/>
    <m/>
    <s v="DVQLQESGPGLVKPSQTLSLTCTVSGYSITSDYYWNWIRQFPGNKLEWMGYISYDGSSNYNPSLKNRISITRDNSKNQFFLQLNSVTTEDTATYYCARSCSRRGYAMDYWGQGTSVTVSS"/>
    <s v="QIVLTQSPAIMSASLGEKVTLTCSASSSVSYMHWYQQKPGTSPKLLIYSCNLLSGVPDRFSGSGSGTDFTLSISNVETEDAATYYCYQYRIRFGGGTKLTVLQ"/>
    <b v="1"/>
    <s v="GGGSGGGSGGGSGGGS"/>
    <x v="81"/>
    <n v="239"/>
    <b v="1"/>
    <b v="0"/>
    <b v="1"/>
    <n v="0"/>
    <n v="5.1529999999999996E-3"/>
    <x v="7"/>
  </r>
  <r>
    <x v="82"/>
    <s v="General LLM"/>
    <x v="6"/>
    <n v="0.1"/>
    <s v="base"/>
    <m/>
    <s v="nipah_gpG_compout"/>
    <m/>
    <s v="EVQLVESGGGLVQPGGSLRLSCAASGFTFSSYAMSWVRQAPGKGLEWVSSISRSGGSTYYADSVKGRFTISRDNAKNSLYLQMNSLRAEDTAVYYCARSCSSRGYFDYWGQGTLVTVSS"/>
    <s v="DIVMTQSPDSLAVSLGERATINCRASQSVSSYLAWYQQKPGQSPKLLIYSCNLQSGVPDRFSGSGSGTDFTLTISSLQPEDFATYYCQPYIRFGGGGTKLEIK"/>
    <b v="1"/>
    <s v="GGGSGGGSGGGSGGGS"/>
    <x v="82"/>
    <n v="238"/>
    <b v="1"/>
    <b v="0"/>
    <b v="1"/>
    <n v="0"/>
    <n v="5.2469999999999999E-3"/>
    <x v="7"/>
  </r>
  <r>
    <x v="83"/>
    <s v="General LLM"/>
    <x v="6"/>
    <n v="0.9"/>
    <s v="base"/>
    <m/>
    <s v="nipah_gpG_compout"/>
    <m/>
    <s v="QVQLQESGPGLVKPSQTLSLTCTVSGFSFSSYAMSWVRQAPGKGLEWVSSISRSGGSTYYADSVKGRFTISRDNAKNSLYLQMNSLRAEDTAVYYCARSCSSRGYLFDYWGQGTLVTVSS"/>
    <s v="DIVMTQSPDSLAVSLGERATINCRASQSVSSYLAWYQQKPGQSPKLLIYSCNLQSGVPDRFSGSGSGTDFTLTISSLQPEDFATYYCQPYIRFGGGGTKLEIK"/>
    <b v="1"/>
    <s v="GGGSGGGSGGGSGGGS"/>
    <x v="83"/>
    <n v="239"/>
    <b v="1"/>
    <b v="0"/>
    <b v="1"/>
    <n v="0"/>
    <n v="5.4089999999999997E-3"/>
    <x v="7"/>
  </r>
  <r>
    <x v="84"/>
    <s v="General LLM + ProteinMPNN"/>
    <x v="7"/>
    <n v="0.2"/>
    <s v="derivative"/>
    <s v="sbio-nipahgpg-084"/>
    <s v="nipah_gpG_compout"/>
    <m/>
    <s v="SIKLTESGPTSVAPGSTLNLTCTVTGDNITSSGWYWWVKQAPDNKLTWIGGIDKNGNTWLNVAYIDRATLTRDPAANTVYLSIRNVTSSDTATYYCAKSSDDNGSYLDVWGQGLKVTVSG"/>
    <s v="QVKLTQSPKEVTAKIGDTVTLTCTASQPVSTVSWYMQKPGQPPQLLISNNKLVEGVPERFSASGSGTEFTLTIKDVQKEDEAIYYCEVNGQVFGQGTKLTVLE"/>
    <b v="1"/>
    <s v="GGGSGGGSGGGSGGGS"/>
    <x v="84"/>
    <n v="239"/>
    <b v="1"/>
    <b v="0"/>
    <b v="1"/>
    <n v="0.169797"/>
    <n v="0.25293399999999999"/>
    <x v="7"/>
  </r>
  <r>
    <x v="85"/>
    <s v="peleke-1"/>
    <x v="0"/>
    <n v="0.1"/>
    <s v="base"/>
    <m/>
    <s v="nipah_gpG_compout"/>
    <m/>
    <s v="EVQLVESGGGLVQPGGSLRLSCAASGFNVSYSSIHWVRQAPGKGLEWVASIYSYSGYTYYADSVKGRFTISADTSKNTAYLQMNSLRAEDTAVYYCARGWYSYFDYWGQGTLVTVSS"/>
    <s v="DIQMTQSPSSLSASVGDRVTITCRASQSVSSAVAWYQQKPGKAPKLLIYSASSLYSGVPSRFSGSRSGTDFTLTISSLQPEDFATYYCQQYKYVPVTFGQGTKVEIK"/>
    <b v="1"/>
    <s v="GGGSGGGSGGGSGGGS"/>
    <x v="85"/>
    <n v="240"/>
    <b v="1"/>
    <b v="0"/>
    <b v="1"/>
    <n v="0"/>
    <n v="5.3860000000000002E-3"/>
    <x v="8"/>
  </r>
  <r>
    <x v="86"/>
    <s v="peleke-1"/>
    <x v="0"/>
    <n v="0.1"/>
    <s v="base"/>
    <m/>
    <s v="nipah_gpG_compout"/>
    <m/>
    <s v="QVQLVQSGAEVKKPGSSVKVSCKASGGTFSSYAISWVRQAPGQGLEWMGGIIIFGTANYAQKFQGRVTITADKSTSTAYMELRSEDTAVYYCAREGTTGWDYWGQGTLVTVSS"/>
    <s v="EIVLTQSPGTLSLSPGERATLSCRASQSVSSSYLAWYQQKPGQAPRLLIYGASSRATGIPDRFSGSGSGTDFTLTISRLEPEDFAVYYCQQYGSSPRTFGQGTKVEIK"/>
    <b v="1"/>
    <s v="GGGSGGGSGGGSGGGS"/>
    <x v="86"/>
    <n v="237"/>
    <b v="1"/>
    <b v="0"/>
    <b v="1"/>
    <n v="0"/>
    <n v="5.1520000000000003E-3"/>
    <x v="9"/>
  </r>
  <r>
    <x v="87"/>
    <s v="peleke-1"/>
    <x v="0"/>
    <n v="0.1"/>
    <s v="base"/>
    <m/>
    <s v="nipah_gpG_compout"/>
    <m/>
    <s v="EVQLVESGGGLVQPGGSLRLSCAASGFNVSYYSIHWVRQAPGKGLEWVASIYSYSGYTSYADSVKGRFTISADTSKNTAYLQMNSLRAEDTAVYYCARYYVYYGAMDYWGQGTLVTVSS"/>
    <s v="DIQMTQSPSSLSASVGDRVTITCRASQSVSSAVAWYQQKPGKAPKLLIYSASSLYSGVPSRFSGSRSGTDFTLTISSLQPEDFATYYCQQYKYVPVTFGQGTKVEIK"/>
    <b v="1"/>
    <s v="GGGSGGGSGGGSGGGS"/>
    <x v="87"/>
    <n v="242"/>
    <b v="1"/>
    <b v="0"/>
    <b v="1"/>
    <n v="0"/>
    <n v="5.2599999999999999E-3"/>
    <x v="9"/>
  </r>
  <r>
    <x v="88"/>
    <s v="peleke-1"/>
    <x v="0"/>
    <n v="0.1"/>
    <s v="base"/>
    <m/>
    <s v="nipah_gpG_compout"/>
    <m/>
    <s v="EVQLVESGGGLVQPGGSLRLSCAASGFNVSYSSIHWVRQAPGKGLEWVASIYSYSGYTYYADSVKGRFTISADTSKNTAYLQMNSLRAEDTAVYYCARGWVRGSSYWGQGTLVTVSS"/>
    <s v="DIQMTQSPSSLSASVGDRVTITCRASQSVSSAVAWYQQKPGKAPKLLIYSASSLYSGVPSRFSGSRSGTDFTLTISSLQPEDFATYYCQQYKYVPVTFGQGTKVEIK"/>
    <b v="1"/>
    <s v="GGGSGGGSGGGSGGGS"/>
    <x v="88"/>
    <n v="240"/>
    <b v="1"/>
    <b v="0"/>
    <b v="1"/>
    <n v="0.25166500000000003"/>
    <n v="0.40871299999999999"/>
    <x v="9"/>
  </r>
  <r>
    <x v="89"/>
    <s v="peleke-1"/>
    <x v="0"/>
    <n v="0.1"/>
    <s v="base"/>
    <m/>
    <s v="nipah_gpG_compout"/>
    <m/>
    <s v="EVQLVESGGGLVQPGGSLRLSCAASGFNVSYSSIHWVRQAPGKGLEWVASIYSYSGYTNYADSVKGRFTISADTSKNTAYLQMNSLRAEDTAVYYCARYYGGYGGYFDYWGQGTLVTVSS"/>
    <s v="DIQMTQSPSSLSASVGDRVTITCRASQSVSSAVAWYQQKPGKAPKLLIYSASSLYSGVPSRFSGSRSGTDFTLTISSLQPEDFATYYCQQYKYVPVTFGQGTKVEIK"/>
    <b v="1"/>
    <s v="GGGSGGGSGGGSGGGS"/>
    <x v="89"/>
    <n v="243"/>
    <b v="1"/>
    <b v="0"/>
    <b v="1"/>
    <n v="0"/>
    <n v="4.888E-3"/>
    <x v="8"/>
  </r>
  <r>
    <x v="90"/>
    <s v="peleke-1"/>
    <x v="0"/>
    <n v="0.1"/>
    <s v="base"/>
    <m/>
    <s v="nipah_gpG_compout"/>
    <m/>
    <s v="EVQLVESGGGLVQPGGSLRLSCAASGFNVSYYSIHWVRQAPGKGLEWVASIYPYSGYTNYADSVKGRFTISADTSKNTAYLQMNSLRAEDTAVYYCARYYGYWYFDYWGQGTLVTVSS"/>
    <s v="DIQMTQSPSSLSASVGDRVTITCRASQSVSSAVAWYQQKPGKAPKLLIYSASSLYSGVPSRFSGSRSGTDFTLTISSLQPEDFATYYCQQYKYVPVTFGQGTKVEIK"/>
    <b v="1"/>
    <s v="GGGSGGGSGGGSGGGS"/>
    <x v="90"/>
    <n v="241"/>
    <b v="1"/>
    <b v="0"/>
    <b v="1"/>
    <n v="0"/>
    <n v="5.4039999999999999E-3"/>
    <x v="8"/>
  </r>
  <r>
    <x v="91"/>
    <s v="peleke-1"/>
    <x v="0"/>
    <n v="0.1"/>
    <s v="base"/>
    <m/>
    <s v="nipah_gpG_compout"/>
    <m/>
    <s v="EVQLVESGGGLVQPGGSLRLSCAASGFNVSYSSIHWVRQAPGKGLEWVASIYSYSGYTSYADSVKGRFTISADTSKNTAYLQMNSLRAEDTAVYYCARYYGGYGGWYFDYWGQGTLVTVSS"/>
    <s v="DIQMTQSPSSLSASVGDRVTITCRASQSVSSAVAWYQQKPGKAPKLLIYSASSLYSGVPSRFSGSRSGTDFTLTISSLQPEDFATYYCQQYKYVPVTFGQGTKVEIK"/>
    <b v="1"/>
    <s v="GGGSGGGSGGGSGGGS"/>
    <x v="91"/>
    <n v="244"/>
    <b v="1"/>
    <b v="0"/>
    <b v="1"/>
    <n v="4.7809999999999997E-3"/>
    <n v="1.0769000000000001E-2"/>
    <x v="8"/>
  </r>
  <r>
    <x v="92"/>
    <s v="peleke-1"/>
    <x v="0"/>
    <n v="0.1"/>
    <s v="base"/>
    <m/>
    <s v="nipah_gpG_compout"/>
    <m/>
    <s v="EVQLVESGGGLVQPGGSLRLSCAASGFNVSYYSIHWVRQAPGKGLEWVASISSYYGYTYYADSVKGRFTISADTSKNTAYLQMNSLRAEDTAVYYCARYYGYWYFDYWGQGTLVTVSS"/>
    <s v="DIQMTQSPSSLSASVGDRVTITCRASQSVSSAVAWYQQKPGKAPKLLIYSASSLYSGVPSRFSGSRSGTDFTLTISSLQPEDFATYYCQQYKYVPVTFGQGTKVEIK"/>
    <b v="1"/>
    <s v="GGGSGGGSGGGSGGGS"/>
    <x v="92"/>
    <n v="241"/>
    <b v="1"/>
    <b v="0"/>
    <b v="1"/>
    <n v="0"/>
    <n v="5.1809999999999998E-3"/>
    <x v="8"/>
  </r>
  <r>
    <x v="93"/>
    <s v="peleke-1"/>
    <x v="0"/>
    <n v="0.1"/>
    <s v="base"/>
    <m/>
    <s v="nipah_gpG_compout"/>
    <m/>
    <s v="EVQLVESGGGLVQPGGSLRLSCAASGFNVSYYSIHWVRQAPGKGLEWVASISSYYGYTYYADSVKGRFTISADTSKNTAYLQMNSLRAEDTAVYYCARYYGTYYGHSYWGQGTLVTVSS"/>
    <s v="DIQMTQSPSSLSASVGDRVTITCRASQSVSSAVAWYQQKPGKAPKLLIYSASSLYSGVPSRFSGSRSGTDFTLTISSLQPEDFATYYCQQYKYVPVTFGQGTKVEIK"/>
    <b v="1"/>
    <s v="GGGSGGGSGGGSGGGS"/>
    <x v="93"/>
    <n v="242"/>
    <b v="1"/>
    <b v="0"/>
    <b v="1"/>
    <n v="0"/>
    <n v="5.0010000000000002E-3"/>
    <x v="8"/>
  </r>
  <r>
    <x v="94"/>
    <s v="peleke-1"/>
    <x v="0"/>
    <n v="0.1"/>
    <s v="base"/>
    <m/>
    <s v="nipah_gpG_compout"/>
    <m/>
    <s v="EVQLVESGGGLVQPGGSLRLSCAASGFNVSYSSIHWVRQAPGKGLEWVASIYSYSGYTNYADSVKGRFTISADTSKNTAYLQMNSLRAEDTAVYYCARYWYFGYFDYWGQGTLVTVSS"/>
    <s v="DIQMTQSPSSLSASVGDRVTITCRASQSVSSAVAWYQQKPGKAPKLLIYSASSLYSGVPSRFSGSRSGTDFTLTISSLQPEDFATYYCQQYKYVPVTFGQGTKVEIK"/>
    <b v="1"/>
    <s v="GGGSGGGSGGGSGGGS"/>
    <x v="94"/>
    <n v="241"/>
    <b v="1"/>
    <b v="0"/>
    <b v="1"/>
    <n v="5.2069999999999998E-3"/>
    <n v="3.3148999999999998E-2"/>
    <x v="8"/>
  </r>
  <r>
    <x v="95"/>
    <s v="peleke-1"/>
    <x v="0"/>
    <n v="0.6"/>
    <s v="base"/>
    <m/>
    <s v="nipah_gpG_compout"/>
    <m/>
    <s v="EVQLVESGGGLVKPGGSLRLSCAASGFTFRNYAMSWVRQAPGKGLEWVSSISSKSKSTSYADSVKGRFTISRDNAKNSLYLQMNSLRAEDTAVYYCARESGSFSYEGVWGQGTLVTVSS"/>
    <s v="SVLTQPPSVSGAPGQRVTISCTGSSSNIGAGYDVHWYQQLPGTAPKLLIYDNNKRPSGVPDRFSGSKSGTSASLAITGLQAEDEADYYCQSYDSSLSGLVFGGGTKLTVL"/>
    <b v="1"/>
    <s v="GGGSGGGSGGGSGGGS"/>
    <x v="95"/>
    <n v="245"/>
    <b v="1"/>
    <b v="0"/>
    <b v="1"/>
    <n v="0"/>
    <n v="4.9690000000000003E-3"/>
    <x v="9"/>
  </r>
  <r>
    <x v="96"/>
    <s v="peleke-1"/>
    <x v="0"/>
    <n v="0.6"/>
    <s v="base"/>
    <m/>
    <s v="nipah_gpG_compout"/>
    <m/>
    <s v="EVQLVESGGGLVQPGGSLRLSCAASGFNISSSSIHWVRQAPGKGLEWVASIYYSSGYTHYADSVKGRFTISADTSKNTAYLQMNSLRAEDTAVYYCARWGYWPGQVWLWFAYWGQGTLVTVS"/>
    <s v="DIQMTQSPSSLSASVGDRVTITCRASQSVSSAVAWYQQKPGKAPKLLIYSASSLYSGVPSRFSGSRSGTDFTLTISSLQPEDFATYYCQQSSSSLITFGQGTKVEIK"/>
    <b v="1"/>
    <s v="GGGSGGGSGGGSGGGS"/>
    <x v="96"/>
    <n v="245"/>
    <b v="1"/>
    <b v="0"/>
    <b v="1"/>
    <n v="0.307058"/>
    <n v="0.42117900000000003"/>
    <x v="9"/>
  </r>
  <r>
    <x v="97"/>
    <s v="peleke-1"/>
    <x v="0"/>
    <n v="0.6"/>
    <s v="base"/>
    <m/>
    <s v="nipah_gpG_compout"/>
    <m/>
    <s v="QVQLVQSGAEVKKPGSSVKVSCKSSGGTSNNYAISWVRQAPGQGLEWMGGIIPILGIANYAQKFQGRVTITADKSTSTAYMELSSLRSEDTAVYYCAREDAVVDYWGQGTLVTVSS"/>
    <s v="DIQMTQSPSTLSASVGDRVTITCRASQGISSWLAWYQQKPGKAPKLLIYKASSLESGVPSRFSGSGSGTEFTLTISSLQPDDFATYYCQQYNSYPLTFGQGTKVQVK"/>
    <b v="1"/>
    <s v="GGGSGGGSGGGSGGGS"/>
    <x v="97"/>
    <n v="239"/>
    <b v="1"/>
    <b v="0"/>
    <b v="1"/>
    <n v="5.2290000000000001E-3"/>
    <n v="6.1022E-2"/>
    <x v="10"/>
  </r>
  <r>
    <x v="98"/>
    <s v="peleke-1"/>
    <x v="0"/>
    <n v="0.6"/>
    <s v="base"/>
    <m/>
    <s v="nipah_gpG_compout"/>
    <m/>
    <s v="EVQLVESGGGLVQPGGSLRLSCAASGFNVSSSSIHWVRQAPGKGLEWVASISSYYGYTYYADSVKGRFTISADTSKNTAYLQMNSLRAEDTAVYYCARHWGYCSWFAYWGQGTLVTVSS"/>
    <s v="DIQMTQSPSSLSASVGDRVTITCRASQSVSSAVAWYQQKPGKAPKLLIYSASSLYSGVPSRFSGSRSGTDFTLTISSLQPEDFATYYCQQYKYVPVTFGQGTKVEIK"/>
    <b v="1"/>
    <s v="GGGSGGGSGGGSGGGS"/>
    <x v="98"/>
    <n v="242"/>
    <b v="1"/>
    <b v="0"/>
    <b v="1"/>
    <n v="0"/>
    <n v="5.176E-3"/>
    <x v="8"/>
  </r>
  <r>
    <x v="99"/>
    <s v="peleke-1"/>
    <x v="0"/>
    <n v="0.6"/>
    <s v="base"/>
    <m/>
    <s v="nipah_gpG_compout"/>
    <m/>
    <s v="EVQLVESGGGLVQPGGSLRLSCAASGFNISSSSIHWVRQAPGKGLEWVASIYSYSGYTSYADSVKGRFTISADTSKNTAYLQMNSLRAEDTAVYYCARGSHYFGYFDYWGQGTLVTVSS"/>
    <s v="DIQMTQSPSSLSASVGDRVTITCRASQSVSSAVAWYQQKPGKAPKLLIYSASSLYSGVPSRFSGSRSGTDFTLTISSLQPEDFATYYCQQSSSSLITFGQGTKVEIK"/>
    <b v="1"/>
    <s v="GGGSGGGSGGGSGGGS"/>
    <x v="99"/>
    <n v="242"/>
    <b v="1"/>
    <b v="0"/>
    <b v="1"/>
    <n v="0"/>
    <n v="5.4390000000000003E-3"/>
    <x v="8"/>
  </r>
  <r>
    <x v="100"/>
    <s v="peleke-1"/>
    <x v="0"/>
    <n v="0.6"/>
    <s v="base"/>
    <m/>
    <s v="nipah_gpG_compout"/>
    <m/>
    <s v="QVQLQESGPGLVKPSQTLSLTCTVSGGSISSGDYYWIRQHPGKGLEWIGYIYYSGSTDYNPSLKSRVTISVDTSKNQFSLKVTAADTAVYYCARTWFGSDYWGQGTLVTVSS"/>
    <s v="DIQMTQSPSSLSASVGDRVTITCRASQGISNYLAWYQQKPGKAPKLLIYAASTLQSGVPSRFSGSGSGTDFTLTISSLQPEDFATYYCQQAHSFPYTFGGGTKLEIK"/>
    <b v="1"/>
    <s v="GGGSGGGSGGGSGGGS"/>
    <x v="100"/>
    <n v="235"/>
    <b v="1"/>
    <b v="0"/>
    <b v="1"/>
    <n v="0"/>
    <n v="5.2649999999999997E-3"/>
    <x v="10"/>
  </r>
  <r>
    <x v="101"/>
    <s v="peleke-1"/>
    <x v="0"/>
    <n v="0.6"/>
    <s v="base"/>
    <m/>
    <s v="nipah_gpG_compout"/>
    <m/>
    <s v="EVQLVESGGGLVQPGGSLRLSCAASGFTFSSYWMNWVRQAPGKGLEWVAFIRYDGGNKYYADSVKGRFTISRDNSKNTLYLQMNSLRAEDTAVYYCARWSYSGGSGSYYVYFDYWGQGTLVTVS"/>
    <s v="SVLTQPPSVSGAPGQRVTISCTGSSSNIGAGYDVHWYQQLPGTAPKLLIYGNSNRPSGVPDRFSGSKSGTSASLAITGLQAEDEADYYCQSYDSSLSGSVFGGGTKLTVL"/>
    <b v="1"/>
    <s v="GGGSGGGSGGGSGGGS"/>
    <x v="101"/>
    <n v="250"/>
    <b v="1"/>
    <b v="0"/>
    <b v="1"/>
    <n v="0"/>
    <n v="5.385E-3"/>
    <x v="10"/>
  </r>
  <r>
    <x v="102"/>
    <s v="peleke-1"/>
    <x v="0"/>
    <n v="0.6"/>
    <s v="base"/>
    <m/>
    <s v="nipah_gpG_compout"/>
    <m/>
    <s v="QVQLVQSGAEVKKPGASVKVSCKASGYTFTNYYIHWVRQAPGQGLEWMGWIYPGGNTNYAQKFQGRVTMTRDTSISTAYMELSRLRSDDTAVYYCARVRTEFDYWGQGTLVTVSS"/>
    <s v="DIVMTQSPSSLAMSAGAETITCRSSQSVHSNGYLNWYQQKPGQPPKLLIYWASTRESGVPDRFTGSGSGTDFTLTITNVQSEDLAEYFCQQYSSYPLTFGAGTKLELR"/>
    <b v="1"/>
    <s v="GGGSGGGSGGGSGGGS"/>
    <x v="102"/>
    <n v="239"/>
    <b v="1"/>
    <b v="0"/>
    <b v="1"/>
    <n v="0"/>
    <n v="5.3680000000000004E-3"/>
    <x v="10"/>
  </r>
  <r>
    <x v="103"/>
    <s v="peleke-1"/>
    <x v="0"/>
    <n v="0.6"/>
    <s v="base"/>
    <m/>
    <s v="nipah_gpG_compout"/>
    <m/>
    <s v="QVQLQESGPGLVKPSETLSLTCTVSGGSVSSGGYFWSWIRQPPGKGLEWIGYVSGSGSTNYNPSLKSRVTISVDTSKNQFSLKLSSVTAADTAVYYCARWDVWISDYWGQGTLVTVSS"/>
    <s v="EIVLTQSPATLSLSPGERATLSCRASQSVSSYLAWYQQKPGQAPRLLIYDASNRATGIPARFSGSGSGTDFTLTISSLEPEDFAVYYCQHSWDQPPWTFGQGTKVEIK"/>
    <b v="1"/>
    <s v="GGGSGGGSGGGSGGGS"/>
    <x v="103"/>
    <n v="242"/>
    <b v="1"/>
    <b v="0"/>
    <b v="1"/>
    <n v="0"/>
    <n v="1.5878E-2"/>
    <x v="10"/>
  </r>
  <r>
    <x v="104"/>
    <s v="peleke-1"/>
    <x v="0"/>
    <n v="0.6"/>
    <s v="base"/>
    <m/>
    <s v="nipah_gpG_compout"/>
    <m/>
    <s v="QVQLQESGPGLVKPSQTLSLTCTVTGSSITSGYWNWIRQFPGNKLEWMGYISYSGTITYNPSLKSRISITRDTSKNQFFLQLNSVTTEDTATYYCARVYDGFYDYWGQGTLVTVSS"/>
    <s v="DIVMTQSPSSLSASVGDRVTITCRASQGISSWLAWYQQKPGKAPKLLIYKASSLESGVPSRFSGSGSGTEFTLTISSLQPDDFATYYCQQYNSYPLTFGGGTKVEIK"/>
    <b v="1"/>
    <s v="GGGSGGGSGGGSGGGS"/>
    <x v="104"/>
    <n v="239"/>
    <b v="1"/>
    <b v="0"/>
    <b v="1"/>
    <n v="0"/>
    <n v="0"/>
    <x v="10"/>
  </r>
  <r>
    <x v="105"/>
    <s v="peleke-1"/>
    <x v="0"/>
    <n v="0.9"/>
    <s v="base"/>
    <m/>
    <s v="nipah_gpG_compout"/>
    <m/>
    <s v="QVQLVESGGGVVQPGRSLRLSCAASGFTFSNYAMHWVRQAPGKGLEWVAVISYNSGNPYADSVKGRFTISRDNSKNTLYLQMRVEDTAVYYCSRTTIGYGGDIWGNMFDYWGQGTLVTVSS"/>
    <s v="DIVMTQSPATLSVSPGDRATLSCRASQSISTNLAWYQQKPGQAPRLLIYTASTLESGVPSRFSGSGSGTEFTLTISNLQSEDFATYFCQQYSAPLTFGGGTKVEIK"/>
    <b v="1"/>
    <s v="GGGSGGGSGGGSGGGS"/>
    <x v="105"/>
    <n v="243"/>
    <b v="1"/>
    <b v="0"/>
    <b v="1"/>
    <n v="0"/>
    <n v="5.5960000000000003E-3"/>
    <x v="9"/>
  </r>
  <r>
    <x v="106"/>
    <s v="peleke-1"/>
    <x v="0"/>
    <n v="0.9"/>
    <s v="base"/>
    <m/>
    <s v="nipah_gpG_compout"/>
    <m/>
    <s v="EVQLVESGGGLVQPGGSLRLSCAASGFASSSSNYVHWVRQAPGKGLEWVATIYPYSSSEYAASVQGRFTISRDDSKNTLYLQMNSLRGEDTAVYYCARYGYYSSRSGYGYYFNYWGQGTLVTVSS"/>
    <s v="DIVMTQSPASLAVSLGQRATISCRASESVDSYGNSFLAWYQQKPGQPPKLLIYWASTRQSGVPARFSGSGSGTDFTLNIHPVEEEDAATYYCQQHNYPLTFGAGTKLEIK"/>
    <b v="1"/>
    <s v="GGGSGGGSGGGS"/>
    <x v="106"/>
    <n v="247"/>
    <b v="1"/>
    <b v="0"/>
    <b v="1"/>
    <n v="0.51522000000000001"/>
    <n v="0.575318"/>
    <x v="9"/>
  </r>
  <r>
    <x v="107"/>
    <s v="peleke-1"/>
    <x v="0"/>
    <n v="0.9"/>
    <s v="base"/>
    <m/>
    <s v="nipah_gpG_compout"/>
    <m/>
    <s v="EVQLVESGAEVKKPGSSVKVSCKASGGPFTSYVISWVRQAPGQGLEWMGRIIPIRGTTYAQKFQGRVTITADKSTSTAYMELRSEDTAVYYCARGSHVFGYYDYWGQGTLVTVSS"/>
    <s v="EIVLTQSPGTLSLSPGERATLSCRASQSISGNYLAWYQQKPGQAPRLLIYGASIRAAGIPDRFSGSGSGTDFTLTISRLEPEDFAVYYCQQYGSSPRTFGQGTKVEIK"/>
    <b v="1"/>
    <s v="GGGSGGGSGGGSGGGS"/>
    <x v="107"/>
    <n v="239"/>
    <b v="1"/>
    <b v="0"/>
    <b v="1"/>
    <n v="0"/>
    <n v="0"/>
    <x v="10"/>
  </r>
  <r>
    <x v="108"/>
    <s v="peleke-1"/>
    <x v="0"/>
    <n v="0.9"/>
    <s v="base"/>
    <m/>
    <s v="nipah_gpG_compout"/>
    <m/>
    <s v="EVQLVETGGGLVQPGGSLKLSCRASGYTFTDYAMHWVRQAPLGLGLYTGGVNYARHFMKSRISITRDNSKNTLYLQMTKVDDTATYFCARRGLFDSDYWGQGTLVTVSS"/>
    <s v="SVTQPPSVSGSTSVGDRVTTCRASQSISSNWLAWYQQFPGTAPKLLIYENSSRPSGVPDRFSGSGSGTDFTLKISRVEAEDVGVYYCLQALSPRFTFGSGTKLEIK"/>
    <b v="1"/>
    <s v="GGGSGGGSGGGSGGGS"/>
    <x v="108"/>
    <n v="231"/>
    <b v="1"/>
    <b v="0"/>
    <b v="1"/>
    <n v="0"/>
    <n v="0"/>
    <x v="10"/>
  </r>
  <r>
    <x v="109"/>
    <s v="peleke-1"/>
    <x v="0"/>
    <n v="0.9"/>
    <s v="base"/>
    <m/>
    <s v="nipah_gpG_compout"/>
    <m/>
    <s v="QVQLVQSGAEVKKPGSSVKVSCKASGGTFSNYGISWVRQAPGQGLEWMGGIIPILGIANYAQKFQGRVTITADKSTSTAYMELRSLRSDDTAVYYCAREGHAYFHNGLDYWGQGTLVTVSS"/>
    <s v="EIVLTQSPGTLSLSPGERATLSCRASQSVSSSYFAWYQQKPGQAPRLLIYGASSRATGIPDRFSGSGSGTDFTLTISRLEPEDFAVYYCQQYGSSPPATFGQGTKVEIK"/>
    <b v="1"/>
    <s v="GGGSGGGSGGGSGGGS"/>
    <x v="109"/>
    <n v="246"/>
    <b v="1"/>
    <b v="0"/>
    <b v="1"/>
    <n v="5.1460000000000004E-3"/>
    <n v="2.6327E-2"/>
    <x v="10"/>
  </r>
  <r>
    <x v="110"/>
    <s v="peleke-1"/>
    <x v="0"/>
    <n v="0.9"/>
    <s v="base"/>
    <m/>
    <s v="nipah_gpG_compout"/>
    <m/>
    <s v="QVQLVESGGGVVQPGRSLRLSCAASGFTFSSFGMHWVRQAPGKGLEWVAIIWDGSNKYYADSVKGRFTISRDNSKNTLYLQMRAEDTAVYYCALDGGSFDDYWGQGTLVTVSS"/>
    <s v="DIQMTQSPSTLSTSVGDRVTITCRASQSISSWLAWYQQKPGKAPKLLIYKASTLESGVPSRFSGSGSGTEFTLTISSLQPDDFATYYCQHFYGTPITFGPGTKVD"/>
    <b v="1"/>
    <s v="GGGSGGGSGGGSGGGS"/>
    <x v="110"/>
    <n v="234"/>
    <b v="1"/>
    <b v="0"/>
    <b v="1"/>
    <n v="0.15404200000000001"/>
    <n v="0.23156599999999999"/>
    <x v="10"/>
  </r>
  <r>
    <x v="111"/>
    <s v="peleke-1"/>
    <x v="0"/>
    <n v="0.9"/>
    <s v="base"/>
    <m/>
    <s v="nipah_gpG_compout"/>
    <m/>
    <s v="EVQLVESGGGLVKPGGSLKVSCAASGFTFSDYSMNWVRQAPGKGLEWVSSITSGYTSIYYADSVKGRFTISRDNAKNSLYLQMNSLRAGDTAVYYCARVSDNFDYWGQGTAVTVSS"/>
    <s v="DIQMTQSPSSLSASVGDRVTITCQASQDIRFYLNWYQQKPGKAPKLLISAASTLQSGVPSRFSGSGSGTDFTLTITSLQPEDFATYYCAGYVPSYTFGPGTKVDIK"/>
    <b v="1"/>
    <s v="GGGSGGGSGGGSGGGS"/>
    <x v="111"/>
    <n v="238"/>
    <b v="1"/>
    <b v="0"/>
    <b v="1"/>
    <n v="0"/>
    <n v="0"/>
    <x v="11"/>
  </r>
  <r>
    <x v="112"/>
    <s v="peleke-1"/>
    <x v="0"/>
    <n v="0.9"/>
    <s v="base"/>
    <m/>
    <s v="nipah_gpG_compout"/>
    <m/>
    <s v="EVQLQQSGAELVKPGASVKLSCKASGYTFLDYYMYWVKQRPEQGLEWIGRIDPANGNTIYAPKFQDKATLTLTTDTTSSNTAYMQLSSLTSEDSAVYYCAREGNYGYRDLAWFAYWGQGTLVTVSS"/>
    <s v="AIRMTQSPSSLSASVGDTVTITCRASQSISSYLNWYQQKPGKAPKLLIYTASNLESGVPSRFSGSGSGTDYTLTISSLQPEDIATYYCQQYDNPPLTFGGGTKVEIK"/>
    <b v="1"/>
    <s v="GGGSGGGSGGGSGGGS"/>
    <x v="112"/>
    <n v="249"/>
    <b v="1"/>
    <b v="0"/>
    <b v="1"/>
    <n v="5.705E-3"/>
    <n v="4.4477999999999997E-2"/>
    <x v="11"/>
  </r>
  <r>
    <x v="113"/>
    <s v="peleke-1"/>
    <x v="0"/>
    <n v="0.9"/>
    <s v="base"/>
    <m/>
    <s v="nipah_gpG_compout"/>
    <m/>
    <s v="QVQLQESGPGLVKPSETLSLTCTVSGGSVSSGGYFWSWIRQRPGKGLEWIGHIYYSGTTNYNPSLRSRVTISRDTSKSQFSLKMDSLTSEDTALYYCARQLGLRFDIWGQGTMVTVSS"/>
    <s v="DIQMTQSPSSLSASVGDRVTITCRASQSISSYLNWYQQKPGKAPKLLIYAASSLQSGVPSRFSGSGSGTDFTLTISSLQPEDFATYYCQQSYTTPPTFGQGTKVEIK"/>
    <b v="1"/>
    <s v="GGGSGGGSGGGSGGGS"/>
    <x v="113"/>
    <n v="241"/>
    <b v="1"/>
    <b v="0"/>
    <b v="1"/>
    <n v="0"/>
    <n v="0"/>
    <x v="11"/>
  </r>
  <r>
    <x v="114"/>
    <s v="peleke-1"/>
    <x v="0"/>
    <n v="0.9"/>
    <s v="base"/>
    <m/>
    <s v="nipah_gpG_compout"/>
    <m/>
    <s v="QVQLVESGGGLVQPGGSLRLSCAASGFNLYSSSIHWVRQAPGKGLEWVARIYPSGATYYADSVKGRFTISADTSKNTAYLQMRAEDTAVYYCARSYYGDDYWGQGTLVTVSS"/>
    <s v="DIQMTQSPSSLSASVGDRVTITCRASQSVSSAVAWYQQKPGKAPKLLIYSASFLYSGVPSRFSGSRSGTDFTLTISSLQPEDFATYYCQQYSYYPFTFGQGTKVEIK"/>
    <b v="1"/>
    <s v="GGGSGGGSGGGSGGGS"/>
    <x v="114"/>
    <n v="235"/>
    <b v="1"/>
    <b v="0"/>
    <b v="1"/>
    <n v="0"/>
    <n v="2.3538E-2"/>
    <x v="11"/>
  </r>
  <r>
    <x v="115"/>
    <s v="peleke-1"/>
    <x v="8"/>
    <n v="0.7"/>
    <s v="derivative"/>
    <s v="sbio-nipahgpg-081"/>
    <s v="nipah_gpG_compout"/>
    <m/>
    <s v="EVQLLESGGGLVQPGGSLRLSCAASGFTFSSYAMSWVRQAPGKGLEWVSYISSSSSTIYYADSVKGRFTISRDNAKNSLYLQMNSLRAEDTAVYYCAKYSSYDYDYWGRGTMVTVSS"/>
    <s v="DIQLTQSPSSLSASVGDRVTITCRASQGISSYLNWYQQKPGKAPKLLIYDASSLQSGVPSRFSGSGSGTDFTLTISSLQPEDFATYYCQQFYEWLRTFGQGTRLEIK"/>
    <b v="1"/>
    <s v="GGGSGGGSGGGSGGGS"/>
    <x v="115"/>
    <n v="240"/>
    <b v="1"/>
    <b v="0"/>
    <b v="1"/>
    <n v="0"/>
    <n v="0"/>
    <x v="11"/>
  </r>
  <r>
    <x v="116"/>
    <s v="peleke-1"/>
    <x v="8"/>
    <n v="0.9"/>
    <s v="derivative"/>
    <s v="sbio-nipahgpg-109"/>
    <s v="nipah_gpG_compout"/>
    <m/>
    <s v="EVQLVESGGGLVQPGGSLRLSCAASGFATVSSNYMSWVRQAPGKGLEWVSVIYSCGSTYYADSVKGRFTISRDNSKNTLYLQMNSLRAEDTAVYYCARYYYDSSRSGYYYYFDYWGQGTLVTVSS"/>
    <s v="DIVLTQSPASLAVSLGQRATISCKASQSVDYDGDSYMHWYQQKPGQPPKLLIYRASNLESGIPARFSGSGSRTDFTLTINPVEADDVATYYCQQSNYPLTFGSGTKVEIK"/>
    <b v="1"/>
    <s v="GGGSGGGSGGGS"/>
    <x v="116"/>
    <n v="247"/>
    <b v="1"/>
    <b v="0"/>
    <b v="1"/>
    <n v="0"/>
    <n v="5.1120000000000002E-3"/>
    <x v="11"/>
  </r>
  <r>
    <x v="117"/>
    <s v="peleke-1 + AntiBMPNN"/>
    <x v="9"/>
    <n v="0.2"/>
    <s v="derivative"/>
    <s v="sbio-nipahgpg-055"/>
    <s v="nipah_gpG_compout"/>
    <m/>
    <s v="EVQLVESGGGLVQPGGSLRLSCAASGFNISDSSIHWVRQAPGKGLEWVASISSYSGYTYYADSVKGRFTISADTSKNTAYLQMNSLRAEDTAVYYCARGGRDLFGLDALDYWGQGTLVTVSS"/>
    <s v="DIQMTQSPSSLSASVGDRVTITCRASQSVSSAVAWYQQKPGKAPKLLIYSASSLYSGVPSRFSGSRSGTDFTLTISSLQPEDFATYYCQQYKYVPVTFGQGTKVEIK"/>
    <b v="1"/>
    <s v="GGGSGGGSGGGS"/>
    <x v="117"/>
    <n v="241"/>
    <b v="1"/>
    <b v="0"/>
    <b v="1"/>
    <n v="0"/>
    <n v="0"/>
    <x v="12"/>
  </r>
  <r>
    <x v="118"/>
    <s v="peleke-1 + AntiBMPNN"/>
    <x v="9"/>
    <n v="0.2"/>
    <s v="derivative"/>
    <s v="sbio-nipahgpg-055"/>
    <s v="nipah_gpG_compout"/>
    <m/>
    <s v="EVQLVESGGGLVQPGGSLRLSCAASGFNISSSSIHWVRQAPGKGLEWVASIYSYSGLTYYADSVKGRFTISADTSKNTAYLQMNSLRAEDTAVYYCARGGYYLDGLYALDYWGQGTLVTVSS"/>
    <s v="DIQMTQSPSSLSASVGDRVTITCRASQSVSSAVAWYQQKPGKAPKLLIYSASSLYSGVPSRFSGSRSGTDFTLTISSLQPEDFATYYCQQYKYVPVTFGQGTKVEIK"/>
    <b v="1"/>
    <s v="GGGSGGGSGGGS"/>
    <x v="118"/>
    <n v="241"/>
    <b v="1"/>
    <b v="0"/>
    <b v="1"/>
    <n v="0"/>
    <n v="5.5250000000000004E-3"/>
    <x v="12"/>
  </r>
  <r>
    <x v="119"/>
    <s v="peleke-1 + AntiBMPNN"/>
    <x v="9"/>
    <n v="0.2"/>
    <s v="derivative"/>
    <s v="sbio-nipahgpg-055"/>
    <s v="nipah_gpG_compout"/>
    <m/>
    <s v="EVQLVESGGGLVQPGGSLRLSCAASGFNISSSSIHWVRQAPGKGLEWVASIYSYSGATYYADSVKGRFTISADTSKNTAYLQMNSLRAEDTAVYYCARGGNHLDGLYALDYWGQGTLVTVSS"/>
    <s v="DIQMTQSPSSLSASVGDRVTITCRASQSVSSAVAWYQQKPGKAPKLLIYSASSLYSGVPSRFSGSRSGTDFTLTISSLQPEDFATYYCQQYKYVPVTFGQGTKVEIK"/>
    <b v="1"/>
    <s v="GGGSGGGSGGGS"/>
    <x v="119"/>
    <n v="241"/>
    <b v="1"/>
    <b v="0"/>
    <b v="1"/>
    <n v="5.3680000000000004E-3"/>
    <n v="8.0700000000000008E-3"/>
    <x v="12"/>
  </r>
  <r>
    <x v="120"/>
    <s v="peleke-1 + AntiBMPNN"/>
    <x v="9"/>
    <n v="0.2"/>
    <s v="derivative"/>
    <s v="sbio-nipahgpg-055"/>
    <s v="nipah_gpG_compout"/>
    <m/>
    <s v="EVQLVESGGGLVQPGGSLRLSCAASGFNISSSSIHWVRQAPGKGLEWVASIYSYSGYTYYADSVKGRFTISADTSKNTAYLQMNSLRAEDTAVYYCARGGRYLDGLFALDYWGQGTLVTVSS"/>
    <s v="DIQMTQSPSSLSASVGDRVTITCRASQSVSSAVAWYQQKPGKAPKLLIYSASSLYSGVPSRFSGSRSGTDFTLTISSLQPEDFATYYCQQYKYVPVTFGQGTKVEIK"/>
    <b v="1"/>
    <s v="GGGSGGGSGGGS"/>
    <x v="120"/>
    <n v="241"/>
    <b v="1"/>
    <b v="0"/>
    <b v="1"/>
    <n v="0"/>
    <n v="5.1799999999999997E-3"/>
    <x v="12"/>
  </r>
  <r>
    <x v="121"/>
    <s v="peleke-1 + AntiBMPNN"/>
    <x v="9"/>
    <n v="0.2"/>
    <s v="derivative"/>
    <s v="sbio-nipahgpg-055"/>
    <s v="nipah_gpG_compout"/>
    <m/>
    <s v="EVQLVESGGGLVQPGGSLRLSCAASGFNISSSSIHWVRQAPGKGLEWVASISSYSGYTYYADSVKGRFTISADTSKNTAYLQMNSLRAEDTAVYYCARGGSLLRGLSALDYWGQGTLVTVSS"/>
    <s v="DIQMTQSPSSLSASVGDRVTITCRASQSVSSAVAWYQQKPGKAPKLLIYSASSLYSGVPSRFSGSRSGTDFTLTISSLQPEDFATYYCQQYKYVPVTFGQGTKVEIK"/>
    <b v="1"/>
    <s v="GGGSGGGSGGGS"/>
    <x v="121"/>
    <n v="241"/>
    <b v="1"/>
    <b v="0"/>
    <b v="1"/>
    <n v="0.18029500000000001"/>
    <n v="0.30336600000000002"/>
    <x v="12"/>
  </r>
  <r>
    <x v="122"/>
    <s v="peleke-1 + AntiBMPNN"/>
    <x v="9"/>
    <n v="0.2"/>
    <s v="derivative"/>
    <s v="sbio-nipahgpg-055"/>
    <s v="nipah_gpG_compout"/>
    <m/>
    <s v="EVQLVESGGGLVQPGGSLRLSCAASGFNISDSSIHWVRQAPGKGLEWVASISSYSGYTYYADSVKGRFTISADTSKNTAYLQMNSLRAEDTAVYYCARGGRYLDGLYALDYWGQGTLVTVSS"/>
    <s v="DIQMTQSPSSLSASVGDRVTITCRASQSVSSAVAWYQQKPGKAPKLLIYSASSLYSGVPSRFSGSRSGTDFTLTISSLQPEDFATYYCQQYKYVPVTFGQGTKVEIK"/>
    <b v="1"/>
    <s v="GGGSGGGSGGGS"/>
    <x v="122"/>
    <n v="241"/>
    <b v="1"/>
    <b v="0"/>
    <b v="1"/>
    <n v="7.4260000000000003E-3"/>
    <n v="8.3528000000000005E-2"/>
    <x v="12"/>
  </r>
  <r>
    <x v="123"/>
    <s v="peleke-1 + AntiBMPNN"/>
    <x v="9"/>
    <n v="0.2"/>
    <s v="derivative"/>
    <s v="sbio-nipahgpg-055"/>
    <s v="nipah_gpG_compout"/>
    <m/>
    <s v="EVQLVESGGGLVQPGGSLRLSCAASGFNISSSSIHWVRQAPGKGLEWVASISSYSGYTYYADSVKGRFTISADTSKNTAYLQMNSLRAEDTAVYYCARGGSYLDGLSALDYWGQGTLVTVSS"/>
    <s v="DIQMTQSPSSLSASVGDRVTITCRASQSVSSAVAWYQQKPGKAPKLLIYSASSLYSGVPSRFSGSRSGTDFTLTISSLQPEDFATYYCQQYKYVPVTFGQGTKVEIK"/>
    <b v="1"/>
    <s v="GGGSGGGSGGGS"/>
    <x v="123"/>
    <n v="241"/>
    <b v="1"/>
    <b v="0"/>
    <b v="1"/>
    <n v="0.17149800000000001"/>
    <n v="0.26701000000000003"/>
    <x v="12"/>
  </r>
  <r>
    <x v="124"/>
    <s v="peleke-1 + AntiBMPNN"/>
    <x v="9"/>
    <n v="0.2"/>
    <s v="derivative"/>
    <s v="sbio-nipahgpg-055"/>
    <s v="nipah_gpG_compout"/>
    <m/>
    <s v="EVQLVESGGGLVQPGGSLRLSCAASGFNISDSSIHWVRQAPGKGLEWVASIYNYSGYTYYADSVKGRFTISADTSKNTAYLQMNSLRAEDTAVYYCARGGYYLDGLDALDYWGQGTLVTVSS"/>
    <s v="DIQMTQSPSSLSASVGDRVTITCRASQSVSSAVAWYQQKPGKAPKLLIYSASSLYSGVPSRFSGSRSGTDFTLTISSLQPEDFATYYCQQYKYVPVTFGQGTKVEIK"/>
    <b v="1"/>
    <s v="GGGSGGGSGGGS"/>
    <x v="124"/>
    <n v="241"/>
    <b v="1"/>
    <b v="0"/>
    <b v="1"/>
    <n v="0"/>
    <n v="0"/>
    <x v="12"/>
  </r>
  <r>
    <x v="125"/>
    <s v="peleke-1 + AntiBMPNN"/>
    <x v="9"/>
    <n v="0.2"/>
    <s v="derivative"/>
    <s v="sbio-nipahgpg-055"/>
    <s v="nipah_gpG_compout"/>
    <m/>
    <s v="EVQLVESGGGLVQPGGSLRLSCAASGFNISDYSIHWVRQAPGKGLEWVASIYNRSGYTYYADSVKGRFTISADTSKNTAYLQMNSLRAEDTAVYYCARGGYYLDGLYALDYWGQGTLVTVSS"/>
    <s v="DIQMTQSPSSLSASVGDRVTITCRASQSVSSAVAWYQQKPGKAPKLLIYSASSLYSGVPSRFSGSRSGTDFTLTISSLQPEDFATYYCQQYKYVPVTFGQGTKVEIK"/>
    <b v="1"/>
    <s v="GGGSGGGSGGGS"/>
    <x v="125"/>
    <n v="241"/>
    <b v="1"/>
    <b v="0"/>
    <b v="1"/>
    <n v="2.2391000000000001E-2"/>
    <n v="0.1115"/>
    <x v="12"/>
  </r>
  <r>
    <x v="126"/>
    <s v="peleke-1 + AntiBMPNN"/>
    <x v="9"/>
    <n v="0.2"/>
    <s v="derivative"/>
    <s v="sbio-nipahgpg-055"/>
    <s v="nipah_gpG_compout"/>
    <m/>
    <s v="EVQLVESGGGLVQPGGSLRLSCAASGFNISSSSIHWVRQAPGKGLEWVASISSYSGYTYYADSVKGRFTISADTSKNTAYLQMNSLRAEDTAVYYCARGGHDLDGLYALDYWGQGTLVTVSS"/>
    <s v="DIQMTQSPSSLSASVGDRVTITCRASQSVSSAVAWYQQKPGKAPKLLIYSASSLYSGVPSRFSGSRSGTDFTLTISSLQPEDFATYYCQQYKYVPVTFGQGTKVEIK"/>
    <b v="1"/>
    <s v="GGGSGGGSGGGS"/>
    <x v="126"/>
    <n v="241"/>
    <b v="1"/>
    <b v="0"/>
    <b v="1"/>
    <n v="0"/>
    <n v="5.4780000000000002E-3"/>
    <x v="12"/>
  </r>
  <r>
    <x v="127"/>
    <s v="peleke-1 + AntiBMPNN"/>
    <x v="9"/>
    <n v="0.2"/>
    <s v="derivative"/>
    <s v="sbio-nipahgpg-114"/>
    <s v="nipah_gpG_compout"/>
    <m/>
    <s v="EVQLVESGGGLVKPGGSLKVSCAASGFTFSSYAMHWVRQAPGKGLEWVSYIWSGADSIGYADSVKGRFTISRDNAKNSLYLQMNSLRAGDTAVYYCARDDDAFDYWGQGTAVTVSS"/>
    <s v="DIQMTQSPSSLSASVGDRVTITCQASQDIRFYLNWYQQKPGKAPKLLISAASTLQSGVPSRFSGSGSGTDFTLTITSLQPEDFATYYCAGYVPSYTFGPGTKVDIK"/>
    <b v="1"/>
    <s v="GGGSGGGSGGGS"/>
    <x v="127"/>
    <n v="234"/>
    <b v="1"/>
    <b v="0"/>
    <b v="1"/>
    <n v="0"/>
    <n v="5.176E-3"/>
    <x v="13"/>
  </r>
  <r>
    <x v="128"/>
    <s v="peleke-1 + AntiBMPNN"/>
    <x v="9"/>
    <n v="0.2"/>
    <s v="derivative"/>
    <s v="sbio-nipahgpg-114"/>
    <s v="nipah_gpG_compout"/>
    <m/>
    <s v="EVQLVESGGGLVKPGGSLKVSCAASGFTFSSYSMHWVRQAPGKGLEWVSSIWSGADSTGYADSVKGRFTISRDNAKNSLYLQMNSLRAGDTAVYYCARDDDAFDYWGQGTAVTVSS"/>
    <s v="DIQMTQSPSSLSASVGDRVTITCQASQDIRFYLNWYQQKPGKAPKLLISAASTLQSGVPSRFSGSGSGTDFTLTITSLQPEDFATYYCAGYVPSYTFGPGTKVDIK"/>
    <b v="1"/>
    <s v="GGGSGGGSGGGS"/>
    <x v="128"/>
    <n v="234"/>
    <b v="1"/>
    <b v="0"/>
    <b v="1"/>
    <n v="0"/>
    <n v="5.2830000000000004E-3"/>
    <x v="13"/>
  </r>
  <r>
    <x v="129"/>
    <s v="peleke-1 + AntiBMPNN"/>
    <x v="9"/>
    <n v="0.2"/>
    <s v="derivative"/>
    <s v="sbio-nipahgpg-114"/>
    <s v="nipah_gpG_compout"/>
    <m/>
    <s v="EVQLVESGGGLVKPGGSLKVSCAASGFTFSSYAMHWVRQAPGKGLEWVSRIWSGADSTGYADSVKGRFTISRDNAKNSLYLQMNSLRAGDTAVYYCARDDDAFDYWGQGTAVTVSS"/>
    <s v="DIQMTQSPSSLSASVGDRVTITCQASQDIRFYLNWYQQKPGKAPKLLISAASTLQSGVPSRFSGSGSGTDFTLTITSLQPEDFATYYCAGYVPSYTFGPGTKVDIK"/>
    <b v="1"/>
    <s v="GGGSGGGSGGGS"/>
    <x v="129"/>
    <n v="234"/>
    <b v="1"/>
    <b v="0"/>
    <b v="1"/>
    <n v="0"/>
    <n v="0"/>
    <x v="13"/>
  </r>
  <r>
    <x v="130"/>
    <s v="peleke-1 + AntiBMPNN"/>
    <x v="9"/>
    <n v="0.2"/>
    <s v="derivative"/>
    <s v="sbio-nipahgpg-114"/>
    <s v="nipah_gpG_compout"/>
    <m/>
    <s v="EVQLVESGGGLVKPGGSLKVSCAASGFTFSSYAMHWVRQAPGKGLEWVSYIWSGADSIGYADSVKGRFTISRDNAKNSLYLQMNSLRAGDTAVYYCARYDDAFDYWGQGTAVTVSS"/>
    <s v="DIQMTQSPSSLSASVGDRVTITCQASQDIRFYLNWYQQKPGKAPKLLISAASTLQSGVPSRFSGSGSGTDFTLTITSLQPEDFATYYCAGYVPSYTFGPGTKVDIK"/>
    <b v="1"/>
    <s v="GGGSGGGSGGGS"/>
    <x v="130"/>
    <n v="234"/>
    <b v="1"/>
    <b v="0"/>
    <b v="1"/>
    <n v="0"/>
    <n v="4.9849999999999998E-3"/>
    <x v="8"/>
  </r>
  <r>
    <x v="131"/>
    <s v="peleke-1 + AntiBMPNN"/>
    <x v="9"/>
    <n v="0.2"/>
    <s v="derivative"/>
    <s v="sbio-nipahgpg-114"/>
    <s v="nipah_gpG_compout"/>
    <m/>
    <s v="EVQLVESGGGLVKPGGSLKVSCAASGFTFSSYSMHWVRQAPGKGLEWVSRIWSGTDSIGYADSVKGRFTISRDNAKNSLYLQMNSLRAGDTAVYYCARDDDAFDYWGQGTAVTVSS"/>
    <s v="DIQMTQSPSSLSASVGDRVTITCQASQDIRFYLNWYQQKPGKAPKLLISAASTLQSGVPSRFSGSGSGTDFTLTITSLQPEDFATYYCAGYVPSYTFGPGTKVDIK"/>
    <b v="1"/>
    <s v="GGGSGGGSGGGS"/>
    <x v="131"/>
    <n v="234"/>
    <b v="1"/>
    <b v="0"/>
    <b v="1"/>
    <n v="0"/>
    <n v="0"/>
    <x v="13"/>
  </r>
  <r>
    <x v="132"/>
    <s v="peleke-1 + AntiBMPNN"/>
    <x v="9"/>
    <n v="0.2"/>
    <s v="derivative"/>
    <s v="sbio-nipahgpg-114"/>
    <s v="nipah_gpG_compout"/>
    <m/>
    <s v="EVQLVESGGGLVKPGGSLKVSCAASGFTFSSYAMHWVRQAPGKGLEWVSYIWSGVDSIGYADSVKGRFTISRDNAKNSLYLQMNSLRAGDTAVYYCARDDDAFDYWGQGTAVTVSS"/>
    <s v="DIQMTQSPSSLSASVGDRVTITCQASQDIRFYLNWYQQKPGKAPKLLISAASTLQSGVPSRFSGSGSGTDFTLTITSLQPEDFATYYCAGYVPSYTFGPGTKVDIK"/>
    <b v="1"/>
    <s v="GGGSGGGSGGGS"/>
    <x v="132"/>
    <n v="234"/>
    <b v="1"/>
    <b v="0"/>
    <b v="1"/>
    <n v="0.34179700000000002"/>
    <n v="0.49543900000000002"/>
    <x v="8"/>
  </r>
  <r>
    <x v="133"/>
    <s v="peleke-1 + AntiBMPNN"/>
    <x v="9"/>
    <n v="0.2"/>
    <s v="derivative"/>
    <s v="sbio-nipahgpg-114"/>
    <s v="nipah_gpG_compout"/>
    <m/>
    <s v="EVQLVESGGGLVKPGGSLKVSCAASGFTFSSFAMHWVRQAPGKGLEWVSYIWSGADSTGYADSVKGRFTISRDNAKNSLYLQMNSLRAGDTAVYYCARDDDAFDYWGQGTAVTVSS"/>
    <s v="DIQMTQSPSSLSASVGDRVTITCQASQDIRFYLNWYQQKPGKAPKLLISAASTLQSGVPSRFSGSGSGTDFTLTITSLQPEDFATYYCAGYVPSYTFGPGTKVDIK"/>
    <b v="1"/>
    <s v="GGGSGGGSGGGS"/>
    <x v="133"/>
    <n v="234"/>
    <b v="1"/>
    <b v="0"/>
    <b v="1"/>
    <n v="0"/>
    <n v="0"/>
    <x v="13"/>
  </r>
  <r>
    <x v="134"/>
    <s v="peleke-1 + AntiBMPNN"/>
    <x v="9"/>
    <n v="0.2"/>
    <s v="derivative"/>
    <s v="sbio-nipahgpg-114"/>
    <s v="nipah_gpG_compout"/>
    <m/>
    <s v="EVQLVESGGGLVKPGGSLKVSCAASGFTFSSYAMHWVRQAPGKGLEWVSYIWSGADSIGYADSVKGRFTISRDNAKNSLYLQMNSLRAGDTAVYYCARYDDAFDYWGQGTAVTVSS"/>
    <s v="DIQMTQSPSSLSASVGDRVTITCQASQDIRFYLNWYQQKPGKAPKLLISAASTLQSGVPSRFSGSGSGTDFTLTITSLQPEDFATYYCAGYVPSYTFGPGTKVDIK"/>
    <b v="1"/>
    <s v="GGGSGGGSGGGS"/>
    <x v="130"/>
    <n v="234"/>
    <b v="1"/>
    <b v="0"/>
    <b v="1"/>
    <n v="0.19351199999999999"/>
    <n v="0.28335399999999999"/>
    <x v="8"/>
  </r>
  <r>
    <x v="135"/>
    <s v="peleke-1 + AntiBMPNN"/>
    <x v="9"/>
    <n v="0.2"/>
    <s v="derivative"/>
    <s v="sbio-nipahgpg-114"/>
    <s v="nipah_gpG_compout"/>
    <m/>
    <s v="EVQLVESGGGLVKPGGSLKVSCAASGFTFSSYAMHWVRQAPGKGLEWVSYIWSGVDSIGYADSVKGRFTISRDNAKNSLYLQMNSLRAGDTAVYYCARDDDAFDYWGQGTAVTVSS"/>
    <s v="DIQMTQSPSSLSASVGDRVTITCQASQDIRFYLNWYQQKPGKAPKLLISAASTLQSGVPSRFSGSGSGTDFTLTITSLQPEDFATYYCAGYVPSYTFGPGTKVDIK"/>
    <b v="1"/>
    <s v="GGGSGGGSGGGS"/>
    <x v="132"/>
    <n v="234"/>
    <b v="1"/>
    <b v="0"/>
    <b v="1"/>
    <n v="0"/>
    <n v="0"/>
    <x v="8"/>
  </r>
  <r>
    <x v="136"/>
    <s v="peleke-1 + AntiBMPNN"/>
    <x v="9"/>
    <n v="0.2"/>
    <s v="derivative"/>
    <s v="sbio-nipahgpg-114"/>
    <s v="nipah_gpG_compout"/>
    <m/>
    <s v="EVQLVESGGGLVKPGGSLKVSCAASGFTFSSYSMVWVRQAPGKGLEWVSRIWSGVDSTGYADSVKGRFTISRDNAKNSLYLQMNSLRAGDTAVYYCARDDDAFDYWGQGTAVTVSS"/>
    <s v="DIQMTQSPSSLSASVGDRVTITCQASQDIRFYLNWYQQKPGKAPKLLISAASTLQSGVPSRFSGSGSGTDFTLTITSLQPEDFATYYCAGYVPSYTFGPGTKVDIK"/>
    <b v="1"/>
    <s v="GGGSGGGSGGGS"/>
    <x v="134"/>
    <n v="234"/>
    <b v="1"/>
    <b v="0"/>
    <b v="1"/>
    <n v="0"/>
    <n v="5.0699999999999999E-3"/>
    <x v="13"/>
  </r>
  <r>
    <x v="137"/>
    <s v="peleke-1 + AntiBMPNN"/>
    <x v="9"/>
    <n v="0.2"/>
    <s v="derivative"/>
    <s v="sbio-nipahgpg-120"/>
    <s v="nipah_gpG_compout"/>
    <m/>
    <s v="EVQLVESGGGLVQPGGSLRLSCAASGFNISYSSIHWVRQAPGKGLEWVASISSYSGSTYYADSVKGRFTISADTSKNTAYLQMNSLRAEDTAVYYCARGGYVPVGWYALDYWGQGTLVTVSS"/>
    <s v="DIQMTQSPSSLSASVGDRVTITCRASQSVSTAVAWYQQKPGKAPKLLIYYASDRYSGVPSRFSGSRSGTDFTLTISSLQPEDFATYYCQQHYNYPLTFGQGTKVEIK"/>
    <b v="1"/>
    <s v="GGGSGGGSGGGSGGGS"/>
    <x v="135"/>
    <n v="245"/>
    <b v="1"/>
    <b v="0"/>
    <b v="1"/>
    <n v="6.0330000000000002E-3"/>
    <n v="5.5789999999999999E-2"/>
    <x v="14"/>
  </r>
  <r>
    <x v="138"/>
    <s v="peleke-1 + AntiBMPNN"/>
    <x v="9"/>
    <n v="0.2"/>
    <s v="derivative"/>
    <s v="sbio-nipahgpg-120"/>
    <s v="nipah_gpG_compout"/>
    <m/>
    <s v="EVQLVESGGGLVQPGGSLRLSCAASGFNISYSSIHWVRQAPGKGLEWVASISSYSGSTYYADSVKGRFTISADTSKNTAYLQMNSLRAEDTAVYYCARGGAVPVGWYALDYWGQGTLVTVSS"/>
    <s v="DIQMTQSPSSLSASVGDRVTITCRASQSVSDDVAWYQQKPGKAPKLLIYRASDRYFGVPSRFSGSRSGTDFTLTISSLQPEDFATYYCQQYYSYPITFGQGTKVEIK"/>
    <b v="1"/>
    <s v="GGGSGGGSGGGSGGGS"/>
    <x v="136"/>
    <n v="245"/>
    <b v="1"/>
    <b v="0"/>
    <b v="1"/>
    <n v="0"/>
    <n v="0"/>
    <x v="14"/>
  </r>
  <r>
    <x v="139"/>
    <s v="peleke-1 + AntiBMPNN"/>
    <x v="9"/>
    <n v="0.2"/>
    <s v="derivative"/>
    <s v="sbio-nipahgpg-120"/>
    <s v="nipah_gpG_compout"/>
    <m/>
    <s v="EVQLVESGGGLVQPGGSLRLSCAASGFNISYSSIHWVRQAPGKGLEWVASISSYSGSTYYADSVKGRFTISADTSKNTAYLQMNSLRAEDTAVYYCARGGDVPNGWYALDYWGQGTLVTVSS"/>
    <s v="DIQMTQSPSSLSASVGDRVTITCRASQSVYTAVAWYQQKPGKAPKLLIYFASDRYSGVPSRFSGSRSGTDFTLTISSLQPEDFATYYCQQHYYYPITFGQGTKVEIK"/>
    <b v="1"/>
    <s v="GGGSGGGSGGGSGGGS"/>
    <x v="137"/>
    <n v="245"/>
    <b v="1"/>
    <b v="0"/>
    <b v="1"/>
    <n v="6.2603000000000006E-2"/>
    <n v="0.12244099999999999"/>
    <x v="14"/>
  </r>
  <r>
    <x v="140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WYALDYWGQGTLVTVSS"/>
    <s v="DIQMTQSPSSLSASVGDRVTITCRASQSVSDAVAWYQQKPGKAPKLLIYYASDRYAGVPSRFSGSRSGTDFTLTISSLQPEDFATYYCQQYYSYPLTFGQGTKVEIK"/>
    <b v="1"/>
    <s v="GGGSGGGSGGGSGGGS"/>
    <x v="138"/>
    <n v="245"/>
    <b v="1"/>
    <b v="0"/>
    <b v="1"/>
    <n v="0.23727899999999999"/>
    <n v="0.36869000000000002"/>
    <x v="14"/>
  </r>
  <r>
    <x v="141"/>
    <s v="peleke-1 + AntiBMPNN"/>
    <x v="9"/>
    <n v="0.2"/>
    <s v="derivative"/>
    <s v="sbio-nipahgpg-120"/>
    <s v="nipah_gpG_compout"/>
    <m/>
    <s v="EVQLVESGGGLVQPGGSLRLSCAASGFNISSSSIHWVRQAPGKGLEWVASISSSSGSTYYADSVKGRFTISADTSKNTAYLQMNSLRAEDTAVYYCARGGDVPNGWYALDYWGQGTLVTVSS"/>
    <s v="DIQMTQSPSSLSASVGDRVTITCRASQSVYTAVAWYQQKPGKAPKLLIYRASDRYAGVPSRFSGSRSGTDFTLTISSLQPEDFATYYCQQYYYYPLTFGQGTKVEIK"/>
    <b v="1"/>
    <s v="GGGSGGGSGGGSGGGS"/>
    <x v="139"/>
    <n v="245"/>
    <b v="1"/>
    <b v="0"/>
    <b v="1"/>
    <n v="0"/>
    <n v="1.976E-2"/>
    <x v="14"/>
  </r>
  <r>
    <x v="142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YYALDYWGQGTLVTVSS"/>
    <s v="DIQMTQSPSSLSASVGDRVTITCRASQSVNTAVAWYQQKPGKAPKLLIYSASDRYFGVPSRFSGSRSGTDFTLTISSLQPEDFATYYCQQHYSYPLTFGQGTKVEIK"/>
    <b v="1"/>
    <s v="GGGSGGGSGGGSGGGS"/>
    <x v="140"/>
    <n v="245"/>
    <b v="1"/>
    <b v="0"/>
    <b v="1"/>
    <n v="0"/>
    <n v="5.0769999999999999E-3"/>
    <x v="14"/>
  </r>
  <r>
    <x v="143"/>
    <s v="peleke-1 + AntiBMPNN"/>
    <x v="9"/>
    <n v="0.2"/>
    <s v="derivative"/>
    <s v="sbio-nipahgpg-120"/>
    <s v="nipah_gpG_compout"/>
    <m/>
    <s v="EVQLVESGGGLVQPGGSLRLSCAASGFNISYSSIHWVRQAPGKGLEWVASISSYSGSTYYADSVKGRFTISADTSKNTAYLQMNSLRAEDTAVYYCARGGDVPNGWYALDYWGQGTLVTVSS"/>
    <s v="DIQMTQSPSSLSASVGDRVTITCRASQSVYTAVAWYQQKPGKAPKLLIYSASDRYSGVPSRFSGSRSGTDFTLTISSLQPEDFATYYCQQYASYPITFGQGTKVEIK"/>
    <b v="1"/>
    <s v="GGGSGGGSGGGSGGGS"/>
    <x v="141"/>
    <n v="245"/>
    <b v="1"/>
    <b v="0"/>
    <b v="1"/>
    <n v="0"/>
    <n v="5.5199999999999997E-3"/>
    <x v="14"/>
  </r>
  <r>
    <x v="144"/>
    <s v="peleke-1 + AntiBMPNN"/>
    <x v="9"/>
    <n v="0.2"/>
    <s v="derivative"/>
    <s v="sbio-nipahgpg-120"/>
    <s v="nipah_gpG_compout"/>
    <m/>
    <s v="EVQLVESGGGLVQPGGSLRLSCAASGFNISYSSIHWVRQAPGKGLEWVASISSYSGSTYYADSVKGRFTISADTSKNTAYLQMNSLRAEDTAVYYCARGGAVPVGWYALDYWGQGTLVTVSS"/>
    <s v="DIQMTQSPSSLSASVGDRVTITCRASQSVSIAVAWYQQKPGKAPKLLIYSASDRYFGVPSRFSGSRSGTDFTLTISSLQPEDFATYYCQQYYSYPLTFGQGTKVEIK"/>
    <b v="1"/>
    <s v="GGGSGGGSGGGSGGGS"/>
    <x v="142"/>
    <n v="245"/>
    <b v="1"/>
    <b v="0"/>
    <b v="1"/>
    <n v="5.6620000000000004E-3"/>
    <n v="9.3252000000000002E-2"/>
    <x v="14"/>
  </r>
  <r>
    <x v="145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WYALDYWGQGTLVTVSS"/>
    <s v="DIQMTQSPSSLSASVGDRVTITCRASQSVYYAVAWYQQKPGKAPKLLIYRASDRYSGVPSRFSGSRSGTDFTLTISSLQPEDFATYYCQQYYSYPLTFGQGTKVEIK"/>
    <b v="1"/>
    <s v="GGGSGGGSGGGSGGGS"/>
    <x v="143"/>
    <n v="245"/>
    <b v="1"/>
    <b v="0"/>
    <b v="1"/>
    <n v="0.53020900000000004"/>
    <n v="0.60767899999999997"/>
    <x v="14"/>
  </r>
  <r>
    <x v="146"/>
    <s v="peleke-1 + AntiBMPNN"/>
    <x v="9"/>
    <n v="0.2"/>
    <s v="derivative"/>
    <s v="sbio-nipahgpg-120"/>
    <s v="nipah_gpG_compout"/>
    <m/>
    <s v="EVQLVESGGGLVQPGGSLRLSCAASGFNISYSSIHWVRQAPGKGLEWVASISSYSGSTYYADSVKGRFTISADTSKNTAYLQMNSLRAEDTAVYYCARGGYVPVGWYALDYWGQGTLVTVSS"/>
    <s v="DIQMTQSPSSLSASVGDRVTITCRASQSVYTAVAWYQQKPGKAPKLLIYRASDRYFGVPSRFSGSRSGTDFTLTISSLQPEDFATYYCQQYYYYPLTFGQGTKVEIK"/>
    <b v="1"/>
    <s v="GGGSGGGSGGGSGGGS"/>
    <x v="144"/>
    <n v="245"/>
    <b v="1"/>
    <b v="0"/>
    <b v="1"/>
    <n v="0.18842400000000001"/>
    <n v="0.29170499999999999"/>
    <x v="14"/>
  </r>
  <r>
    <x v="147"/>
    <s v="peleke-1 + AntiBMPNN"/>
    <x v="9"/>
    <n v="0.4"/>
    <s v="derivative"/>
    <s v="sbio-nipahgpg-148"/>
    <s v="nipah_gpG_compout"/>
    <m/>
    <s v="EVQLVESGGGLVQPGGSLRLSCAASGFNISYSSIHWVRQAPGKGLEWVASISSYSGYTYYADSVKGRFTISADTSKNTAYLQMNSLRAEDTAVYYCARGGWRPIGSYALDYWGQGTLVTVSS"/>
    <s v="DIQMTQSPSSLSASVGDRVTITCRASQDVFSAVAWYQQKPGKAPKLLIYYASFLYSGVPSRFSGSRSGTDFTLTISSLQPEDFATYYCQQHSVVPITFGQGTKVEIK"/>
    <b v="1"/>
    <s v="GGGSGGGSGGGSGGGSGGGS"/>
    <x v="145"/>
    <n v="249"/>
    <b v="1"/>
    <b v="0"/>
    <b v="1"/>
    <n v="0.19544600000000001"/>
    <n v="0.27416499999999999"/>
    <x v="15"/>
  </r>
  <r>
    <x v="148"/>
    <s v="peleke-1 + AntiBMPNN"/>
    <x v="9"/>
    <n v="0.4"/>
    <s v="derivative"/>
    <s v="sbio-nipahgpg-148"/>
    <s v="nipah_gpG_compout"/>
    <m/>
    <s v="EVQLVESGGGLVQPGGSLRLSCAASGFNISYSSIHWVRQAPGKGLEWVASISSYSGSTYYADSVKGRFTISADTSKNTAYLQMNSLRAEDTAVYYCARGGYRPIGNYALDYWGQGTLVTVSS"/>
    <s v="DIQMTQSPSSLSASVGDRVTITCRASQDVDSAVAWYQQKPGKAPKLLIYYASFLYSGVPSRFSGSRSGTDFTLTISSLQPEDFATYYCQQHYVVPVTFGQGTKVEIK"/>
    <b v="1"/>
    <s v="GGGSGGGSGGGSGGGSGGGS"/>
    <x v="146"/>
    <n v="249"/>
    <b v="1"/>
    <b v="0"/>
    <b v="1"/>
    <n v="0"/>
    <n v="5.4689999999999999E-3"/>
    <x v="15"/>
  </r>
  <r>
    <x v="149"/>
    <s v="peleke-1 + AntiBMPNN"/>
    <x v="9"/>
    <n v="0.4"/>
    <s v="derivative"/>
    <s v="sbio-nipahgpg-148"/>
    <s v="nipah_gpG_compout"/>
    <m/>
    <s v="EVQLVESGGGLVQPGGSLRLSCAASGFNISYYSIHWVRQAPGKGLEWVASISSYSGYTYYADSVKGRFTISADTSKNTAYLQMNSLRAEDTAVYYCARGGDRPSGCYALDYWGQGTLVTVSS"/>
    <s v="DIQMTQSPSSLSASVGDRVTITCRASQDVFSAVAWYQQKPGKAPKLLIYFASFLYSGVPSRFSGSRSGTDFTLTISSLQPEDFATYYCQQHYEVPITFGQGTKVEIK"/>
    <b v="1"/>
    <s v="GGGSGGGSGGGSGGGSGGGS"/>
    <x v="147"/>
    <n v="249"/>
    <b v="1"/>
    <b v="0"/>
    <b v="1"/>
    <n v="0"/>
    <n v="5.169E-3"/>
    <x v="15"/>
  </r>
  <r>
    <x v="150"/>
    <s v="peleke-1 + AntiBMPNN"/>
    <x v="9"/>
    <n v="0.4"/>
    <s v="derivative"/>
    <s v="sbio-nipahgpg-148"/>
    <s v="nipah_gpG_compout"/>
    <m/>
    <s v="EVQLVESGGGLVQPGGSLRLSCAASGFNISYSSIHWVRQAPGKGLEWVASISSYSGYTYYADSVKGRFTISADTSKNTAYLQMNSLRAEDTAVYYCARGGSLPTGCYALDYWGQGTLVTVSS"/>
    <s v="DIQMTQSPSSLSASVGDRVTITCRASQDVDSAVAWYQQKPGKAPKLLIYFASSLYSGVPSRFSGSRSGTDFTLTISSLQPEDFATYYCQQHYDAPITFGQGTKVEIK"/>
    <b v="1"/>
    <s v="GGGSGGGSGGGSGGGSGGGS"/>
    <x v="148"/>
    <n v="249"/>
    <b v="1"/>
    <b v="0"/>
    <b v="1"/>
    <n v="0"/>
    <n v="0"/>
    <x v="15"/>
  </r>
  <r>
    <x v="151"/>
    <s v="peleke-1 + AntiBMPNN"/>
    <x v="9"/>
    <n v="0.4"/>
    <s v="derivative"/>
    <s v="sbio-nipahgpg-148"/>
    <s v="nipah_gpG_compout"/>
    <m/>
    <s v="EVQLVESGGGLVQPGGSLRLSCAASGFNISYSSIHWVRQAPGKGLEWVASISSYSGYTYYADSVKGRFTISADTSKNTAYLQMNSLRAEDTAVYYCARGGWYPWGCDALDYWGQGTLVTVSS"/>
    <s v="DIQMTQSPSSLSASVGDRVTITCRASQDVDSAVAWYQQKPGKAPKLLIYFASFLYSGVPSRFSGSRSGTDFTLTISSLQPEDFATYYCQQHYDVPITFGQGTKVEIK"/>
    <b v="1"/>
    <s v="GGGSGGGSGGGSGGGSGGGS"/>
    <x v="149"/>
    <n v="249"/>
    <b v="1"/>
    <b v="0"/>
    <b v="1"/>
    <n v="0.572295"/>
    <n v="0.62021400000000004"/>
    <x v="15"/>
  </r>
  <r>
    <x v="152"/>
    <s v="peleke-1 + AntiBMPNN"/>
    <x v="9"/>
    <n v="0.4"/>
    <s v="derivative"/>
    <s v="sbio-nipahgpg-148"/>
    <s v="nipah_gpG_compout"/>
    <m/>
    <s v="EVQLVESGGGLVQPGGSLRLSCAASGFNISYSSIHWVRQAPGKGLEWVASISSYSGYTYYADSVKGRFTISADTSKNTAYLQMNSLRAEDTAVYYCARGGDRPVGCYALDYWGQGTLVTVSS"/>
    <s v="DIQMTQSPSSLSASVGDRVTITCRASQDVTSAVAWYQQKPGKAPKLLIYSASFRYSGVPSRFSGSRSGTDFTLTISSLQPEDFATYYCQQHYVVPVTFGQGTKVEIK"/>
    <b v="1"/>
    <s v="GGGSGGGSGGGSGGGSGGGS"/>
    <x v="150"/>
    <n v="249"/>
    <b v="1"/>
    <b v="0"/>
    <b v="1"/>
    <n v="3.0435E-2"/>
    <n v="6.3978999999999994E-2"/>
    <x v="15"/>
  </r>
  <r>
    <x v="153"/>
    <s v="peleke-1 + AntiBMPNN"/>
    <x v="9"/>
    <n v="0.4"/>
    <s v="derivative"/>
    <s v="sbio-nipahgpg-148"/>
    <s v="nipah_gpG_compout"/>
    <m/>
    <s v="EVQLVESGGGLVQPGGSLRLSCAASGFNISYSSIHWVRQAPGKGLEWVASISSYSGYTYYADSVKGRFTISADTSKNTAYLQMNSLRAEDTAVYYCARGGWYPLGCYAMDYWGQGTLVTVSS"/>
    <s v="DIQMTQSPSSLSASVGDRVTITCRASQDVLSDVAWYQQKPGKAPKLLIYYASFRYSGVPSRFSGSRSGTDFTLTISSLQPEDFATYYCQQHYVVPVTFGQGTKVEIK"/>
    <b v="1"/>
    <s v="GGGSGGGSGGGSGGGSGGGS"/>
    <x v="151"/>
    <n v="249"/>
    <b v="1"/>
    <b v="0"/>
    <b v="1"/>
    <n v="0"/>
    <n v="4.908E-3"/>
    <x v="15"/>
  </r>
  <r>
    <x v="154"/>
    <s v="peleke-1 + AntiBMPNN"/>
    <x v="9"/>
    <n v="0.4"/>
    <s v="derivative"/>
    <s v="sbio-nipahgpg-148"/>
    <s v="nipah_gpG_compout"/>
    <m/>
    <s v="EVQLVESGGGLVQPGGSLRLSCAASGFNISYSSIHWVRQAPGKGLEWVASISSYSGYTYYADSVKGRFTISADTSKNTAYLQMNSLRAEDTAVYYCARGGWRPFGCYALDYWGQGTLVTVSS"/>
    <s v="DIQMTQSPSSLSASVGDRVTITCRASQDVFSAVAWYQQKPGKAPKLLIYSASFLYSGVPSRFSGSRSGTDFTLTISSLQPEDFATYYCQQHYIYPVTFGQGTKVEIK"/>
    <b v="1"/>
    <s v="GGGSGGGSGGGSGGGSGGGS"/>
    <x v="152"/>
    <n v="249"/>
    <b v="1"/>
    <b v="0"/>
    <b v="1"/>
    <n v="4.2744999999999998E-2"/>
    <n v="0.14049900000000001"/>
    <x v="15"/>
  </r>
  <r>
    <x v="155"/>
    <s v="peleke-1 + AntiBMPNN"/>
    <x v="9"/>
    <n v="0.4"/>
    <s v="derivative"/>
    <s v="sbio-nipahgpg-148"/>
    <s v="nipah_gpG_compout"/>
    <m/>
    <s v="EVQLVESGGGLVQPGGSLRLSCAASGFNISYSSIHWVRQAPGKGLEWVASISSYSGSTYYADSVKGRFTISADTSKNTAYLQMNSLRAEDTAVYYCARGGWYPWGNYALDYWGQGTLVTVSS"/>
    <s v="DIQMTQSPSSLSASVGDRVTITCRASQDVNTAVAWYQQKPGKAPKLLIYEASFRYSGVPSRFSGSRSGTDFTLTISSLQPEDFATYYCQQHYEVPITFGQGTKVEIK"/>
    <b v="1"/>
    <s v="GGGSGGGSGGGSGGGSGGGS"/>
    <x v="153"/>
    <n v="249"/>
    <b v="1"/>
    <b v="0"/>
    <b v="1"/>
    <n v="0"/>
    <n v="1.0083E-2"/>
    <x v="15"/>
  </r>
  <r>
    <x v="156"/>
    <s v="peleke-1 + AntiBMPNN"/>
    <x v="9"/>
    <n v="0.4"/>
    <s v="derivative"/>
    <s v="sbio-nipahgpg-148"/>
    <s v="nipah_gpG_compout"/>
    <m/>
    <s v="EVQLVESGGGLVQPGGSLRLSCAASGFNISYSSIHWVRQAPGKGLEWVASISSYSGSTYYADSVKGRFTISADTSKNTAYLQMNSLRAEDTAVYYCARGGSRPWGCYALDYWGQGTLVTVSS"/>
    <s v="DIQMTQSPSSLSASVGDRVTITCRASQDVFTAVAWYQQKPGKAPKLLIYFASFLYSGVPSRFSGSRSGTDFTLTISSLQPEDFATYYCQQYSIVPVTFGQGTKVEIK"/>
    <b v="1"/>
    <s v="GGGSGGGSGGGSGGGSGGGS"/>
    <x v="154"/>
    <n v="249"/>
    <b v="1"/>
    <b v="0"/>
    <b v="1"/>
    <n v="0"/>
    <n v="4.7800000000000004E-3"/>
    <x v="15"/>
  </r>
  <r>
    <x v="157"/>
    <s v="peleke-1 + AntiBMPNN"/>
    <x v="9"/>
    <n v="0.2"/>
    <s v="derivative"/>
    <s v="sbio-nipahgpg-148"/>
    <s v="nipah_gpG_compout"/>
    <n v="4"/>
    <s v="EVQLVESGGGLVQPGGSLRLSCAASGFNISYSSIHWVRQAPGKGLEWVASISSYSGSTYYADSVKGRFTISADTSKNTAYLQMNSLRAEDTAVYYCARGGDVPVGWYALDYWGQGTLVTVSS"/>
    <s v="DIQMTQSPSSLSASVGDRVTITCRASQSVYYAVAWYQQKPGKAPKLLIYRASDLYSGVPSRFSGSRSGTDFTLTISSLQPEDFATYYCQQYYSYPLTFGQGTKVEIK"/>
    <b v="1"/>
    <s v="GGGSGGGSGGGSGGGSGGGS"/>
    <x v="155"/>
    <n v="249"/>
    <b v="1"/>
    <b v="0"/>
    <b v="0"/>
    <m/>
    <m/>
    <x v="16"/>
  </r>
  <r>
    <x v="158"/>
    <m/>
    <x v="10"/>
    <m/>
    <m/>
    <m/>
    <m/>
    <m/>
    <m/>
    <m/>
    <m/>
    <m/>
    <x v="156"/>
    <m/>
    <m/>
    <m/>
    <m/>
    <m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5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4" firstHeaderRow="0" firstDataRow="0" firstDataCol="3" rowPageCount="1" colPageCount="1"/>
  <pivotFields count="20">
    <pivotField axis="axisRow" compact="0" outline="0" showAll="0" defaultSubtotal="0">
      <items count="1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5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</items>
    </pivotField>
    <pivotField compact="0" outline="0" showAll="0" defaultSubtotal="0"/>
    <pivotField axis="axisRow" compact="0" outline="0" showAll="0" defaultSubtotal="0">
      <items count="11">
        <item x="6"/>
        <item x="7"/>
        <item x="5"/>
        <item x="0"/>
        <item x="2"/>
        <item x="3"/>
        <item x="1"/>
        <item x="4"/>
        <item x="10"/>
        <item x="8"/>
        <item x="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58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56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m="1" x="157"/>
        <item x="15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21">
        <item h="1" x="8"/>
        <item h="1" x="0"/>
        <item h="1" x="1"/>
        <item h="1" x="2"/>
        <item h="1" x="3"/>
        <item h="1" x="4"/>
        <item h="1" x="5"/>
        <item h="1" m="1" x="20"/>
        <item h="1" x="6"/>
        <item h="1" m="1" x="19"/>
        <item h="1" x="7"/>
        <item h="1" x="9"/>
        <item h="1" x="10"/>
        <item h="1" x="11"/>
        <item h="1" m="1" x="18"/>
        <item h="1" x="12"/>
        <item h="1" m="1" x="17"/>
        <item h="1" x="13"/>
        <item h="1" x="14"/>
        <item h="1" x="15"/>
        <item x="16"/>
      </items>
    </pivotField>
  </pivotFields>
  <rowFields count="3">
    <field x="0"/>
    <field x="2"/>
    <field x="12"/>
  </rowFields>
  <rowItems count="1">
    <i>
      <x v="158"/>
      <x v="10"/>
      <x v="157"/>
    </i>
  </rowItems>
  <colItems count="1">
    <i/>
  </colItems>
  <pageFields count="1">
    <pageField fld="19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59"/>
  <sheetViews>
    <sheetView tabSelected="1" zoomScaleNormal="100" workbookViewId="0">
      <pane xSplit="1" ySplit="1" topLeftCell="M150" activePane="bottomRight" state="frozen"/>
      <selection pane="topRight" activeCell="B1" sqref="B1"/>
      <selection pane="bottomLeft" activeCell="A2" sqref="A2"/>
      <selection pane="bottomRight" activeCell="S159" sqref="S159"/>
    </sheetView>
  </sheetViews>
  <sheetFormatPr baseColWidth="10" defaultColWidth="9.1640625" defaultRowHeight="15" x14ac:dyDescent="0.2"/>
  <cols>
    <col min="1" max="1" width="17.83203125" style="1" customWidth="1"/>
    <col min="2" max="2" width="22.5" style="1" bestFit="1" customWidth="1"/>
    <col min="3" max="3" width="14.6640625" style="2" customWidth="1"/>
    <col min="4" max="4" width="11.6640625" style="4" customWidth="1"/>
    <col min="5" max="5" width="11.6640625" style="1" customWidth="1"/>
    <col min="6" max="6" width="18.5" style="1" bestFit="1" customWidth="1"/>
    <col min="7" max="7" width="19.5" style="1" bestFit="1" customWidth="1"/>
    <col min="8" max="8" width="8.6640625" style="1" bestFit="1" customWidth="1"/>
    <col min="9" max="9" width="54" style="2" customWidth="1"/>
    <col min="10" max="10" width="46.5" style="2" customWidth="1"/>
    <col min="11" max="11" width="16" style="1" customWidth="1"/>
    <col min="12" max="12" width="12" style="2" customWidth="1"/>
    <col min="13" max="13" width="71.33203125" style="2" customWidth="1"/>
    <col min="14" max="14" width="17.5" style="4" bestFit="1" customWidth="1"/>
    <col min="15" max="15" width="17.5" style="1" customWidth="1"/>
    <col min="16" max="16" width="19.83203125" style="1" bestFit="1" customWidth="1"/>
    <col min="17" max="17" width="27.83203125" style="1" bestFit="1" customWidth="1"/>
    <col min="18" max="19" width="12" style="4" bestFit="1" customWidth="1"/>
    <col min="20" max="20" width="23.6640625" style="4" bestFit="1" customWidth="1"/>
    <col min="21" max="21" width="22.5" style="2" bestFit="1" customWidth="1"/>
    <col min="22" max="22" width="22.5" style="4" bestFit="1" customWidth="1"/>
    <col min="23" max="16384" width="9.1640625" style="1"/>
  </cols>
  <sheetData>
    <row r="1" spans="1:22" s="3" customFormat="1" ht="16" x14ac:dyDescent="0.2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133</v>
      </c>
      <c r="S1" s="3" t="s">
        <v>132</v>
      </c>
      <c r="T1" s="3" t="s">
        <v>98</v>
      </c>
      <c r="U1" s="3" t="s">
        <v>194</v>
      </c>
      <c r="V1" s="7" t="s">
        <v>195</v>
      </c>
    </row>
    <row r="2" spans="1:22" ht="64" x14ac:dyDescent="0.2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 t="shared" ref="M2:M33" si="0"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4">
        <f t="shared" ref="N2:N33" si="1">LEN(M2)</f>
        <v>246</v>
      </c>
      <c r="O2" s="1" t="b">
        <f t="shared" ref="O2:O33" si="2">IF(N2&lt;=250,TRUE,FALSE)</f>
        <v>1</v>
      </c>
      <c r="P2" s="1" t="b">
        <f>TRUE()</f>
        <v>1</v>
      </c>
      <c r="Q2" s="1" t="b">
        <f>TRUE()</f>
        <v>1</v>
      </c>
      <c r="R2" s="4">
        <v>5.3039999999999997E-3</v>
      </c>
      <c r="S2" s="4">
        <v>2.5982999999999999E-2</v>
      </c>
      <c r="T2" s="10">
        <v>45968</v>
      </c>
      <c r="U2" s="2" t="s">
        <v>215</v>
      </c>
      <c r="V2" s="4">
        <v>0</v>
      </c>
    </row>
    <row r="3" spans="1:22" ht="64" x14ac:dyDescent="0.2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 t="shared" si="0"/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4">
        <f t="shared" si="1"/>
        <v>240</v>
      </c>
      <c r="O3" s="1" t="b">
        <f t="shared" si="2"/>
        <v>1</v>
      </c>
      <c r="P3" s="1" t="b">
        <f>TRUE()</f>
        <v>1</v>
      </c>
      <c r="Q3" s="1" t="b">
        <f>TRUE()</f>
        <v>1</v>
      </c>
      <c r="R3" s="4">
        <v>0</v>
      </c>
      <c r="S3" s="4">
        <v>5.2459999999999998E-3</v>
      </c>
      <c r="T3" s="10">
        <v>45969</v>
      </c>
      <c r="U3" s="2" t="s">
        <v>205</v>
      </c>
      <c r="V3" s="4">
        <v>0.25329299999999999</v>
      </c>
    </row>
    <row r="4" spans="1:22" ht="64" x14ac:dyDescent="0.2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4">
        <f t="shared" si="1"/>
        <v>239</v>
      </c>
      <c r="O4" s="1" t="b">
        <f t="shared" si="2"/>
        <v>1</v>
      </c>
      <c r="P4" s="1" t="b">
        <f>TRUE()</f>
        <v>1</v>
      </c>
      <c r="Q4" s="1" t="b">
        <f>TRUE()</f>
        <v>1</v>
      </c>
      <c r="R4" s="4">
        <v>4.7468000000000003E-2</v>
      </c>
      <c r="S4" s="4">
        <v>9.3658000000000005E-2</v>
      </c>
      <c r="T4" s="10">
        <v>45969</v>
      </c>
      <c r="U4" s="2" t="s">
        <v>208</v>
      </c>
      <c r="V4" s="4">
        <v>0.530196</v>
      </c>
    </row>
    <row r="5" spans="1:22" ht="64" x14ac:dyDescent="0.2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4">
        <f t="shared" si="1"/>
        <v>240</v>
      </c>
      <c r="O5" s="1" t="b">
        <f t="shared" si="2"/>
        <v>1</v>
      </c>
      <c r="P5" s="1" t="b">
        <f>TRUE()</f>
        <v>1</v>
      </c>
      <c r="Q5" s="1" t="b">
        <f>TRUE()</f>
        <v>1</v>
      </c>
      <c r="R5" s="4">
        <v>1.2938E-2</v>
      </c>
      <c r="S5" s="4">
        <v>5.7574E-2</v>
      </c>
      <c r="T5" s="10">
        <v>45969</v>
      </c>
      <c r="U5" s="2" t="s">
        <v>206</v>
      </c>
      <c r="V5" s="4">
        <v>0.233075</v>
      </c>
    </row>
    <row r="6" spans="1:22" ht="64" x14ac:dyDescent="0.2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4">
        <f t="shared" si="1"/>
        <v>238</v>
      </c>
      <c r="O6" s="1" t="b">
        <f t="shared" si="2"/>
        <v>1</v>
      </c>
      <c r="P6" s="1" t="b">
        <f>TRUE()</f>
        <v>1</v>
      </c>
      <c r="Q6" s="1" t="b">
        <f>TRUE()</f>
        <v>1</v>
      </c>
      <c r="R6" s="4">
        <v>0</v>
      </c>
      <c r="S6" s="4">
        <v>5.0559999999999997E-3</v>
      </c>
      <c r="T6" s="10">
        <v>45969</v>
      </c>
      <c r="U6" s="2" t="s">
        <v>207</v>
      </c>
      <c r="V6" s="4">
        <v>0</v>
      </c>
    </row>
    <row r="7" spans="1:22" ht="64" x14ac:dyDescent="0.2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4">
        <f t="shared" si="1"/>
        <v>247</v>
      </c>
      <c r="O7" s="1" t="b">
        <f t="shared" si="2"/>
        <v>1</v>
      </c>
      <c r="P7" s="1" t="b">
        <f>TRUE()</f>
        <v>1</v>
      </c>
      <c r="Q7" s="1" t="b">
        <f>TRUE()</f>
        <v>1</v>
      </c>
      <c r="R7" s="4">
        <v>0</v>
      </c>
      <c r="S7" s="4">
        <v>0</v>
      </c>
      <c r="T7" s="10">
        <v>45969</v>
      </c>
      <c r="U7" s="2" t="s">
        <v>211</v>
      </c>
      <c r="V7" s="4">
        <v>5.9117999999999997E-2</v>
      </c>
    </row>
    <row r="8" spans="1:22" ht="64" x14ac:dyDescent="0.2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4">
        <f t="shared" si="1"/>
        <v>246</v>
      </c>
      <c r="O8" s="1" t="b">
        <f t="shared" si="2"/>
        <v>1</v>
      </c>
      <c r="P8" s="1" t="b">
        <f>TRUE()</f>
        <v>1</v>
      </c>
      <c r="Q8" s="1" t="b">
        <f>TRUE()</f>
        <v>1</v>
      </c>
      <c r="R8" s="4">
        <v>0</v>
      </c>
      <c r="S8" s="4">
        <v>0</v>
      </c>
      <c r="T8" s="10">
        <v>45968</v>
      </c>
      <c r="U8" s="2" t="s">
        <v>216</v>
      </c>
      <c r="V8" s="4">
        <v>0</v>
      </c>
    </row>
    <row r="9" spans="1:22" ht="64" x14ac:dyDescent="0.2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4">
        <f t="shared" si="1"/>
        <v>246</v>
      </c>
      <c r="O9" s="1" t="b">
        <f t="shared" si="2"/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10">
        <v>45969</v>
      </c>
      <c r="U9" s="2" t="s">
        <v>209</v>
      </c>
      <c r="V9" s="4">
        <v>0</v>
      </c>
    </row>
    <row r="10" spans="1:22" ht="64" x14ac:dyDescent="0.2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4">
        <f t="shared" si="1"/>
        <v>246</v>
      </c>
      <c r="O10" s="1" t="b">
        <f t="shared" si="2"/>
        <v>1</v>
      </c>
      <c r="P10" s="1" t="b">
        <f>TRUE()</f>
        <v>1</v>
      </c>
      <c r="Q10" s="1" t="b">
        <f>TRUE()</f>
        <v>1</v>
      </c>
      <c r="R10" s="4">
        <v>0</v>
      </c>
      <c r="S10" s="4">
        <v>0</v>
      </c>
      <c r="T10" s="10">
        <v>45968</v>
      </c>
      <c r="U10" s="2" t="s">
        <v>218</v>
      </c>
      <c r="V10" s="4">
        <v>0</v>
      </c>
    </row>
    <row r="11" spans="1:22" ht="64" x14ac:dyDescent="0.2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4">
        <f t="shared" si="1"/>
        <v>246</v>
      </c>
      <c r="O11" s="1" t="b">
        <f t="shared" si="2"/>
        <v>1</v>
      </c>
      <c r="P11" s="1" t="b">
        <f>TRUE()</f>
        <v>1</v>
      </c>
      <c r="Q11" s="1" t="b">
        <f>TRUE()</f>
        <v>1</v>
      </c>
      <c r="R11" s="4">
        <v>0.222529</v>
      </c>
      <c r="S11" s="4">
        <v>0.346188</v>
      </c>
      <c r="T11" s="10">
        <v>45968</v>
      </c>
      <c r="U11" s="2" t="s">
        <v>217</v>
      </c>
      <c r="V11" s="4">
        <v>0</v>
      </c>
    </row>
    <row r="12" spans="1:22" ht="64" x14ac:dyDescent="0.2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4">
        <f t="shared" si="1"/>
        <v>247</v>
      </c>
      <c r="O12" s="1" t="b">
        <f t="shared" si="2"/>
        <v>1</v>
      </c>
      <c r="P12" s="1" t="b">
        <f>TRUE()</f>
        <v>1</v>
      </c>
      <c r="Q12" s="1" t="b">
        <f>TRUE()</f>
        <v>1</v>
      </c>
      <c r="T12" s="10">
        <v>45969</v>
      </c>
      <c r="U12" s="2" t="s">
        <v>210</v>
      </c>
      <c r="V12" s="4">
        <v>4.8820000000000001E-3</v>
      </c>
    </row>
    <row r="13" spans="1:22" ht="64" x14ac:dyDescent="0.2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4">
        <f t="shared" si="1"/>
        <v>246</v>
      </c>
      <c r="O13" s="1" t="b">
        <f t="shared" si="2"/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10">
        <v>45969</v>
      </c>
      <c r="U13" s="2" t="s">
        <v>212</v>
      </c>
      <c r="V13" s="4">
        <v>0</v>
      </c>
    </row>
    <row r="14" spans="1:22" ht="64" x14ac:dyDescent="0.2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4">
        <f t="shared" si="1"/>
        <v>246</v>
      </c>
      <c r="O14" s="1" t="b">
        <f t="shared" si="2"/>
        <v>1</v>
      </c>
      <c r="P14" s="1" t="b">
        <f>TRUE()</f>
        <v>1</v>
      </c>
      <c r="Q14" s="1" t="b">
        <f>TRUE()</f>
        <v>1</v>
      </c>
      <c r="R14" s="4">
        <v>0</v>
      </c>
      <c r="S14" s="4">
        <v>0</v>
      </c>
      <c r="T14" s="10">
        <v>45968</v>
      </c>
      <c r="U14" s="2" t="s">
        <v>219</v>
      </c>
      <c r="V14" s="4">
        <v>0.330536</v>
      </c>
    </row>
    <row r="15" spans="1:22" ht="64" x14ac:dyDescent="0.2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4">
        <f t="shared" si="1"/>
        <v>247</v>
      </c>
      <c r="O15" s="1" t="b">
        <f t="shared" si="2"/>
        <v>1</v>
      </c>
      <c r="P15" s="1" t="b">
        <f>TRUE()</f>
        <v>1</v>
      </c>
      <c r="Q15" s="1" t="b">
        <f>TRUE()</f>
        <v>1</v>
      </c>
      <c r="R15" s="4" t="e">
        <v>#N/A</v>
      </c>
      <c r="S15" s="4" t="e">
        <v>#N/A</v>
      </c>
      <c r="T15" s="10">
        <v>45969</v>
      </c>
      <c r="U15" s="2" t="s">
        <v>213</v>
      </c>
      <c r="V15" s="4">
        <v>0</v>
      </c>
    </row>
    <row r="16" spans="1:22" ht="64" x14ac:dyDescent="0.2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4">
        <f t="shared" si="1"/>
        <v>246</v>
      </c>
      <c r="O16" s="1" t="b">
        <f t="shared" si="2"/>
        <v>1</v>
      </c>
      <c r="P16" s="1" t="b">
        <f>TRUE()</f>
        <v>1</v>
      </c>
      <c r="Q16" s="1" t="b">
        <f>TRUE()</f>
        <v>1</v>
      </c>
      <c r="R16" s="4">
        <v>9.9030000000000003E-3</v>
      </c>
      <c r="S16" s="4">
        <v>2.6096000000000001E-2</v>
      </c>
      <c r="T16" s="10">
        <v>45968</v>
      </c>
      <c r="U16" s="2" t="s">
        <v>222</v>
      </c>
      <c r="V16" s="4">
        <v>5.1409999999999997E-3</v>
      </c>
    </row>
    <row r="17" spans="1:22" ht="64" x14ac:dyDescent="0.2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4">
        <f t="shared" si="1"/>
        <v>246</v>
      </c>
      <c r="O17" s="1" t="b">
        <f t="shared" si="2"/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10">
        <v>45969</v>
      </c>
      <c r="U17" s="2" t="s">
        <v>214</v>
      </c>
      <c r="V17" s="4">
        <v>0</v>
      </c>
    </row>
    <row r="18" spans="1:22" ht="64" x14ac:dyDescent="0.2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4">
        <f t="shared" si="1"/>
        <v>246</v>
      </c>
      <c r="O18" s="1" t="b">
        <f t="shared" si="2"/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10">
        <v>45970</v>
      </c>
      <c r="U18" s="2" t="s">
        <v>196</v>
      </c>
      <c r="V18" s="4">
        <v>0</v>
      </c>
    </row>
    <row r="19" spans="1:22" ht="64" x14ac:dyDescent="0.2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4">
        <f t="shared" si="1"/>
        <v>246</v>
      </c>
      <c r="O19" s="1" t="b">
        <f t="shared" si="2"/>
        <v>1</v>
      </c>
      <c r="P19" s="1" t="b">
        <f>TRUE()</f>
        <v>1</v>
      </c>
      <c r="Q19" s="1" t="b">
        <f>TRUE()</f>
        <v>1</v>
      </c>
      <c r="R19" s="4">
        <v>5.0000000000000001E-3</v>
      </c>
      <c r="S19" s="4">
        <v>5.3550000000000004E-3</v>
      </c>
      <c r="T19" s="10">
        <v>45970</v>
      </c>
      <c r="U19" s="2" t="s">
        <v>197</v>
      </c>
      <c r="V19" s="4">
        <v>0.10117900000000001</v>
      </c>
    </row>
    <row r="20" spans="1:22" ht="64" x14ac:dyDescent="0.2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4">
        <f t="shared" si="1"/>
        <v>246</v>
      </c>
      <c r="O20" s="1" t="b">
        <f t="shared" si="2"/>
        <v>1</v>
      </c>
      <c r="P20" s="1" t="b">
        <f>TRUE()</f>
        <v>1</v>
      </c>
      <c r="Q20" s="1" t="b">
        <f>TRUE()</f>
        <v>1</v>
      </c>
      <c r="R20" s="4">
        <v>5.1789999999999996E-3</v>
      </c>
      <c r="S20" s="4">
        <v>9.8119999999999995E-3</v>
      </c>
      <c r="T20" s="10">
        <v>45970</v>
      </c>
      <c r="U20" s="2" t="s">
        <v>198</v>
      </c>
      <c r="V20" s="4">
        <v>5.2560000000000003E-3</v>
      </c>
    </row>
    <row r="21" spans="1:22" ht="64" x14ac:dyDescent="0.2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4">
        <f t="shared" si="1"/>
        <v>246</v>
      </c>
      <c r="O21" s="1" t="b">
        <f t="shared" si="2"/>
        <v>1</v>
      </c>
      <c r="P21" s="1" t="b">
        <f>TRUE()</f>
        <v>1</v>
      </c>
      <c r="Q21" s="1" t="b">
        <f>TRUE()</f>
        <v>1</v>
      </c>
      <c r="R21" s="4">
        <v>0.28534100000000001</v>
      </c>
      <c r="S21" s="4">
        <v>0.38202399999999997</v>
      </c>
      <c r="T21" s="10">
        <v>45970</v>
      </c>
      <c r="U21" s="2" t="s">
        <v>200</v>
      </c>
      <c r="V21" s="4">
        <v>0</v>
      </c>
    </row>
    <row r="22" spans="1:22" ht="64" x14ac:dyDescent="0.2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4">
        <f t="shared" si="1"/>
        <v>246</v>
      </c>
      <c r="O22" s="1" t="b">
        <f t="shared" si="2"/>
        <v>1</v>
      </c>
      <c r="P22" s="1" t="b">
        <f>TRUE()</f>
        <v>1</v>
      </c>
      <c r="Q22" s="1" t="b">
        <f>TRUE()</f>
        <v>1</v>
      </c>
      <c r="R22" s="4">
        <v>0</v>
      </c>
      <c r="S22" s="4">
        <v>0</v>
      </c>
      <c r="T22" s="10">
        <v>45970</v>
      </c>
      <c r="U22" s="2" t="s">
        <v>199</v>
      </c>
      <c r="V22" s="4">
        <v>0.33924399999999999</v>
      </c>
    </row>
    <row r="23" spans="1:22" ht="64" x14ac:dyDescent="0.2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 t="shared" si="0"/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4">
        <f t="shared" si="1"/>
        <v>250</v>
      </c>
      <c r="O23" s="1" t="b">
        <f t="shared" si="2"/>
        <v>1</v>
      </c>
      <c r="P23" s="1" t="b">
        <f>TRUE()</f>
        <v>1</v>
      </c>
      <c r="Q23" s="1" t="b">
        <f>TRUE()</f>
        <v>1</v>
      </c>
      <c r="T23" s="10">
        <v>45970</v>
      </c>
      <c r="U23" s="2" t="s">
        <v>204</v>
      </c>
      <c r="V23" s="4">
        <v>0</v>
      </c>
    </row>
    <row r="24" spans="1:22" ht="64" x14ac:dyDescent="0.2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 t="shared" si="0"/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4">
        <f t="shared" si="1"/>
        <v>249</v>
      </c>
      <c r="O24" s="1" t="b">
        <f t="shared" si="2"/>
        <v>1</v>
      </c>
      <c r="P24" s="1" t="b">
        <f>TRUE()</f>
        <v>1</v>
      </c>
      <c r="Q24" s="1" t="b">
        <f>TRUE()</f>
        <v>1</v>
      </c>
      <c r="R24" s="4">
        <v>0</v>
      </c>
      <c r="S24" s="4">
        <v>0</v>
      </c>
      <c r="T24" s="10">
        <v>45968</v>
      </c>
      <c r="U24" s="2" t="s">
        <v>220</v>
      </c>
      <c r="V24" s="4">
        <v>5.3039999999999997E-3</v>
      </c>
    </row>
    <row r="25" spans="1:22" ht="64" x14ac:dyDescent="0.2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 t="shared" si="0"/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4">
        <f t="shared" si="1"/>
        <v>249</v>
      </c>
      <c r="O25" s="1" t="b">
        <f t="shared" si="2"/>
        <v>1</v>
      </c>
      <c r="P25" s="1" t="b">
        <f>TRUE()</f>
        <v>1</v>
      </c>
      <c r="Q25" s="1" t="b">
        <f>TRUE()</f>
        <v>1</v>
      </c>
      <c r="R25" s="4">
        <v>5.104E-3</v>
      </c>
      <c r="S25" s="4">
        <v>5.104E-3</v>
      </c>
      <c r="T25" s="10">
        <v>45968</v>
      </c>
      <c r="U25" s="2" t="s">
        <v>221</v>
      </c>
      <c r="V25" s="4">
        <v>3.4557999999999998E-2</v>
      </c>
    </row>
    <row r="26" spans="1:22" ht="64" x14ac:dyDescent="0.2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 t="shared" si="0"/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4">
        <f t="shared" si="1"/>
        <v>249</v>
      </c>
      <c r="O26" s="1" t="b">
        <f t="shared" si="2"/>
        <v>1</v>
      </c>
      <c r="P26" s="1" t="b">
        <f>TRUE()</f>
        <v>1</v>
      </c>
      <c r="Q26" s="1" t="b">
        <f>TRUE()</f>
        <v>1</v>
      </c>
      <c r="R26" s="4">
        <v>5.1330000000000004E-3</v>
      </c>
      <c r="S26" s="4">
        <v>1.3644E-2</v>
      </c>
      <c r="T26" s="10">
        <v>45970</v>
      </c>
      <c r="U26" s="2" t="s">
        <v>202</v>
      </c>
      <c r="V26" s="4">
        <v>0.177148</v>
      </c>
    </row>
    <row r="27" spans="1:22" ht="64" x14ac:dyDescent="0.2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 t="shared" si="0"/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4">
        <f t="shared" si="1"/>
        <v>249</v>
      </c>
      <c r="O27" s="1" t="b">
        <f t="shared" si="2"/>
        <v>1</v>
      </c>
      <c r="P27" s="1" t="b">
        <f>TRUE()</f>
        <v>1</v>
      </c>
      <c r="Q27" s="1" t="b">
        <f>TRUE()</f>
        <v>1</v>
      </c>
      <c r="R27" s="4">
        <v>0.55087299999999995</v>
      </c>
      <c r="S27" s="4">
        <v>0.73576600000000003</v>
      </c>
      <c r="T27" s="10">
        <v>45970</v>
      </c>
      <c r="U27" s="2" t="s">
        <v>201</v>
      </c>
      <c r="V27" s="4">
        <v>0.18701400000000001</v>
      </c>
    </row>
    <row r="28" spans="1:22" ht="64" x14ac:dyDescent="0.2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 t="shared" si="0"/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4">
        <f t="shared" si="1"/>
        <v>249</v>
      </c>
      <c r="O28" s="1" t="b">
        <f t="shared" si="2"/>
        <v>1</v>
      </c>
      <c r="P28" s="1" t="b">
        <f>TRUE()</f>
        <v>1</v>
      </c>
      <c r="Q28" s="1" t="b">
        <f>TRUE()</f>
        <v>1</v>
      </c>
      <c r="R28" s="4">
        <v>0</v>
      </c>
      <c r="S28" s="4">
        <v>0</v>
      </c>
      <c r="T28" s="10">
        <v>45970</v>
      </c>
      <c r="U28" s="2" t="s">
        <v>203</v>
      </c>
      <c r="V28" s="4">
        <v>0</v>
      </c>
    </row>
    <row r="29" spans="1:22" ht="64" x14ac:dyDescent="0.2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 t="shared" si="0"/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4">
        <f t="shared" si="1"/>
        <v>249</v>
      </c>
      <c r="O29" s="1" t="b">
        <f t="shared" si="2"/>
        <v>1</v>
      </c>
      <c r="P29" s="1" t="b">
        <f>TRUE()</f>
        <v>1</v>
      </c>
      <c r="Q29" s="1" t="b">
        <f>TRUE()</f>
        <v>1</v>
      </c>
      <c r="R29" s="4">
        <v>0</v>
      </c>
      <c r="S29" s="4">
        <v>5.1970000000000002E-3</v>
      </c>
      <c r="T29" s="10">
        <v>45968</v>
      </c>
      <c r="U29" s="2" t="s">
        <v>223</v>
      </c>
      <c r="V29" s="4">
        <v>0</v>
      </c>
    </row>
    <row r="30" spans="1:22" ht="64" x14ac:dyDescent="0.2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 t="shared" si="0"/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4">
        <f t="shared" si="1"/>
        <v>249</v>
      </c>
      <c r="O30" s="1" t="b">
        <f t="shared" si="2"/>
        <v>1</v>
      </c>
      <c r="P30" s="1" t="b">
        <f>TRUE()</f>
        <v>1</v>
      </c>
      <c r="Q30" s="1" t="b">
        <f>TRUE()</f>
        <v>1</v>
      </c>
      <c r="R30" s="4">
        <v>0.214564</v>
      </c>
      <c r="S30" s="4">
        <v>0.35564200000000001</v>
      </c>
      <c r="T30" s="10">
        <v>45968</v>
      </c>
      <c r="U30" s="2" t="s">
        <v>224</v>
      </c>
      <c r="V30" s="4">
        <v>0</v>
      </c>
    </row>
    <row r="31" spans="1:22" ht="64" x14ac:dyDescent="0.2">
      <c r="A31" s="1" t="s">
        <v>174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134</v>
      </c>
      <c r="J31" s="2" t="s">
        <v>135</v>
      </c>
      <c r="K31" s="1" t="b">
        <v>1</v>
      </c>
      <c r="L31" s="2" t="s">
        <v>125</v>
      </c>
      <c r="M31" s="2" t="str">
        <f t="shared" si="0"/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4">
        <f t="shared" si="1"/>
        <v>241</v>
      </c>
      <c r="O31" s="1" t="b">
        <f t="shared" si="2"/>
        <v>1</v>
      </c>
      <c r="P31" s="1" t="b">
        <v>0</v>
      </c>
      <c r="Q31" s="1" t="b">
        <f>TRUE()</f>
        <v>1</v>
      </c>
      <c r="R31" s="4">
        <v>4.9880000000000002E-3</v>
      </c>
      <c r="S31" s="4">
        <v>2.6955E-2</v>
      </c>
      <c r="T31" s="10">
        <v>45971</v>
      </c>
      <c r="U31" s="2" t="s">
        <v>245</v>
      </c>
      <c r="V31" s="4">
        <v>5.6360000000000004E-3</v>
      </c>
    </row>
    <row r="32" spans="1:22" ht="64" x14ac:dyDescent="0.2">
      <c r="A32" s="1" t="s">
        <v>175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136</v>
      </c>
      <c r="J32" s="2" t="s">
        <v>137</v>
      </c>
      <c r="K32" s="1" t="b">
        <v>1</v>
      </c>
      <c r="L32" s="2" t="s">
        <v>126</v>
      </c>
      <c r="M32" s="2" t="str">
        <f t="shared" si="0"/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4">
        <f t="shared" si="1"/>
        <v>248</v>
      </c>
      <c r="O32" s="1" t="b">
        <f t="shared" si="2"/>
        <v>1</v>
      </c>
      <c r="P32" s="1" t="b">
        <v>0</v>
      </c>
      <c r="Q32" s="1" t="b">
        <f>TRUE()</f>
        <v>1</v>
      </c>
      <c r="R32" s="4">
        <v>8.5369999999999994E-3</v>
      </c>
      <c r="S32" s="4">
        <v>3.8865999999999998E-2</v>
      </c>
      <c r="T32" s="10">
        <v>45971</v>
      </c>
      <c r="U32" s="2" t="s">
        <v>243</v>
      </c>
      <c r="V32" s="4">
        <v>4.999E-3</v>
      </c>
    </row>
    <row r="33" spans="1:22" ht="64" x14ac:dyDescent="0.2">
      <c r="A33" s="1" t="s">
        <v>176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138</v>
      </c>
      <c r="J33" s="2" t="s">
        <v>139</v>
      </c>
      <c r="K33" s="1" t="b">
        <v>1</v>
      </c>
      <c r="L33" s="2" t="s">
        <v>125</v>
      </c>
      <c r="M33" s="2" t="str">
        <f t="shared" si="0"/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4">
        <f t="shared" si="1"/>
        <v>242</v>
      </c>
      <c r="O33" s="1" t="b">
        <f t="shared" si="2"/>
        <v>1</v>
      </c>
      <c r="P33" s="1" t="b">
        <v>0</v>
      </c>
      <c r="Q33" s="1" t="b">
        <f>TRUE()</f>
        <v>1</v>
      </c>
      <c r="R33" s="4">
        <v>0.29099799999999998</v>
      </c>
      <c r="S33" s="4">
        <v>0.37256800000000001</v>
      </c>
      <c r="T33" s="10">
        <v>45971</v>
      </c>
      <c r="U33" s="2" t="s">
        <v>244</v>
      </c>
      <c r="V33" s="4">
        <v>0.17957600000000001</v>
      </c>
    </row>
    <row r="34" spans="1:22" ht="64" x14ac:dyDescent="0.2">
      <c r="A34" s="1" t="s">
        <v>177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140</v>
      </c>
      <c r="J34" s="2" t="s">
        <v>141</v>
      </c>
      <c r="K34" s="1" t="b">
        <v>1</v>
      </c>
      <c r="L34" s="2" t="s">
        <v>125</v>
      </c>
      <c r="M34" s="2" t="str">
        <f t="shared" ref="M34:M65" si="3">_xlfn.CONCAT(I34,L34,J34)</f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4">
        <f t="shared" ref="N34:N65" si="4">LEN(M34)</f>
        <v>240</v>
      </c>
      <c r="O34" s="1" t="b">
        <f t="shared" ref="O34:O65" si="5">IF(N34&lt;=250,TRUE,FALSE)</f>
        <v>1</v>
      </c>
      <c r="P34" s="1" t="b">
        <v>0</v>
      </c>
      <c r="Q34" s="1" t="b">
        <f>TRUE()</f>
        <v>1</v>
      </c>
      <c r="R34" s="4">
        <v>0</v>
      </c>
      <c r="S34" s="4">
        <v>5.372E-3</v>
      </c>
      <c r="T34" s="10">
        <v>45971</v>
      </c>
      <c r="U34" s="2" t="s">
        <v>236</v>
      </c>
      <c r="V34" s="4">
        <v>0.120976</v>
      </c>
    </row>
    <row r="35" spans="1:22" ht="64" x14ac:dyDescent="0.2">
      <c r="A35" s="1" t="s">
        <v>178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142</v>
      </c>
      <c r="J35" s="2" t="s">
        <v>143</v>
      </c>
      <c r="K35" s="1" t="b">
        <v>1</v>
      </c>
      <c r="L35" s="2" t="s">
        <v>125</v>
      </c>
      <c r="M35" s="2" t="str">
        <f t="shared" si="3"/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4">
        <f t="shared" si="4"/>
        <v>246</v>
      </c>
      <c r="O35" s="1" t="b">
        <f t="shared" si="5"/>
        <v>1</v>
      </c>
      <c r="P35" s="1" t="b">
        <v>0</v>
      </c>
      <c r="Q35" s="1" t="b">
        <f>TRUE()</f>
        <v>1</v>
      </c>
      <c r="R35" s="4">
        <v>0</v>
      </c>
      <c r="S35" s="4">
        <v>5.6839999999999998E-3</v>
      </c>
      <c r="T35" s="10">
        <v>45971</v>
      </c>
      <c r="U35" s="2" t="s">
        <v>237</v>
      </c>
      <c r="V35" s="4">
        <v>0.44340800000000002</v>
      </c>
    </row>
    <row r="36" spans="1:22" ht="64" x14ac:dyDescent="0.2">
      <c r="A36" s="1" t="s">
        <v>179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144</v>
      </c>
      <c r="J36" s="2" t="s">
        <v>145</v>
      </c>
      <c r="K36" s="1" t="b">
        <v>1</v>
      </c>
      <c r="L36" s="2" t="s">
        <v>125</v>
      </c>
      <c r="M36" s="2" t="str">
        <f t="shared" si="3"/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4">
        <f t="shared" si="4"/>
        <v>244</v>
      </c>
      <c r="O36" s="1" t="b">
        <f t="shared" si="5"/>
        <v>1</v>
      </c>
      <c r="P36" s="1" t="b">
        <v>0</v>
      </c>
      <c r="Q36" s="1" t="b">
        <f>TRUE()</f>
        <v>1</v>
      </c>
      <c r="R36" s="4">
        <v>5.4289999999999998E-3</v>
      </c>
      <c r="S36" s="4">
        <v>6.0312999999999999E-2</v>
      </c>
      <c r="T36" s="10">
        <v>45971</v>
      </c>
      <c r="U36" s="2" t="s">
        <v>238</v>
      </c>
      <c r="V36" s="4">
        <v>1.5703000000000002E-2</v>
      </c>
    </row>
    <row r="37" spans="1:22" ht="64" x14ac:dyDescent="0.2">
      <c r="A37" s="1" t="s">
        <v>180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146</v>
      </c>
      <c r="J37" s="2" t="s">
        <v>147</v>
      </c>
      <c r="K37" s="1" t="b">
        <v>1</v>
      </c>
      <c r="L37" s="2" t="s">
        <v>126</v>
      </c>
      <c r="M37" s="2" t="str">
        <f t="shared" si="3"/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4">
        <f t="shared" si="4"/>
        <v>247</v>
      </c>
      <c r="O37" s="1" t="b">
        <f t="shared" si="5"/>
        <v>1</v>
      </c>
      <c r="P37" s="1" t="b">
        <v>0</v>
      </c>
      <c r="Q37" s="1" t="b">
        <f>TRUE()</f>
        <v>1</v>
      </c>
      <c r="R37" s="4">
        <v>7.3824000000000001E-2</v>
      </c>
      <c r="S37" s="4">
        <v>0.14274700000000001</v>
      </c>
      <c r="T37" s="10">
        <v>45971</v>
      </c>
      <c r="U37" s="2" t="s">
        <v>239</v>
      </c>
      <c r="V37" s="4">
        <v>0</v>
      </c>
    </row>
    <row r="38" spans="1:22" ht="64" x14ac:dyDescent="0.2">
      <c r="A38" s="1" t="s">
        <v>181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148</v>
      </c>
      <c r="J38" s="2" t="s">
        <v>149</v>
      </c>
      <c r="K38" s="1" t="b">
        <v>1</v>
      </c>
      <c r="L38" s="2" t="s">
        <v>125</v>
      </c>
      <c r="M38" s="2" t="str">
        <f t="shared" si="3"/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4">
        <f t="shared" si="4"/>
        <v>237</v>
      </c>
      <c r="O38" s="1" t="b">
        <f t="shared" si="5"/>
        <v>1</v>
      </c>
      <c r="P38" s="1" t="b">
        <v>0</v>
      </c>
      <c r="Q38" s="1" t="b">
        <f>TRUE()</f>
        <v>1</v>
      </c>
      <c r="R38" s="4">
        <v>0</v>
      </c>
      <c r="S38" s="4">
        <v>5.7530000000000003E-3</v>
      </c>
      <c r="T38" s="10">
        <v>45971</v>
      </c>
      <c r="U38" s="2" t="s">
        <v>241</v>
      </c>
      <c r="V38" s="4">
        <v>5.2269999999999999E-3</v>
      </c>
    </row>
    <row r="39" spans="1:22" ht="64" x14ac:dyDescent="0.2">
      <c r="A39" s="1" t="s">
        <v>182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150</v>
      </c>
      <c r="J39" s="2" t="s">
        <v>151</v>
      </c>
      <c r="K39" s="1" t="b">
        <v>1</v>
      </c>
      <c r="L39" s="2" t="s">
        <v>125</v>
      </c>
      <c r="M39" s="2" t="str">
        <f t="shared" si="3"/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4">
        <f t="shared" si="4"/>
        <v>238</v>
      </c>
      <c r="O39" s="1" t="b">
        <f t="shared" si="5"/>
        <v>1</v>
      </c>
      <c r="P39" s="1" t="b">
        <v>0</v>
      </c>
      <c r="Q39" s="1" t="b">
        <f>TRUE()</f>
        <v>1</v>
      </c>
      <c r="R39" s="4">
        <v>0</v>
      </c>
      <c r="S39" s="4">
        <v>5.0790000000000002E-3</v>
      </c>
      <c r="T39" s="10">
        <v>45971</v>
      </c>
      <c r="U39" s="2" t="s">
        <v>240</v>
      </c>
      <c r="V39" s="4">
        <v>5.0480000000000004E-3</v>
      </c>
    </row>
    <row r="40" spans="1:22" ht="64" x14ac:dyDescent="0.2">
      <c r="A40" s="1" t="s">
        <v>183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152</v>
      </c>
      <c r="J40" s="2" t="s">
        <v>153</v>
      </c>
      <c r="K40" s="1" t="b">
        <v>1</v>
      </c>
      <c r="L40" s="2" t="s">
        <v>125</v>
      </c>
      <c r="M40" s="2" t="str">
        <f t="shared" si="3"/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4">
        <f t="shared" si="4"/>
        <v>248</v>
      </c>
      <c r="O40" s="1" t="b">
        <f t="shared" si="5"/>
        <v>1</v>
      </c>
      <c r="P40" s="1" t="b">
        <v>0</v>
      </c>
      <c r="Q40" s="1" t="b">
        <f>TRUE()</f>
        <v>1</v>
      </c>
      <c r="R40" s="4">
        <v>5.6490000000000004E-3</v>
      </c>
      <c r="S40" s="4">
        <v>1.4251E-2</v>
      </c>
      <c r="T40" s="10">
        <v>45971</v>
      </c>
      <c r="U40" s="2" t="s">
        <v>242</v>
      </c>
      <c r="V40" s="4">
        <v>0.11568299999999999</v>
      </c>
    </row>
    <row r="41" spans="1:22" ht="64" x14ac:dyDescent="0.2">
      <c r="A41" s="1" t="s">
        <v>184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154</v>
      </c>
      <c r="J41" s="2" t="s">
        <v>155</v>
      </c>
      <c r="K41" s="1" t="b">
        <v>1</v>
      </c>
      <c r="L41" s="2" t="s">
        <v>125</v>
      </c>
      <c r="M41" s="2" t="str">
        <f t="shared" si="3"/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4">
        <f t="shared" si="4"/>
        <v>246</v>
      </c>
      <c r="O41" s="1" t="b">
        <f t="shared" si="5"/>
        <v>1</v>
      </c>
      <c r="P41" s="1" t="b">
        <v>0</v>
      </c>
      <c r="Q41" s="1" t="b">
        <f>TRUE()</f>
        <v>1</v>
      </c>
      <c r="R41" s="4">
        <v>0</v>
      </c>
      <c r="S41" s="4">
        <v>5.3359999999999996E-3</v>
      </c>
      <c r="T41" s="10">
        <v>45972</v>
      </c>
      <c r="U41" s="2" t="s">
        <v>246</v>
      </c>
      <c r="V41" s="4">
        <v>0.152167</v>
      </c>
    </row>
    <row r="42" spans="1:22" ht="64" x14ac:dyDescent="0.2">
      <c r="A42" s="1" t="s">
        <v>185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156</v>
      </c>
      <c r="J42" s="2" t="s">
        <v>157</v>
      </c>
      <c r="K42" s="1" t="b">
        <v>1</v>
      </c>
      <c r="L42" s="2" t="s">
        <v>125</v>
      </c>
      <c r="M42" s="2" t="str">
        <f t="shared" si="3"/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4">
        <f t="shared" si="4"/>
        <v>241</v>
      </c>
      <c r="O42" s="1" t="b">
        <f t="shared" si="5"/>
        <v>1</v>
      </c>
      <c r="P42" s="1" t="b">
        <v>0</v>
      </c>
      <c r="Q42" s="1" t="b">
        <f>TRUE()</f>
        <v>1</v>
      </c>
      <c r="R42" s="4">
        <v>0</v>
      </c>
      <c r="S42" s="4">
        <v>0</v>
      </c>
      <c r="T42" s="10">
        <v>45972</v>
      </c>
      <c r="U42" s="2" t="s">
        <v>248</v>
      </c>
      <c r="V42" s="4">
        <v>0.28608699999999998</v>
      </c>
    </row>
    <row r="43" spans="1:22" ht="64" x14ac:dyDescent="0.2">
      <c r="A43" s="1" t="s">
        <v>186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158</v>
      </c>
      <c r="J43" s="2" t="s">
        <v>159</v>
      </c>
      <c r="K43" s="1" t="b">
        <v>1</v>
      </c>
      <c r="L43" s="2" t="s">
        <v>125</v>
      </c>
      <c r="M43" s="2" t="str">
        <f t="shared" si="3"/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4">
        <f t="shared" si="4"/>
        <v>233</v>
      </c>
      <c r="O43" s="1" t="b">
        <f t="shared" si="5"/>
        <v>1</v>
      </c>
      <c r="P43" s="1" t="b">
        <v>0</v>
      </c>
      <c r="Q43" s="1" t="b">
        <f>TRUE()</f>
        <v>1</v>
      </c>
      <c r="R43" s="4">
        <v>0</v>
      </c>
      <c r="S43" s="4">
        <v>0</v>
      </c>
      <c r="T43" s="10">
        <v>45972</v>
      </c>
      <c r="U43" s="2" t="s">
        <v>247</v>
      </c>
      <c r="V43" s="4">
        <v>0.35572100000000001</v>
      </c>
    </row>
    <row r="44" spans="1:22" ht="64" x14ac:dyDescent="0.2">
      <c r="A44" s="1" t="s">
        <v>187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160</v>
      </c>
      <c r="J44" s="2" t="s">
        <v>161</v>
      </c>
      <c r="K44" s="1" t="b">
        <v>1</v>
      </c>
      <c r="L44" s="2" t="s">
        <v>125</v>
      </c>
      <c r="M44" s="2" t="str">
        <f t="shared" si="3"/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4">
        <f t="shared" si="4"/>
        <v>234</v>
      </c>
      <c r="O44" s="1" t="b">
        <f t="shared" si="5"/>
        <v>1</v>
      </c>
      <c r="P44" s="1" t="b">
        <v>0</v>
      </c>
      <c r="Q44" s="1" t="b">
        <f>TRUE()</f>
        <v>1</v>
      </c>
      <c r="R44" s="4">
        <v>0</v>
      </c>
      <c r="S44" s="4">
        <v>5.7590000000000002E-3</v>
      </c>
      <c r="T44" s="10">
        <v>45972</v>
      </c>
      <c r="U44" s="2" t="s">
        <v>250</v>
      </c>
      <c r="V44" s="4">
        <v>0.29531000000000002</v>
      </c>
    </row>
    <row r="45" spans="1:22" ht="64" x14ac:dyDescent="0.2">
      <c r="A45" s="1" t="s">
        <v>188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162</v>
      </c>
      <c r="J45" s="2" t="s">
        <v>163</v>
      </c>
      <c r="K45" s="1" t="b">
        <v>1</v>
      </c>
      <c r="L45" s="2" t="s">
        <v>125</v>
      </c>
      <c r="M45" s="2" t="str">
        <f t="shared" si="3"/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4">
        <f t="shared" si="4"/>
        <v>242</v>
      </c>
      <c r="O45" s="1" t="b">
        <f t="shared" si="5"/>
        <v>1</v>
      </c>
      <c r="P45" s="1" t="b">
        <v>0</v>
      </c>
      <c r="Q45" s="1" t="b">
        <f>TRUE()</f>
        <v>1</v>
      </c>
      <c r="R45" s="4">
        <v>0</v>
      </c>
      <c r="S45" s="4">
        <v>5.1970000000000002E-3</v>
      </c>
      <c r="T45" s="10">
        <v>45972</v>
      </c>
      <c r="U45" s="2" t="s">
        <v>249</v>
      </c>
      <c r="V45" s="4">
        <v>0.27838000000000002</v>
      </c>
    </row>
    <row r="46" spans="1:22" ht="64" x14ac:dyDescent="0.2">
      <c r="A46" s="1" t="s">
        <v>189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164</v>
      </c>
      <c r="J46" s="2" t="s">
        <v>165</v>
      </c>
      <c r="K46" s="1" t="b">
        <v>1</v>
      </c>
      <c r="L46" s="2" t="s">
        <v>126</v>
      </c>
      <c r="M46" s="2" t="str">
        <f t="shared" si="3"/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4">
        <f t="shared" si="4"/>
        <v>247</v>
      </c>
      <c r="O46" s="1" t="b">
        <f t="shared" si="5"/>
        <v>1</v>
      </c>
      <c r="P46" s="1" t="b">
        <v>0</v>
      </c>
      <c r="Q46" s="1" t="b">
        <f>TRUE()</f>
        <v>1</v>
      </c>
      <c r="R46" s="4">
        <v>5.5849999999999997E-3</v>
      </c>
      <c r="S46" s="4">
        <v>5.5849999999999997E-3</v>
      </c>
      <c r="T46" s="10">
        <v>45972</v>
      </c>
      <c r="U46" s="2" t="s">
        <v>189</v>
      </c>
      <c r="V46" s="4">
        <v>0.35131800000000002</v>
      </c>
    </row>
    <row r="47" spans="1:22" ht="64" x14ac:dyDescent="0.2">
      <c r="A47" s="1" t="s">
        <v>190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166</v>
      </c>
      <c r="J47" s="2" t="s">
        <v>167</v>
      </c>
      <c r="K47" s="1" t="b">
        <v>1</v>
      </c>
      <c r="L47" s="2" t="s">
        <v>125</v>
      </c>
      <c r="M47" s="2" t="str">
        <f t="shared" si="3"/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4">
        <f t="shared" si="4"/>
        <v>247</v>
      </c>
      <c r="O47" s="1" t="b">
        <f t="shared" si="5"/>
        <v>1</v>
      </c>
      <c r="P47" s="1" t="b">
        <v>0</v>
      </c>
      <c r="Q47" s="1" t="b">
        <f>TRUE()</f>
        <v>1</v>
      </c>
      <c r="R47" s="4">
        <v>0</v>
      </c>
      <c r="S47" s="4">
        <v>1.9698E-2</v>
      </c>
      <c r="T47" s="10">
        <v>45972</v>
      </c>
      <c r="U47" s="2" t="s">
        <v>253</v>
      </c>
      <c r="V47" s="4">
        <v>7.9927999999999999E-2</v>
      </c>
    </row>
    <row r="48" spans="1:22" ht="64" x14ac:dyDescent="0.2">
      <c r="A48" s="1" t="s">
        <v>191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168</v>
      </c>
      <c r="J48" s="2" t="s">
        <v>169</v>
      </c>
      <c r="K48" s="1" t="b">
        <v>1</v>
      </c>
      <c r="L48" s="2" t="s">
        <v>125</v>
      </c>
      <c r="M48" s="2" t="str">
        <f t="shared" si="3"/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4">
        <f t="shared" si="4"/>
        <v>241</v>
      </c>
      <c r="O48" s="1" t="b">
        <f t="shared" si="5"/>
        <v>1</v>
      </c>
      <c r="P48" s="1" t="b">
        <v>0</v>
      </c>
      <c r="Q48" s="1" t="b">
        <f>TRUE()</f>
        <v>1</v>
      </c>
      <c r="R48" s="4">
        <v>0</v>
      </c>
      <c r="S48" s="4">
        <v>0</v>
      </c>
      <c r="T48" s="10">
        <v>45972</v>
      </c>
      <c r="U48" s="2" t="s">
        <v>254</v>
      </c>
      <c r="V48" s="4">
        <v>4.8339999999999998E-3</v>
      </c>
    </row>
    <row r="49" spans="1:22" ht="64" x14ac:dyDescent="0.2">
      <c r="A49" s="1" t="s">
        <v>192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170</v>
      </c>
      <c r="J49" s="2" t="s">
        <v>171</v>
      </c>
      <c r="K49" s="1" t="b">
        <v>1</v>
      </c>
      <c r="L49" s="2" t="s">
        <v>125</v>
      </c>
      <c r="M49" s="2" t="str">
        <f t="shared" si="3"/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4">
        <f t="shared" si="4"/>
        <v>242</v>
      </c>
      <c r="O49" s="1" t="b">
        <f t="shared" si="5"/>
        <v>1</v>
      </c>
      <c r="P49" s="1" t="b">
        <v>0</v>
      </c>
      <c r="Q49" s="1" t="b">
        <f>TRUE()</f>
        <v>1</v>
      </c>
      <c r="T49" s="10">
        <v>45972</v>
      </c>
      <c r="U49" s="2" t="s">
        <v>251</v>
      </c>
      <c r="V49" s="4">
        <v>0.51755099999999998</v>
      </c>
    </row>
    <row r="50" spans="1:22" ht="64" x14ac:dyDescent="0.2">
      <c r="A50" s="1" t="s">
        <v>193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172</v>
      </c>
      <c r="J50" s="2" t="s">
        <v>173</v>
      </c>
      <c r="K50" s="1" t="b">
        <v>1</v>
      </c>
      <c r="L50" s="2" t="s">
        <v>125</v>
      </c>
      <c r="M50" s="2" t="str">
        <f t="shared" si="3"/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4">
        <f t="shared" si="4"/>
        <v>245</v>
      </c>
      <c r="O50" s="1" t="b">
        <f t="shared" si="5"/>
        <v>1</v>
      </c>
      <c r="P50" s="1" t="b">
        <v>0</v>
      </c>
      <c r="Q50" s="1" t="b">
        <f>TRUE()</f>
        <v>1</v>
      </c>
      <c r="R50" s="4">
        <v>0</v>
      </c>
      <c r="S50" s="4">
        <v>0</v>
      </c>
      <c r="T50" s="10">
        <v>45972</v>
      </c>
      <c r="U50" s="2" t="s">
        <v>252</v>
      </c>
      <c r="V50" s="4">
        <v>0.40934900000000002</v>
      </c>
    </row>
    <row r="51" spans="1:22" ht="64" x14ac:dyDescent="0.2">
      <c r="A51" s="1" t="s">
        <v>263</v>
      </c>
      <c r="B51" s="1" t="s">
        <v>18</v>
      </c>
      <c r="C51" s="2" t="s">
        <v>19</v>
      </c>
      <c r="D51" s="4">
        <v>0.2</v>
      </c>
      <c r="E51" s="1" t="s">
        <v>42</v>
      </c>
      <c r="G51" s="1" t="s">
        <v>258</v>
      </c>
      <c r="I51" s="2" t="s">
        <v>293</v>
      </c>
      <c r="J51" s="2" t="s">
        <v>294</v>
      </c>
      <c r="K51" s="1" t="b">
        <v>1</v>
      </c>
      <c r="L51" s="2" t="s">
        <v>125</v>
      </c>
      <c r="M51" s="2" t="str">
        <f t="shared" si="3"/>
        <v>QVQLQESGPGLVKPSETLSLTCTVSGGSVSSGGYFWSWIRQPPGKGLEWIGCIYYSGSTNYNPSLKSRVTISVDTSKNQFSLKLSSVTAADTAVYYCARVDSFYYGMDVWGQGTTVTVSSGGGSGGGSGGGSGGGSDIQMTQSPSSLSASVGDRVTITCRASQGIRNDLGWYQQKPGKAPKLLIYAASSLQSGVPSRFSGSGSGTDFTLTISSLQPEDFATYYCQQSYSTPRTFGQGTKVEIK</v>
      </c>
      <c r="N51" s="4">
        <f t="shared" si="4"/>
        <v>243</v>
      </c>
      <c r="O51" s="1" t="b">
        <f t="shared" si="5"/>
        <v>1</v>
      </c>
      <c r="P51" s="1" t="b">
        <v>0</v>
      </c>
      <c r="Q51" s="1" t="b">
        <f>TRUE()</f>
        <v>1</v>
      </c>
      <c r="R51" s="4">
        <v>0.54889900000000003</v>
      </c>
      <c r="S51" s="4">
        <v>0.65651000000000004</v>
      </c>
      <c r="T51" s="10">
        <v>45973</v>
      </c>
      <c r="U51" s="2" t="s">
        <v>345</v>
      </c>
      <c r="V51" s="4">
        <v>0.46119900000000003</v>
      </c>
    </row>
    <row r="52" spans="1:22" ht="64" x14ac:dyDescent="0.2">
      <c r="A52" s="1" t="s">
        <v>264</v>
      </c>
      <c r="B52" s="1" t="s">
        <v>18</v>
      </c>
      <c r="C52" s="2" t="s">
        <v>19</v>
      </c>
      <c r="D52" s="4">
        <v>0.2</v>
      </c>
      <c r="E52" s="1" t="s">
        <v>42</v>
      </c>
      <c r="G52" s="1" t="s">
        <v>258</v>
      </c>
      <c r="I52" s="2" t="s">
        <v>295</v>
      </c>
      <c r="J52" s="2" t="s">
        <v>296</v>
      </c>
      <c r="K52" s="1" t="b">
        <v>1</v>
      </c>
      <c r="L52" s="2" t="s">
        <v>125</v>
      </c>
      <c r="M52" s="2" t="str">
        <f t="shared" si="3"/>
        <v>EVQLVESGGGLVQPGGSLRLSCAASGFTFSSYAMSWVRQAPGKGLEWVSAISGSGGSTYYADSVKGRFTISRDNSKNTLYLQMNSLRAEDTAVYYCARQVWFGGFDYWGQGTLVTVSSGGGSGGGSGGGSGGGSDIQMTQSPSSLSASVGDRVTITCRASQSVSSAVAWYQQKPGKAPKLLIYSASSLYSGVPSRFSGSRSGTDFTLTISSLQPEDFATYYCQQYKYVPVTFGQGTKVEIK</v>
      </c>
      <c r="N52" s="4">
        <f t="shared" si="4"/>
        <v>241</v>
      </c>
      <c r="O52" s="1" t="b">
        <f t="shared" si="5"/>
        <v>1</v>
      </c>
      <c r="P52" s="1" t="b">
        <v>0</v>
      </c>
      <c r="Q52" s="1" t="b">
        <f>TRUE()</f>
        <v>1</v>
      </c>
      <c r="R52" s="4">
        <v>5.4320000000000002E-3</v>
      </c>
      <c r="S52" s="4">
        <v>2.4593E-2</v>
      </c>
      <c r="T52" s="10">
        <v>45973</v>
      </c>
      <c r="U52" s="2" t="s">
        <v>346</v>
      </c>
      <c r="V52" s="4">
        <v>0.43406800000000001</v>
      </c>
    </row>
    <row r="53" spans="1:22" ht="64" x14ac:dyDescent="0.2">
      <c r="A53" s="1" t="s">
        <v>265</v>
      </c>
      <c r="B53" s="1" t="s">
        <v>18</v>
      </c>
      <c r="C53" s="2" t="s">
        <v>19</v>
      </c>
      <c r="D53" s="4">
        <v>0.2</v>
      </c>
      <c r="E53" s="1" t="s">
        <v>42</v>
      </c>
      <c r="G53" s="1" t="s">
        <v>258</v>
      </c>
      <c r="I53" s="2" t="s">
        <v>297</v>
      </c>
      <c r="J53" s="2" t="s">
        <v>296</v>
      </c>
      <c r="K53" s="1" t="b">
        <v>1</v>
      </c>
      <c r="L53" s="2" t="s">
        <v>125</v>
      </c>
      <c r="M53" s="2" t="str">
        <f t="shared" si="3"/>
        <v>EVQLVESGGGLVQPGGSLRLSCAASGFNVSSSYIHWVRQAPGKGLEWVASISSYYGYTYYADSVKGRFTISADTSKNTAYLQMNSLRAEDTAVYYCARSRQFWYSGLDYWGQGTLVTVSSGGGSGGGSGGGSGGGSDIQMTQSPSSLSASVGDRVTITCRASQSVSSAVAWYQQKPGKAPKLLIYSASSLYSGVPSRFSGSRSGTDFTLTISSLQPEDFATYYCQQYKYVPVTFGQGTKVEIK</v>
      </c>
      <c r="N53" s="4">
        <f t="shared" si="4"/>
        <v>243</v>
      </c>
      <c r="O53" s="1" t="b">
        <f t="shared" si="5"/>
        <v>1</v>
      </c>
      <c r="P53" s="1" t="b">
        <v>0</v>
      </c>
      <c r="Q53" s="1" t="b">
        <f>TRUE()</f>
        <v>1</v>
      </c>
      <c r="R53" s="4">
        <v>0.13125000000000001</v>
      </c>
      <c r="S53" s="4">
        <v>0.22309999999999999</v>
      </c>
      <c r="T53" s="10">
        <v>45973</v>
      </c>
      <c r="U53" s="2" t="s">
        <v>347</v>
      </c>
      <c r="V53" s="4">
        <v>4.9569999999999996E-3</v>
      </c>
    </row>
    <row r="54" spans="1:22" ht="64" x14ac:dyDescent="0.2">
      <c r="A54" s="1" t="s">
        <v>266</v>
      </c>
      <c r="B54" s="1" t="s">
        <v>18</v>
      </c>
      <c r="C54" s="2" t="s">
        <v>19</v>
      </c>
      <c r="D54" s="4">
        <v>0.2</v>
      </c>
      <c r="E54" s="1" t="s">
        <v>42</v>
      </c>
      <c r="G54" s="1" t="s">
        <v>258</v>
      </c>
      <c r="I54" s="2" t="s">
        <v>298</v>
      </c>
      <c r="J54" s="2" t="s">
        <v>296</v>
      </c>
      <c r="K54" s="1" t="b">
        <v>1</v>
      </c>
      <c r="L54" s="2" t="s">
        <v>125</v>
      </c>
      <c r="M54" s="2" t="str">
        <f t="shared" si="3"/>
        <v>EVQLVESGGGLVQPGGSLRLSCAASGFNISSSSIHWVRQAPGKGLEWVASIYSYSGYTSYADSVKGRFTISADTSKNTAYLQMNSLRAEDTAVYYCARGGSSYFGYYAMDYWGQGTLVTVSSGGGSGGGSGGGSGGGSDIQMTQSPSSLSASVGDRVTITCRASQSVSSAVAWYQQKPGKAPKLLIYSASSLYSGVPSRFSGSRSGTDFTLTISSLQPEDFATYYCQQYKYVPVTFGQGTKVEIK</v>
      </c>
      <c r="N54" s="4">
        <f t="shared" si="4"/>
        <v>245</v>
      </c>
      <c r="O54" s="1" t="b">
        <f t="shared" si="5"/>
        <v>1</v>
      </c>
      <c r="P54" s="1" t="b">
        <v>0</v>
      </c>
      <c r="Q54" s="1" t="b">
        <f>TRUE()</f>
        <v>1</v>
      </c>
      <c r="R54" s="4">
        <v>0</v>
      </c>
      <c r="S54" s="4">
        <v>4.986E-3</v>
      </c>
      <c r="T54" s="10">
        <v>45974</v>
      </c>
      <c r="U54" s="2" t="s">
        <v>372</v>
      </c>
      <c r="V54" s="4">
        <v>0.63002499999999995</v>
      </c>
    </row>
    <row r="55" spans="1:22" ht="64" x14ac:dyDescent="0.2">
      <c r="A55" s="1" t="s">
        <v>267</v>
      </c>
      <c r="B55" s="1" t="s">
        <v>18</v>
      </c>
      <c r="C55" s="2" t="s">
        <v>19</v>
      </c>
      <c r="D55" s="4">
        <v>0.2</v>
      </c>
      <c r="E55" s="1" t="s">
        <v>42</v>
      </c>
      <c r="G55" s="1" t="s">
        <v>258</v>
      </c>
      <c r="I55" s="2" t="s">
        <v>299</v>
      </c>
      <c r="J55" s="2" t="s">
        <v>300</v>
      </c>
      <c r="K55" s="1" t="b">
        <v>1</v>
      </c>
      <c r="L55" s="2" t="s">
        <v>125</v>
      </c>
      <c r="M55" s="2" t="str">
        <f t="shared" si="3"/>
        <v>QVQLVQSGAEVKKPGSSVKVSCKASGGTFSSYSISWVRQAPGQGLEWMGGIIIFGTANYAQKFQGRVTITADESTSTAYMELSSLRSEDTAVYYCARGQGTLVDFYWGQGTLVTVSSGGGSGGGSGGGSGGGSDIQMTQSPSSLSASVGDRVTITCRASQSISSYLNWYQQKPGKAPKLLIYAASSLQSGVPSRFSGSGSGTDFTLTISSLQPEDFATYYCQQSYSTPRTFGQGTKVEIK</v>
      </c>
      <c r="N55" s="4">
        <f t="shared" si="4"/>
        <v>240</v>
      </c>
      <c r="O55" s="1" t="b">
        <f t="shared" si="5"/>
        <v>1</v>
      </c>
      <c r="P55" s="1" t="b">
        <v>0</v>
      </c>
      <c r="Q55" s="1" t="b">
        <f>TRUE()</f>
        <v>1</v>
      </c>
      <c r="R55" s="4">
        <v>5.679E-3</v>
      </c>
      <c r="S55" s="4">
        <v>5.7196999999999998E-2</v>
      </c>
      <c r="T55" s="10">
        <v>45974</v>
      </c>
      <c r="U55" s="11" t="s">
        <v>381</v>
      </c>
    </row>
    <row r="56" spans="1:22" ht="64" x14ac:dyDescent="0.2">
      <c r="A56" s="1" t="s">
        <v>268</v>
      </c>
      <c r="B56" s="1" t="s">
        <v>18</v>
      </c>
      <c r="C56" s="2" t="s">
        <v>19</v>
      </c>
      <c r="D56" s="4">
        <v>0.2</v>
      </c>
      <c r="E56" s="1" t="s">
        <v>42</v>
      </c>
      <c r="G56" s="1" t="s">
        <v>258</v>
      </c>
      <c r="I56" s="2" t="s">
        <v>301</v>
      </c>
      <c r="J56" s="2" t="s">
        <v>296</v>
      </c>
      <c r="K56" s="1" t="b">
        <v>1</v>
      </c>
      <c r="L56" s="2" t="s">
        <v>125</v>
      </c>
      <c r="M56" s="2" t="str">
        <f t="shared" si="3"/>
        <v>EVQLVESGGGLVQPGGSLRLSCAASGFNVSYYSIHWVRQAPGKGLEWVASIYPYSGYTNYADSVKGRFTISADTSKNTAYLQMNSLRAEDTAVYYCARYYGYGYWGYAMDYWGQGTLVTVSSGGGSGGGSGGGSGGGSDIQMTQSPSSLSASVGDRVTITCRASQSVSSAVAWYQQKPGKAPKLLIYSASSLYSGVPSRFSGSRSGTDFTLTISSLQPEDFATYYCQQYKYVPVTFGQGTKVEIK</v>
      </c>
      <c r="N56" s="4">
        <f t="shared" si="4"/>
        <v>245</v>
      </c>
      <c r="O56" s="1" t="b">
        <f t="shared" si="5"/>
        <v>1</v>
      </c>
      <c r="P56" s="1" t="b">
        <v>0</v>
      </c>
      <c r="Q56" s="1" t="b">
        <f>TRUE()</f>
        <v>1</v>
      </c>
      <c r="R56" s="4">
        <v>0</v>
      </c>
      <c r="S56" s="4">
        <v>5.3839999999999999E-3</v>
      </c>
      <c r="T56" s="10">
        <v>45974</v>
      </c>
      <c r="U56" s="2" t="s">
        <v>373</v>
      </c>
      <c r="V56" s="4">
        <v>0.33044200000000001</v>
      </c>
    </row>
    <row r="57" spans="1:22" ht="64" x14ac:dyDescent="0.2">
      <c r="A57" s="1" t="s">
        <v>269</v>
      </c>
      <c r="B57" s="1" t="s">
        <v>18</v>
      </c>
      <c r="C57" s="2" t="s">
        <v>19</v>
      </c>
      <c r="D57" s="4">
        <v>0.2</v>
      </c>
      <c r="E57" s="1" t="s">
        <v>42</v>
      </c>
      <c r="G57" s="1" t="s">
        <v>258</v>
      </c>
      <c r="I57" s="2" t="s">
        <v>302</v>
      </c>
      <c r="J57" s="2" t="s">
        <v>296</v>
      </c>
      <c r="K57" s="1" t="b">
        <v>1</v>
      </c>
      <c r="L57" s="2" t="s">
        <v>125</v>
      </c>
      <c r="M57" s="2" t="str">
        <f t="shared" si="3"/>
        <v>EVQLVESGGGLVQPGGSLRLSCAASGFTFSSYAMSWVRQAPGKGLEWVSAISGSGGSTYYADSVKGRFTISRDNSKNTLYLQMNSLRAEDTAVYYCARGYQVYFDYWGQGTLVTVSSGGGSGGGSGGGSGGGSDIQMTQSPSSLSASVGDRVTITCRASQSVSSAVAWYQQKPGKAPKLLIYSASSLYSGVPSRFSGSRSGTDFTLTISSLQPEDFATYYCQQYKYVPVTFGQGTKVEIK</v>
      </c>
      <c r="N57" s="4">
        <f t="shared" si="4"/>
        <v>240</v>
      </c>
      <c r="O57" s="1" t="b">
        <f t="shared" si="5"/>
        <v>1</v>
      </c>
      <c r="P57" s="1" t="b">
        <v>0</v>
      </c>
      <c r="Q57" s="1" t="b">
        <f>TRUE()</f>
        <v>1</v>
      </c>
      <c r="R57" s="4">
        <v>0</v>
      </c>
      <c r="S57" s="4">
        <v>0</v>
      </c>
      <c r="T57" s="10">
        <v>45976</v>
      </c>
      <c r="U57" s="11" t="s">
        <v>381</v>
      </c>
    </row>
    <row r="58" spans="1:22" ht="64" x14ac:dyDescent="0.2">
      <c r="A58" s="1" t="s">
        <v>270</v>
      </c>
      <c r="B58" s="1" t="s">
        <v>18</v>
      </c>
      <c r="C58" s="2" t="s">
        <v>19</v>
      </c>
      <c r="D58" s="4">
        <v>0.2</v>
      </c>
      <c r="E58" s="1" t="s">
        <v>42</v>
      </c>
      <c r="G58" s="1" t="s">
        <v>258</v>
      </c>
      <c r="I58" s="2" t="s">
        <v>303</v>
      </c>
      <c r="J58" s="2" t="s">
        <v>304</v>
      </c>
      <c r="K58" s="1" t="b">
        <v>1</v>
      </c>
      <c r="L58" s="2" t="s">
        <v>125</v>
      </c>
      <c r="M58" s="2" t="str">
        <f t="shared" si="3"/>
        <v>EVQLVESGGGLVQPGGSLRLSCAASGFNVSSSYIHWVRQAPGKGLEWVASISSYYGSTYYADSVKGRFTISADTSKNTAYLQMNSLRAEDTAVYYCARGWSYSWSYSWSYSGLDVWGQGTTVTVSSGGGSGGGSGGGSGGGSDIQMTQSPSSLSASVGDRVTITCRASQSVSSAVAWYQQKPGKAPKLLIYSASSLYSGVPSRFSGSRSGTDFTLTISSLQPEDFATYYCQQSSSSLITFGQGTKVEIK</v>
      </c>
      <c r="N58" s="4">
        <f t="shared" si="4"/>
        <v>249</v>
      </c>
      <c r="O58" s="1" t="b">
        <f t="shared" si="5"/>
        <v>1</v>
      </c>
      <c r="P58" s="1" t="b">
        <v>0</v>
      </c>
      <c r="Q58" s="1" t="b">
        <f>TRUE()</f>
        <v>1</v>
      </c>
      <c r="R58" s="4">
        <v>6.9049999999999997E-3</v>
      </c>
      <c r="S58" s="4">
        <v>7.6717999999999995E-2</v>
      </c>
      <c r="T58" s="10">
        <v>45976</v>
      </c>
      <c r="U58" s="2" t="s">
        <v>474</v>
      </c>
      <c r="V58" s="4">
        <v>0.49204199999999998</v>
      </c>
    </row>
    <row r="59" spans="1:22" ht="64" x14ac:dyDescent="0.2">
      <c r="A59" s="1" t="s">
        <v>271</v>
      </c>
      <c r="B59" s="1" t="s">
        <v>18</v>
      </c>
      <c r="C59" s="2" t="s">
        <v>19</v>
      </c>
      <c r="D59" s="4">
        <v>0.2</v>
      </c>
      <c r="E59" s="1" t="s">
        <v>42</v>
      </c>
      <c r="G59" s="1" t="s">
        <v>258</v>
      </c>
      <c r="I59" s="2" t="s">
        <v>305</v>
      </c>
      <c r="J59" s="2" t="s">
        <v>296</v>
      </c>
      <c r="K59" s="1" t="b">
        <v>1</v>
      </c>
      <c r="L59" s="2" t="s">
        <v>125</v>
      </c>
      <c r="M59" s="2" t="str">
        <f t="shared" si="3"/>
        <v>EVQLVESGGGLVQPGGSLRLSCAASGFNISSSSIHWVRQAPGKGLEWVASIYSYSGYTSYADSVKGRFTISADTSKNTAYLQMNSLRAEDTAVYYCARGWYYGSSYWGQGTLVTVSSGGGSGGGSGGGSGGGSDIQMTQSPSSLSASVGDRVTITCRASQSVSSAVAWYQQKPGKAPKLLIYSASSLYSGVPSRFSGSRSGTDFTLTISSLQPEDFATYYCQQYKYVPVTFGQGTKVEIK</v>
      </c>
      <c r="N59" s="4">
        <f t="shared" si="4"/>
        <v>240</v>
      </c>
      <c r="O59" s="1" t="b">
        <f t="shared" si="5"/>
        <v>1</v>
      </c>
      <c r="P59" s="1" t="b">
        <v>0</v>
      </c>
      <c r="Q59" s="1" t="b">
        <f>TRUE()</f>
        <v>1</v>
      </c>
      <c r="R59" s="4">
        <v>0.16498099999999999</v>
      </c>
      <c r="S59" s="4">
        <v>0.26647999999999999</v>
      </c>
      <c r="T59" s="10"/>
      <c r="U59" s="11" t="s">
        <v>381</v>
      </c>
    </row>
    <row r="60" spans="1:22" ht="64" x14ac:dyDescent="0.2">
      <c r="A60" s="1" t="s">
        <v>272</v>
      </c>
      <c r="B60" s="1" t="s">
        <v>18</v>
      </c>
      <c r="C60" s="2" t="s">
        <v>19</v>
      </c>
      <c r="D60" s="4">
        <v>0.2</v>
      </c>
      <c r="E60" s="1" t="s">
        <v>42</v>
      </c>
      <c r="G60" s="1" t="s">
        <v>258</v>
      </c>
      <c r="I60" s="2" t="s">
        <v>306</v>
      </c>
      <c r="J60" s="2" t="s">
        <v>296</v>
      </c>
      <c r="K60" s="1" t="b">
        <v>1</v>
      </c>
      <c r="L60" s="2" t="s">
        <v>125</v>
      </c>
      <c r="M60" s="2" t="str">
        <f t="shared" si="3"/>
        <v>EVQLVESGGGLVQPGGSLRLSCAASGFNVSSSYIHWVRQAPGKGLEWVASISSYYGYTYYADSVKGRFTISADTSKNTAYLQMNSLRAEDTAVYYCARYYGTYYGSSYWGQGTLVTVSSGGGSGGGSGGGSGGGSDIQMTQSPSSLSASVGDRVTITCRASQSVSSAVAWYQQKPGKAPKLLIYSASSLYSGVPSRFSGSRSGTDFTLTISSLQPEDFATYYCQQYKYVPVTFGQGTKVEIK</v>
      </c>
      <c r="N60" s="4">
        <f t="shared" si="4"/>
        <v>242</v>
      </c>
      <c r="O60" s="1" t="b">
        <f t="shared" si="5"/>
        <v>1</v>
      </c>
      <c r="P60" s="1" t="b">
        <v>0</v>
      </c>
      <c r="Q60" s="1" t="b">
        <f>TRUE()</f>
        <v>1</v>
      </c>
      <c r="R60" s="4">
        <v>0</v>
      </c>
      <c r="S60" s="4">
        <v>1.0189999999999999E-2</v>
      </c>
      <c r="T60" s="10"/>
      <c r="U60" s="11" t="s">
        <v>381</v>
      </c>
    </row>
    <row r="61" spans="1:22" ht="64" x14ac:dyDescent="0.2">
      <c r="A61" s="1" t="s">
        <v>273</v>
      </c>
      <c r="B61" s="1" t="s">
        <v>18</v>
      </c>
      <c r="C61" s="2" t="s">
        <v>19</v>
      </c>
      <c r="D61" s="4">
        <v>0.5</v>
      </c>
      <c r="E61" s="1" t="s">
        <v>42</v>
      </c>
      <c r="G61" s="1" t="s">
        <v>258</v>
      </c>
      <c r="I61" s="2" t="s">
        <v>307</v>
      </c>
      <c r="J61" s="2" t="s">
        <v>308</v>
      </c>
      <c r="K61" s="1" t="b">
        <v>1</v>
      </c>
      <c r="L61" s="2" t="s">
        <v>125</v>
      </c>
      <c r="M61" s="2" t="str">
        <f t="shared" si="3"/>
        <v>QMQLVQSGAEVKKPGESLKISCKGSGYSFTSYWIGWVRQMPGKGLEWMGIIYPGDSDTRYSPSFQGQVTISADKSISTAYLQWSSLKASDTAIYYCARHYYGGQYFDYWGQGTLVTVSSGGGSGGGSGGGSGGGSDIQMTQSPSSLSASVGDRVTITCRASQGIRNDLGWYQQKPGKAPKLLIYAASSLQSGVPSRFSGSGSGTDFTLTISSLQPEDFATYYCQQSYSTPYTFGQGTKLEIK</v>
      </c>
      <c r="N61" s="4">
        <f t="shared" si="4"/>
        <v>242</v>
      </c>
      <c r="O61" s="1" t="b">
        <f t="shared" si="5"/>
        <v>1</v>
      </c>
      <c r="P61" s="1" t="b">
        <v>0</v>
      </c>
      <c r="Q61" s="1" t="b">
        <f>TRUE()</f>
        <v>1</v>
      </c>
      <c r="R61" s="4">
        <v>0</v>
      </c>
      <c r="S61" s="4">
        <v>5.0220000000000004E-3</v>
      </c>
      <c r="T61" s="10">
        <v>45973</v>
      </c>
      <c r="U61" s="2" t="s">
        <v>349</v>
      </c>
      <c r="V61" s="4">
        <v>0</v>
      </c>
    </row>
    <row r="62" spans="1:22" ht="64" x14ac:dyDescent="0.2">
      <c r="A62" s="1" t="s">
        <v>274</v>
      </c>
      <c r="B62" s="1" t="s">
        <v>18</v>
      </c>
      <c r="C62" s="2" t="s">
        <v>19</v>
      </c>
      <c r="D62" s="4">
        <v>0.5</v>
      </c>
      <c r="E62" s="1" t="s">
        <v>42</v>
      </c>
      <c r="G62" s="1" t="s">
        <v>258</v>
      </c>
      <c r="I62" s="2" t="s">
        <v>309</v>
      </c>
      <c r="J62" s="2" t="s">
        <v>24</v>
      </c>
      <c r="K62" s="1" t="b">
        <v>1</v>
      </c>
      <c r="L62" s="2" t="s">
        <v>125</v>
      </c>
      <c r="M62" s="2" t="str">
        <f t="shared" si="3"/>
        <v>QVQLVQSGAEVKKPGSSVKVSCKASGGTFSSYAISWVRQAPGQGLEWMGGIIPIFGTANYAQKFQGRVTITADESTSTAYMELSSLRSEDTAVYYCARWYDGYFVYWGQGTLVTVSSGGGSGGGSGGGSGGGSDIQMTQSPSSLSASVGDRVTITCRASQSISSYLNWYQQKPGKAPKLLIYAASSLQSGVPSRFSGSGSGTDFTLTISSLQPEDFATYYCQQSYSTPYTFGQGTKVEIK</v>
      </c>
      <c r="N62" s="4">
        <f t="shared" si="4"/>
        <v>240</v>
      </c>
      <c r="O62" s="1" t="b">
        <f t="shared" si="5"/>
        <v>1</v>
      </c>
      <c r="P62" s="1" t="b">
        <v>0</v>
      </c>
      <c r="Q62" s="1" t="b">
        <f>TRUE()</f>
        <v>1</v>
      </c>
      <c r="R62" s="4">
        <v>0</v>
      </c>
      <c r="S62" s="4">
        <v>1.2418E-2</v>
      </c>
      <c r="T62" s="10">
        <v>45973</v>
      </c>
      <c r="U62" s="2" t="s">
        <v>348</v>
      </c>
      <c r="V62" s="4">
        <v>5.9379999999999997E-3</v>
      </c>
    </row>
    <row r="63" spans="1:22" ht="64" x14ac:dyDescent="0.2">
      <c r="A63" s="1" t="s">
        <v>275</v>
      </c>
      <c r="B63" s="1" t="s">
        <v>18</v>
      </c>
      <c r="C63" s="2" t="s">
        <v>19</v>
      </c>
      <c r="D63" s="4">
        <v>0.5</v>
      </c>
      <c r="E63" s="1" t="s">
        <v>42</v>
      </c>
      <c r="G63" s="1" t="s">
        <v>258</v>
      </c>
      <c r="I63" s="2" t="s">
        <v>310</v>
      </c>
      <c r="J63" s="2" t="s">
        <v>296</v>
      </c>
      <c r="K63" s="1" t="b">
        <v>1</v>
      </c>
      <c r="L63" s="2" t="s">
        <v>125</v>
      </c>
      <c r="M63" s="2" t="str">
        <f t="shared" si="3"/>
        <v>EVQLVESGGGLVQPGGSLRLSCAASGFNVSSSSIHWVRQAPGKGLEWVASISSYYGYTYYADSVKGRFTISADTSKNTAYLQMNSLRAEDTAVYYCARSRQFWYSGLDYWGQGTLVTVFNGGGSGGGSGGGSGGGSDIQMTQSPSSLSASVGDRVTITCRASQSVSSAVAWYQQKPGKAPKLLIYSASSLYSGVPSRFSGSRSGTDFTLTISSLQPEDFATYYCQQYKYVPVTFGQGTKVEIK</v>
      </c>
      <c r="N63" s="4">
        <f t="shared" si="4"/>
        <v>243</v>
      </c>
      <c r="O63" s="1" t="b">
        <f t="shared" si="5"/>
        <v>1</v>
      </c>
      <c r="P63" s="1" t="b">
        <v>0</v>
      </c>
      <c r="Q63" s="1" t="b">
        <f>TRUE()</f>
        <v>1</v>
      </c>
      <c r="R63" s="4">
        <v>0.13139000000000001</v>
      </c>
      <c r="S63" s="4">
        <v>0.20833399999999999</v>
      </c>
      <c r="T63" s="10">
        <v>45973</v>
      </c>
      <c r="U63" s="2" t="s">
        <v>351</v>
      </c>
      <c r="V63" s="4">
        <v>9.3369999999999998E-3</v>
      </c>
    </row>
    <row r="64" spans="1:22" ht="64" x14ac:dyDescent="0.2">
      <c r="A64" s="1" t="s">
        <v>276</v>
      </c>
      <c r="B64" s="1" t="s">
        <v>18</v>
      </c>
      <c r="C64" s="2" t="s">
        <v>19</v>
      </c>
      <c r="D64" s="4">
        <v>0.5</v>
      </c>
      <c r="E64" s="1" t="s">
        <v>42</v>
      </c>
      <c r="G64" s="1" t="s">
        <v>258</v>
      </c>
      <c r="I64" s="2" t="s">
        <v>311</v>
      </c>
      <c r="J64" s="2" t="s">
        <v>304</v>
      </c>
      <c r="K64" s="1" t="b">
        <v>1</v>
      </c>
      <c r="L64" s="2" t="s">
        <v>125</v>
      </c>
      <c r="M64" s="2" t="str">
        <f t="shared" si="3"/>
        <v>EVQLVESGGGLVQPGGSLRLSCAASGFNISSSSIHWVRQAPGKGLEWVASIYSYYGSTYYADSVKGRFTISADTSKNTAYLQMRAEDTAVYYCARGWRSYAMDYWGQGTLVTVSSGGGSGGGSGGGSGGGSDIQMTQSPSSLSASVGDRVTITCRASQSVSSAVAWYQQKPGKAPKLLIYSASSLYSGVPSRFSGSRSGTDFTLTISSLQPEDFATYYCQQSSSSLITFGQGTKVEIK</v>
      </c>
      <c r="N64" s="4">
        <f t="shared" si="4"/>
        <v>238</v>
      </c>
      <c r="O64" s="1" t="b">
        <f t="shared" si="5"/>
        <v>1</v>
      </c>
      <c r="P64" s="1" t="b">
        <v>0</v>
      </c>
      <c r="Q64" s="1" t="b">
        <f>TRUE()</f>
        <v>1</v>
      </c>
      <c r="R64" s="4">
        <v>0</v>
      </c>
      <c r="S64" s="4">
        <v>5.0930000000000003E-3</v>
      </c>
      <c r="T64" s="10">
        <v>45974</v>
      </c>
      <c r="U64" s="2" t="s">
        <v>374</v>
      </c>
      <c r="V64" s="4">
        <v>0.29275600000000002</v>
      </c>
    </row>
    <row r="65" spans="1:22" ht="64" x14ac:dyDescent="0.2">
      <c r="A65" s="1" t="s">
        <v>277</v>
      </c>
      <c r="B65" s="1" t="s">
        <v>18</v>
      </c>
      <c r="C65" s="2" t="s">
        <v>19</v>
      </c>
      <c r="D65" s="4">
        <v>0.5</v>
      </c>
      <c r="E65" s="1" t="s">
        <v>42</v>
      </c>
      <c r="G65" s="1" t="s">
        <v>258</v>
      </c>
      <c r="I65" s="2" t="s">
        <v>312</v>
      </c>
      <c r="J65" s="2" t="s">
        <v>313</v>
      </c>
      <c r="K65" s="1" t="b">
        <v>1</v>
      </c>
      <c r="L65" s="2" t="s">
        <v>125</v>
      </c>
      <c r="M65" s="2" t="str">
        <f t="shared" si="3"/>
        <v>QVQLVQSGAEVKKPGSSVKVSCKASGGTFSSYSFIWVRQAPGQGLEWMGGIIPIFGTANYAQKFQGRVTITADESTSTAYMELSSLRSEDTAVYYCARSSYSGVYYSWYFDVWGAGTTVTVSSGGGSGGGSGGGSGGGSDIQMTQSPSSLSASVGDRVTITCRASQGISNYLAWYQQKPGKAPKLLIYAASTLQSGVPSRFSGSGSGTDFTLTISSLQPEDFATYYCQQSYSTPRTFGQGTKVEIK</v>
      </c>
      <c r="N65" s="4">
        <f t="shared" si="4"/>
        <v>246</v>
      </c>
      <c r="O65" s="1" t="b">
        <f t="shared" si="5"/>
        <v>1</v>
      </c>
      <c r="P65" s="1" t="b">
        <v>0</v>
      </c>
      <c r="Q65" s="1" t="b">
        <f>TRUE()</f>
        <v>1</v>
      </c>
      <c r="R65" s="4">
        <v>0</v>
      </c>
      <c r="S65" s="4">
        <v>0</v>
      </c>
      <c r="T65" s="10">
        <v>45974</v>
      </c>
      <c r="U65" s="2" t="s">
        <v>377</v>
      </c>
      <c r="V65" s="4">
        <v>0.112092</v>
      </c>
    </row>
    <row r="66" spans="1:22" ht="64" x14ac:dyDescent="0.2">
      <c r="A66" s="1" t="s">
        <v>278</v>
      </c>
      <c r="B66" s="1" t="s">
        <v>18</v>
      </c>
      <c r="C66" s="2" t="s">
        <v>19</v>
      </c>
      <c r="D66" s="4">
        <v>0.5</v>
      </c>
      <c r="E66" s="1" t="s">
        <v>42</v>
      </c>
      <c r="G66" s="1" t="s">
        <v>258</v>
      </c>
      <c r="I66" s="2" t="s">
        <v>314</v>
      </c>
      <c r="J66" s="2" t="s">
        <v>315</v>
      </c>
      <c r="K66" s="1" t="b">
        <v>1</v>
      </c>
      <c r="L66" s="2" t="s">
        <v>125</v>
      </c>
      <c r="M66" s="2" t="str">
        <f t="shared" ref="M66:M97" si="6">_xlfn.CONCAT(I66,L66,J66)</f>
        <v>EVQLQESGPGLVKPSQTLSLTCTVSGGSISSYAAWSWIRQPPGKGLEWIGYIYSSSGSTNYNPSLKSRVTISVDTSKNQFSLKLSSVTAADTAVYYCARGDYSYSYYGLDYWGQGTLVTVSSGGGSGGGSGGGSGGGSDIQMTQSPSSLSASVGDRVTITCRASQGIRNDLGWYQQKPGKAPKLLIYAASNLQSGVPSRFSGSGSGTDFTLTISSLQPEDFATYYCQQSYSTPRYTFGQGTKVEIK</v>
      </c>
      <c r="N66" s="4">
        <f t="shared" ref="N66:N97" si="7">LEN(M66)</f>
        <v>246</v>
      </c>
      <c r="O66" s="1" t="b">
        <f t="shared" ref="O66:O97" si="8">IF(N66&lt;=250,TRUE,FALSE)</f>
        <v>1</v>
      </c>
      <c r="P66" s="1" t="b">
        <v>0</v>
      </c>
      <c r="Q66" s="1" t="b">
        <f>TRUE()</f>
        <v>1</v>
      </c>
      <c r="R66" s="4">
        <v>5.4320000000000002E-3</v>
      </c>
      <c r="S66" s="4">
        <v>3.7756999999999999E-2</v>
      </c>
      <c r="T66" s="10">
        <v>45974</v>
      </c>
      <c r="U66" s="2" t="s">
        <v>375</v>
      </c>
      <c r="V66" s="4">
        <v>0.498143</v>
      </c>
    </row>
    <row r="67" spans="1:22" ht="64" x14ac:dyDescent="0.2">
      <c r="A67" s="1" t="s">
        <v>279</v>
      </c>
      <c r="B67" s="1" t="s">
        <v>18</v>
      </c>
      <c r="C67" s="2" t="s">
        <v>19</v>
      </c>
      <c r="D67" s="4">
        <v>0.5</v>
      </c>
      <c r="E67" s="1" t="s">
        <v>42</v>
      </c>
      <c r="G67" s="1" t="s">
        <v>258</v>
      </c>
      <c r="I67" s="2" t="s">
        <v>316</v>
      </c>
      <c r="J67" s="2" t="s">
        <v>317</v>
      </c>
      <c r="K67" s="1" t="b">
        <v>1</v>
      </c>
      <c r="L67" s="2" t="s">
        <v>125</v>
      </c>
      <c r="M67" s="2" t="str">
        <f t="shared" si="6"/>
        <v>EVQLQQSGPELVKPGASVKMSCKASGYTFTSYNIHWVKQTPVHGLEWIGAIVSGGDTNYNENFKDKATLTVDKSSSTAYMQLTSEDSAVYYCARGGFYGDYWGQGTSVTVSSGGGSGGGSGGGSGGGSDIVLTQSPATLSVTPGDSVSLSCRASQSVTNNIHWYQQKSHESPRLLIKYASQSISGIPSRFSGSGSGTDFTLSINSVETEDFGMYFCQQSNSWPYTFGGGTKLEIK</v>
      </c>
      <c r="N67" s="4">
        <f t="shared" si="7"/>
        <v>235</v>
      </c>
      <c r="O67" s="1" t="b">
        <f t="shared" si="8"/>
        <v>1</v>
      </c>
      <c r="P67" s="1" t="b">
        <v>0</v>
      </c>
      <c r="Q67" s="1" t="b">
        <f>TRUE()</f>
        <v>1</v>
      </c>
      <c r="R67" s="4">
        <v>0</v>
      </c>
      <c r="S67" s="4">
        <v>5.1409999999999997E-3</v>
      </c>
      <c r="T67" s="10">
        <v>45976</v>
      </c>
      <c r="U67" s="2" t="s">
        <v>475</v>
      </c>
      <c r="V67" s="4">
        <v>5.3290000000000004E-3</v>
      </c>
    </row>
    <row r="68" spans="1:22" ht="64" x14ac:dyDescent="0.2">
      <c r="A68" s="1" t="s">
        <v>280</v>
      </c>
      <c r="B68" s="1" t="s">
        <v>18</v>
      </c>
      <c r="C68" s="2" t="s">
        <v>19</v>
      </c>
      <c r="D68" s="4">
        <v>0.5</v>
      </c>
      <c r="E68" s="1" t="s">
        <v>42</v>
      </c>
      <c r="G68" s="1" t="s">
        <v>258</v>
      </c>
      <c r="I68" s="2" t="s">
        <v>318</v>
      </c>
      <c r="J68" s="2" t="s">
        <v>319</v>
      </c>
      <c r="K68" s="1" t="b">
        <v>1</v>
      </c>
      <c r="L68" s="2" t="s">
        <v>125</v>
      </c>
      <c r="M68" s="2" t="str">
        <f t="shared" si="6"/>
        <v>QVQLQESGPGLVKPSQTLSLTCTVSGGSISSGDYYWIRQHPGKGLEWIGYIYYSGSTYYNPSLKSRVTISVDTSKNQFSLKLSSVTAADTAVYYCARQLWLRGRFDYWGQGTLVTVSSGGGSGGGSGGGSGGGSDIQMTQSPSSLSASVGDRVTITCRASQGISSWLAWYQQKPGKAPKLLIYAASTLQSGVPSRFSGSGSGTDFTLTISSLQPEDFATYYCQQSYSTPYTFGQGTKVEIK</v>
      </c>
      <c r="N68" s="4">
        <f t="shared" si="7"/>
        <v>241</v>
      </c>
      <c r="O68" s="1" t="b">
        <f t="shared" si="8"/>
        <v>1</v>
      </c>
      <c r="P68" s="1" t="b">
        <v>0</v>
      </c>
      <c r="Q68" s="1" t="b">
        <f>TRUE()</f>
        <v>1</v>
      </c>
      <c r="R68" s="4">
        <v>5.9430000000000004E-3</v>
      </c>
      <c r="S68" s="4">
        <v>8.7933999999999998E-2</v>
      </c>
      <c r="T68" s="10">
        <v>45976</v>
      </c>
      <c r="U68" s="2" t="s">
        <v>476</v>
      </c>
      <c r="V68" s="4">
        <v>0.20996500000000001</v>
      </c>
    </row>
    <row r="69" spans="1:22" ht="64" x14ac:dyDescent="0.2">
      <c r="A69" s="1" t="s">
        <v>281</v>
      </c>
      <c r="B69" s="1" t="s">
        <v>18</v>
      </c>
      <c r="C69" s="2" t="s">
        <v>19</v>
      </c>
      <c r="D69" s="4">
        <v>0.5</v>
      </c>
      <c r="E69" s="1" t="s">
        <v>42</v>
      </c>
      <c r="G69" s="1" t="s">
        <v>258</v>
      </c>
      <c r="I69" s="2" t="s">
        <v>320</v>
      </c>
      <c r="J69" s="2" t="s">
        <v>296</v>
      </c>
      <c r="K69" s="1" t="b">
        <v>1</v>
      </c>
      <c r="L69" s="2" t="s">
        <v>125</v>
      </c>
      <c r="M69" s="2" t="str">
        <f t="shared" si="6"/>
        <v>EVQLVESGGGLVQPGGSLRLSCAASGFTVSSNYMSWVRQAPGKGLEWVSVIYSGGSTYYADSVKGRFTISRDNSKNTLYLQMNSLRAEDTAVYYCAREAGVWVFDYWGQGTLVTVSSGGGSGGGSGGGSGGGSDIQMTQSPSSLSASVGDRVTITCRASQSVSSAVAWYQQKPGKAPKLLIYSASSLYSGVPSRFSGSRSGTDFTLTISSLQPEDFATYYCQQYKYVPVTFGQGTKVEIK</v>
      </c>
      <c r="N69" s="4">
        <f t="shared" si="7"/>
        <v>240</v>
      </c>
      <c r="O69" s="1" t="b">
        <f t="shared" si="8"/>
        <v>1</v>
      </c>
      <c r="P69" s="1" t="b">
        <v>0</v>
      </c>
      <c r="Q69" s="1" t="b">
        <f>TRUE()</f>
        <v>1</v>
      </c>
      <c r="R69" s="4">
        <v>0</v>
      </c>
      <c r="S69" s="4">
        <v>5.2589999999999998E-3</v>
      </c>
      <c r="T69" s="10">
        <v>45977</v>
      </c>
      <c r="U69" s="2" t="s">
        <v>483</v>
      </c>
      <c r="V69" s="4">
        <v>0.293068</v>
      </c>
    </row>
    <row r="70" spans="1:22" ht="64" x14ac:dyDescent="0.2">
      <c r="A70" s="1" t="s">
        <v>282</v>
      </c>
      <c r="B70" s="1" t="s">
        <v>18</v>
      </c>
      <c r="C70" s="2" t="s">
        <v>19</v>
      </c>
      <c r="D70" s="4">
        <v>0.5</v>
      </c>
      <c r="E70" s="1" t="s">
        <v>42</v>
      </c>
      <c r="G70" s="1" t="s">
        <v>258</v>
      </c>
      <c r="I70" s="2" t="s">
        <v>321</v>
      </c>
      <c r="J70" s="2" t="s">
        <v>296</v>
      </c>
      <c r="K70" s="1" t="b">
        <v>1</v>
      </c>
      <c r="L70" s="2" t="s">
        <v>125</v>
      </c>
      <c r="M70" s="2" t="str">
        <f t="shared" si="6"/>
        <v>EVQLVESGGGLVQPGGSLRLSCAASGFNLYSSSIHWVRQAPGKGLEWVASISSYYGSTYYADSVKGRFTISADTSKNTAYLQMNSLRAEDTAVYYCARSRQFWLWFGQGTLVTVSSGGGSGGGSGGGSGGGSDIQMTQSPSSLSASVGDRVTITCRASQSVSSAVAWYQQKPGKAPKLLIYSASSLYSGVPSRFSGSRSGTDFTLTISSLQPEDFATYYCQQYKYVPVTFGQGTKVEIK</v>
      </c>
      <c r="N70" s="4">
        <f t="shared" si="7"/>
        <v>239</v>
      </c>
      <c r="O70" s="1" t="b">
        <f t="shared" si="8"/>
        <v>1</v>
      </c>
      <c r="P70" s="1" t="b">
        <v>0</v>
      </c>
      <c r="Q70" s="1" t="b">
        <f>TRUE()</f>
        <v>1</v>
      </c>
      <c r="R70" s="4">
        <v>0</v>
      </c>
      <c r="S70" s="4">
        <v>0</v>
      </c>
      <c r="T70" s="10"/>
      <c r="U70" s="11" t="s">
        <v>381</v>
      </c>
    </row>
    <row r="71" spans="1:22" ht="64" x14ac:dyDescent="0.2">
      <c r="A71" s="1" t="s">
        <v>283</v>
      </c>
      <c r="B71" s="1" t="s">
        <v>18</v>
      </c>
      <c r="C71" s="2" t="s">
        <v>19</v>
      </c>
      <c r="D71" s="4">
        <v>0.7</v>
      </c>
      <c r="E71" s="1" t="s">
        <v>42</v>
      </c>
      <c r="G71" s="1" t="s">
        <v>258</v>
      </c>
      <c r="I71" s="2" t="s">
        <v>322</v>
      </c>
      <c r="J71" s="2" t="s">
        <v>323</v>
      </c>
      <c r="K71" s="1" t="b">
        <v>1</v>
      </c>
      <c r="L71" s="2" t="s">
        <v>125</v>
      </c>
      <c r="M71" s="2" t="str">
        <f t="shared" si="6"/>
        <v>VQLVQSGAEVKKPGASVKVSCKASGYTFTTYTISWVRQAPGQGLEWMGWINNSGGTNYAQKFQGRVTMTRDTSTSTVSAYMELRSEDTAVYYCATFVYGYSAYQPLTDDYGQMDVWGQGTTVTVSSGGGSGGGSGGGSGGGSDIQMTQSPSSLSASVGDRVTITCRASQSISSYLNWFQQKPGKAPKLLIYAASSLQSGVPSRFSGSGSGTDFTLTISSLQPEDFATYYCQQSLLYPLTFGGGTKVEIK</v>
      </c>
      <c r="N71" s="4">
        <f t="shared" si="7"/>
        <v>249</v>
      </c>
      <c r="O71" s="1" t="b">
        <f t="shared" si="8"/>
        <v>1</v>
      </c>
      <c r="P71" s="1" t="b">
        <v>0</v>
      </c>
      <c r="Q71" s="1" t="b">
        <f>TRUE()</f>
        <v>1</v>
      </c>
      <c r="R71" s="4">
        <v>0</v>
      </c>
      <c r="S71" s="4">
        <v>5.0299999999999997E-3</v>
      </c>
      <c r="T71" s="10">
        <v>45973</v>
      </c>
      <c r="U71" s="2" t="s">
        <v>354</v>
      </c>
      <c r="V71" s="4">
        <v>5.2950000000000002E-3</v>
      </c>
    </row>
    <row r="72" spans="1:22" ht="64" x14ac:dyDescent="0.2">
      <c r="A72" s="1" t="s">
        <v>284</v>
      </c>
      <c r="B72" s="1" t="s">
        <v>18</v>
      </c>
      <c r="C72" s="2" t="s">
        <v>19</v>
      </c>
      <c r="D72" s="4">
        <v>0.7</v>
      </c>
      <c r="E72" s="1" t="s">
        <v>42</v>
      </c>
      <c r="G72" s="1" t="s">
        <v>258</v>
      </c>
      <c r="I72" s="2" t="s">
        <v>324</v>
      </c>
      <c r="J72" s="2" t="s">
        <v>325</v>
      </c>
      <c r="K72" s="1" t="b">
        <v>1</v>
      </c>
      <c r="L72" s="2" t="s">
        <v>125</v>
      </c>
      <c r="M72" s="2" t="str">
        <f t="shared" si="6"/>
        <v>EVQLVESGGGLVQPGGSLRLSCAASGFNISSSSIHWVRQAPGKGLEWVASIYSSSGSTYYADSVKGRFTISADTSKNTAYLQMNSLRAEDTAVYYCARHRWWAHPYWGQGTLVTVSSGGGSGGGSGGGSGGGSDIQMTQSPSSLSASVGDRVTITCRASQSVSSAVAWYQQKPGKAPKLLIYSASSLYSGVPSRFSGSRSGTDFTLTISSLQPEDFATYYCQQSYYITPYTFGQGTKVEIK</v>
      </c>
      <c r="N72" s="4">
        <f t="shared" si="7"/>
        <v>241</v>
      </c>
      <c r="O72" s="1" t="b">
        <f t="shared" si="8"/>
        <v>1</v>
      </c>
      <c r="P72" s="1" t="b">
        <v>0</v>
      </c>
      <c r="Q72" s="1" t="b">
        <f>TRUE()</f>
        <v>1</v>
      </c>
      <c r="R72" s="4">
        <v>5.0870000000000004E-3</v>
      </c>
      <c r="S72" s="4">
        <v>4.0273000000000003E-2</v>
      </c>
      <c r="T72" s="10">
        <v>45973</v>
      </c>
      <c r="U72" s="2" t="s">
        <v>352</v>
      </c>
      <c r="V72" s="4">
        <v>0</v>
      </c>
    </row>
    <row r="73" spans="1:22" ht="64" x14ac:dyDescent="0.2">
      <c r="A73" s="1" t="s">
        <v>285</v>
      </c>
      <c r="B73" s="1" t="s">
        <v>18</v>
      </c>
      <c r="C73" s="2" t="s">
        <v>19</v>
      </c>
      <c r="D73" s="4">
        <v>0.7</v>
      </c>
      <c r="E73" s="1" t="s">
        <v>42</v>
      </c>
      <c r="G73" s="1" t="s">
        <v>258</v>
      </c>
      <c r="I73" s="2" t="s">
        <v>326</v>
      </c>
      <c r="J73" s="2" t="s">
        <v>327</v>
      </c>
      <c r="K73" s="1" t="b">
        <v>1</v>
      </c>
      <c r="L73" s="2" t="s">
        <v>125</v>
      </c>
      <c r="M73" s="2" t="str">
        <f t="shared" si="6"/>
        <v>EVQLVESGGGVVQPGRSLRLSCAASGFTFSSYAMHWVRQAPGKGLEWVAVIWYDGSNKYYADSVKGRFTISRDNSKNTLFLQMNSLRPEDTAVYYCARDTPMYYDVWGQGTTVTVSSGGGSGGGSGGGSGGGSDIQLTQSPSSLSASVGDRVTITCRTSQDIDNYLNWYQQKPGKAPKLLIYYTSSLHSGVPSRFSGSGSGTDFTFTISSLQPEDIATYYCQQYDNLPITFGQGTKLEIK</v>
      </c>
      <c r="N73" s="4">
        <f t="shared" si="7"/>
        <v>240</v>
      </c>
      <c r="O73" s="1" t="b">
        <f t="shared" si="8"/>
        <v>1</v>
      </c>
      <c r="P73" s="1" t="b">
        <v>0</v>
      </c>
      <c r="Q73" s="1" t="b">
        <f>TRUE()</f>
        <v>1</v>
      </c>
      <c r="R73" s="4">
        <v>0</v>
      </c>
      <c r="S73" s="4">
        <v>5.0660000000000002E-3</v>
      </c>
      <c r="T73" s="10">
        <v>45973</v>
      </c>
      <c r="U73" s="2" t="s">
        <v>350</v>
      </c>
      <c r="V73" s="4">
        <v>5.0549999999999996E-3</v>
      </c>
    </row>
    <row r="74" spans="1:22" ht="64" x14ac:dyDescent="0.2">
      <c r="A74" s="1" t="s">
        <v>286</v>
      </c>
      <c r="B74" s="1" t="s">
        <v>18</v>
      </c>
      <c r="C74" s="2" t="s">
        <v>19</v>
      </c>
      <c r="D74" s="4">
        <v>0.7</v>
      </c>
      <c r="E74" s="1" t="s">
        <v>42</v>
      </c>
      <c r="G74" s="1" t="s">
        <v>258</v>
      </c>
      <c r="I74" s="2" t="s">
        <v>328</v>
      </c>
      <c r="J74" s="2" t="s">
        <v>329</v>
      </c>
      <c r="K74" s="1" t="b">
        <v>1</v>
      </c>
      <c r="L74" s="2" t="s">
        <v>125</v>
      </c>
      <c r="M74" s="2" t="str">
        <f t="shared" si="6"/>
        <v>EVQLVESGGGLVQPGGSLRLSCAASGFTFSNYAMSWVRQAPGKGLEWVSAISGSGGSTYYADSVKGRFTISRDNSKNTLYLQMNSLRAEDTAVYYCARLSPYNGSMDYWGQGTLVTVSSGGGSGGGSGGGSGGGSVTQPASVSGSPGQSITISCTGTSSDIGAYNYVSWYQQHPGKAPKLMIYEVSKRPSGVSNRFSGSKSGNTASLTISGLQTEDEADYYCSSYTRSGSVVFGGGTKLTVL</v>
      </c>
      <c r="N74" s="4">
        <f t="shared" si="7"/>
        <v>242</v>
      </c>
      <c r="O74" s="1" t="b">
        <f t="shared" si="8"/>
        <v>1</v>
      </c>
      <c r="P74" s="1" t="b">
        <v>0</v>
      </c>
      <c r="Q74" s="1" t="b">
        <f>TRUE()</f>
        <v>1</v>
      </c>
      <c r="R74" s="4">
        <v>0</v>
      </c>
      <c r="S74" s="4">
        <v>0</v>
      </c>
      <c r="T74" s="10">
        <v>45974</v>
      </c>
      <c r="U74" s="2" t="s">
        <v>376</v>
      </c>
      <c r="V74" s="4">
        <v>0.17583499999999999</v>
      </c>
    </row>
    <row r="75" spans="1:22" ht="64" x14ac:dyDescent="0.2">
      <c r="A75" s="1" t="s">
        <v>287</v>
      </c>
      <c r="B75" s="1" t="s">
        <v>18</v>
      </c>
      <c r="C75" s="2" t="s">
        <v>19</v>
      </c>
      <c r="D75" s="4">
        <v>0.7</v>
      </c>
      <c r="E75" s="1" t="s">
        <v>42</v>
      </c>
      <c r="G75" s="1" t="s">
        <v>258</v>
      </c>
      <c r="I75" s="2" t="s">
        <v>330</v>
      </c>
      <c r="J75" s="2" t="s">
        <v>331</v>
      </c>
      <c r="K75" s="1" t="b">
        <v>1</v>
      </c>
      <c r="L75" s="2" t="s">
        <v>125</v>
      </c>
      <c r="M75" s="2" t="str">
        <f t="shared" si="6"/>
        <v>QVQLVQSGAEVKKPGSSVKVSCKASGGTFSSYTISWVRQAPGQGLEWMGGIIPILGIANYAQKFQGRVTITADKSTSTAYMELSSLRSEDTAVYYCARGDSSYVDSWDYWGQGTLVTVSGGGSGGGSGGGSGGGSEIVLTQSPGTLSLSPGERATLSCRASQSVSSSYLAWYQQKPGQAPRLLIYGASSRATGIPDRFSGSGSGTDFTLTISRLEPEDFAVYYCQQYGSSPWTFGQGTKVEIK</v>
      </c>
      <c r="N75" s="4">
        <f t="shared" si="7"/>
        <v>243</v>
      </c>
      <c r="O75" s="1" t="b">
        <f t="shared" si="8"/>
        <v>1</v>
      </c>
      <c r="P75" s="1" t="b">
        <v>0</v>
      </c>
      <c r="Q75" s="1" t="b">
        <f>TRUE()</f>
        <v>1</v>
      </c>
      <c r="R75" s="4">
        <v>4.8799999999999998E-3</v>
      </c>
      <c r="S75" s="4">
        <v>4.8799999999999998E-3</v>
      </c>
      <c r="T75" s="10">
        <v>45974</v>
      </c>
      <c r="U75" s="2" t="s">
        <v>380</v>
      </c>
      <c r="V75" s="4">
        <v>0</v>
      </c>
    </row>
    <row r="76" spans="1:22" ht="64" x14ac:dyDescent="0.2">
      <c r="A76" s="1" t="s">
        <v>288</v>
      </c>
      <c r="B76" s="1" t="s">
        <v>18</v>
      </c>
      <c r="C76" s="2" t="s">
        <v>19</v>
      </c>
      <c r="D76" s="4">
        <v>0.7</v>
      </c>
      <c r="E76" s="1" t="s">
        <v>42</v>
      </c>
      <c r="G76" s="1" t="s">
        <v>258</v>
      </c>
      <c r="I76" s="2" t="s">
        <v>332</v>
      </c>
      <c r="J76" s="2" t="s">
        <v>333</v>
      </c>
      <c r="K76" s="1" t="b">
        <v>1</v>
      </c>
      <c r="L76" s="2" t="s">
        <v>125</v>
      </c>
      <c r="M76" s="2" t="str">
        <f t="shared" si="6"/>
        <v>QVQLVESGGGVVQPGRSLRLSCAASGFTFSNYGMHWVRQAPGKGLEWVAVISDGSNKYYADSVKGRFTISRDNSKNTLYLQMRAEDTAVYYCARGSHSSRDYWGQGTLVTVSSGGGSGGGSGGGSGGGSDIQMTQSPSSLSASVGDRVTITCRASQSISSYLNWYQQKPGKAPKLLIYAASSLQSGVPSRFSGSGSGTDFTLTISSLQPEDFATYYCQQSYSTPPYTFGQGTKVEIK</v>
      </c>
      <c r="N76" s="4">
        <f t="shared" si="7"/>
        <v>237</v>
      </c>
      <c r="O76" s="1" t="b">
        <f t="shared" si="8"/>
        <v>1</v>
      </c>
      <c r="P76" s="1" t="b">
        <v>0</v>
      </c>
      <c r="Q76" s="1" t="b">
        <f>TRUE()</f>
        <v>1</v>
      </c>
      <c r="R76" s="4">
        <v>0</v>
      </c>
      <c r="S76" s="4">
        <v>5.3730000000000002E-3</v>
      </c>
      <c r="T76" s="10">
        <v>45974</v>
      </c>
      <c r="U76" s="2" t="s">
        <v>379</v>
      </c>
      <c r="V76" s="4">
        <v>5.666E-3</v>
      </c>
    </row>
    <row r="77" spans="1:22" ht="64" x14ac:dyDescent="0.2">
      <c r="A77" s="1" t="s">
        <v>289</v>
      </c>
      <c r="B77" s="1" t="s">
        <v>18</v>
      </c>
      <c r="C77" s="2" t="s">
        <v>19</v>
      </c>
      <c r="D77" s="4">
        <v>0.7</v>
      </c>
      <c r="E77" s="1" t="s">
        <v>42</v>
      </c>
      <c r="G77" s="1" t="s">
        <v>258</v>
      </c>
      <c r="I77" s="2" t="s">
        <v>334</v>
      </c>
      <c r="J77" s="2" t="s">
        <v>335</v>
      </c>
      <c r="K77" s="1" t="b">
        <v>1</v>
      </c>
      <c r="L77" s="2" t="s">
        <v>125</v>
      </c>
      <c r="M77" s="2" t="str">
        <f t="shared" si="6"/>
        <v>VQLVQSGAEVKRPGSSVKVSCKTSGGTIFSTYVFWVRQAPGQGLEWMGGFPPKAGYIYAQKFQGRVTFTADESSSTTVYMEDLRSEDTAVYFCARFPYFVYDVWGQGTTVTVSSGGGSGGGSGGGSGGGSDIQMTQSPSSLSASVGDRVTITCRASQSIGGYLAWYQQKPGKVPKLLIYAASSLQSGVPSRFSGSGSGTDFTLTISSLQPEDFATYYCQQSYSTPRTFGQGTKVEIK</v>
      </c>
      <c r="N77" s="4">
        <f t="shared" si="7"/>
        <v>237</v>
      </c>
      <c r="O77" s="1" t="b">
        <f t="shared" si="8"/>
        <v>1</v>
      </c>
      <c r="P77" s="1" t="b">
        <v>0</v>
      </c>
      <c r="Q77" s="1" t="b">
        <f>TRUE()</f>
        <v>1</v>
      </c>
      <c r="R77" s="4">
        <v>0</v>
      </c>
      <c r="S77" s="4">
        <v>0</v>
      </c>
      <c r="T77" s="10">
        <v>45976</v>
      </c>
      <c r="U77" s="2" t="s">
        <v>477</v>
      </c>
      <c r="V77" s="4">
        <v>0</v>
      </c>
    </row>
    <row r="78" spans="1:22" ht="64" x14ac:dyDescent="0.2">
      <c r="A78" s="1" t="s">
        <v>290</v>
      </c>
      <c r="B78" s="1" t="s">
        <v>18</v>
      </c>
      <c r="C78" s="2" t="s">
        <v>19</v>
      </c>
      <c r="D78" s="4">
        <v>0.7</v>
      </c>
      <c r="E78" s="1" t="s">
        <v>42</v>
      </c>
      <c r="G78" s="1" t="s">
        <v>258</v>
      </c>
      <c r="I78" s="2" t="s">
        <v>336</v>
      </c>
      <c r="J78" s="2" t="s">
        <v>337</v>
      </c>
      <c r="K78" s="1" t="b">
        <v>1</v>
      </c>
      <c r="L78" s="2" t="s">
        <v>126</v>
      </c>
      <c r="M78" s="2" t="str">
        <f t="shared" si="6"/>
        <v>VQLQESGPGLVKPSQSLSLTCTVTGFSIDYNIYWGWIRQPPGKGLEWIGYIYSGSDTYNPSLKSRVTISVDTSKNQFSLKVNSVTAADTAVYYCARVVDLWYDDGKYASCVKGAIDYWGQGTLVTVSSGGGSGGGSGGGSSVLTQPPSVSGAPGQRVTISCTGSSGAGYDVHWYQQLPGTAPKLLIYGNSNRPSGVPDRFSGSKSGTSASLAITGLQAEDEADYYCQSYDSSLSGWVFGGGTKLTVL</v>
      </c>
      <c r="N78" s="4">
        <f t="shared" si="7"/>
        <v>247</v>
      </c>
      <c r="O78" s="1" t="b">
        <f t="shared" si="8"/>
        <v>1</v>
      </c>
      <c r="P78" s="1" t="b">
        <v>0</v>
      </c>
      <c r="Q78" s="1" t="b">
        <f>TRUE()</f>
        <v>1</v>
      </c>
      <c r="R78" s="4">
        <v>0</v>
      </c>
      <c r="S78" s="4">
        <v>4.8869999999999999E-3</v>
      </c>
      <c r="T78" s="10">
        <v>45976</v>
      </c>
      <c r="U78" s="2" t="s">
        <v>478</v>
      </c>
      <c r="V78" s="4">
        <v>4.9170000000000004E-3</v>
      </c>
    </row>
    <row r="79" spans="1:22" ht="64" x14ac:dyDescent="0.2">
      <c r="A79" s="1" t="s">
        <v>291</v>
      </c>
      <c r="B79" s="1" t="s">
        <v>18</v>
      </c>
      <c r="C79" s="2" t="s">
        <v>19</v>
      </c>
      <c r="D79" s="4">
        <v>0.7</v>
      </c>
      <c r="E79" s="1" t="s">
        <v>42</v>
      </c>
      <c r="G79" s="1" t="s">
        <v>258</v>
      </c>
      <c r="I79" s="2" t="s">
        <v>338</v>
      </c>
      <c r="J79" s="2" t="s">
        <v>155</v>
      </c>
      <c r="K79" s="1" t="b">
        <v>1</v>
      </c>
      <c r="L79" s="2" t="s">
        <v>125</v>
      </c>
      <c r="M79" s="2" t="str">
        <f t="shared" si="6"/>
        <v>EVQLVESGGGLVQPGGSLRLSCAASGFNVVDFSLHWVRQAPGKGLEWVASIYPYDGSAYYADSVKGRFTISADTSKNTAYLQMNSLRAEDTAVYYCARWGYWPGEGWLGKYWGQGTLVTVSGGGSGGGSGGGSGGGSDIQMTQSPSSLSASVGDRVTITCRASQSVSSAVAWYQQKPGKAPKLLIYSASSLYSGVPSRFSGSRSGTDFTLTISSLQPEDFATYYCQQYKYVPVTFGQGTKVEI</v>
      </c>
      <c r="N79" s="4">
        <f t="shared" si="7"/>
        <v>243</v>
      </c>
      <c r="O79" s="1" t="b">
        <f t="shared" si="8"/>
        <v>1</v>
      </c>
      <c r="P79" s="1" t="b">
        <v>0</v>
      </c>
      <c r="Q79" s="1" t="b">
        <f>TRUE()</f>
        <v>1</v>
      </c>
      <c r="R79" s="4">
        <v>8.0009999999999994E-3</v>
      </c>
      <c r="S79" s="4">
        <v>0.10431</v>
      </c>
      <c r="T79" s="10">
        <v>45977</v>
      </c>
      <c r="U79" s="2" t="s">
        <v>491</v>
      </c>
      <c r="V79" s="4">
        <v>0</v>
      </c>
    </row>
    <row r="80" spans="1:22" ht="64" x14ac:dyDescent="0.2">
      <c r="A80" s="1" t="s">
        <v>292</v>
      </c>
      <c r="B80" s="1" t="s">
        <v>18</v>
      </c>
      <c r="C80" s="2" t="s">
        <v>19</v>
      </c>
      <c r="D80" s="4">
        <v>0.7</v>
      </c>
      <c r="E80" s="1" t="s">
        <v>42</v>
      </c>
      <c r="G80" s="1" t="s">
        <v>258</v>
      </c>
      <c r="I80" s="2" t="s">
        <v>339</v>
      </c>
      <c r="J80" s="2" t="s">
        <v>340</v>
      </c>
      <c r="K80" s="1" t="b">
        <v>1</v>
      </c>
      <c r="L80" s="2" t="s">
        <v>125</v>
      </c>
      <c r="M80" s="2" t="str">
        <f t="shared" si="6"/>
        <v>EVQLVESGGGLVQPGGSLRLSCAASGFNISSSSIHWVRQAPGKGLEWVASISSSYGSTYYADSVKGRFTISADTSKNTAYLQMNSLRAEDTAVYYCARWEGYRGDLWGQGTLVTVSSGGGSGGGSGGGSGGGSDIQMTQSPSSLSASVGDRVTITCRASQSVSSAVAWYQQKPGKAPKLLIYSASSLYSGVPSRFSGSRSGTDFTLTISSLQPEDFATYYCQQYYEWLRTFGQGTKVEIK</v>
      </c>
      <c r="N80" s="4">
        <f t="shared" si="7"/>
        <v>240</v>
      </c>
      <c r="O80" s="1" t="b">
        <f t="shared" si="8"/>
        <v>1</v>
      </c>
      <c r="P80" s="1" t="b">
        <v>0</v>
      </c>
      <c r="Q80" s="1" t="b">
        <f>TRUE()</f>
        <v>1</v>
      </c>
      <c r="R80" s="4">
        <v>0.26539499999999999</v>
      </c>
      <c r="S80" s="4">
        <v>0.41420200000000001</v>
      </c>
      <c r="T80" s="10">
        <v>45977</v>
      </c>
      <c r="U80" s="2" t="s">
        <v>484</v>
      </c>
      <c r="V80" s="4">
        <v>0.33998800000000001</v>
      </c>
    </row>
    <row r="81" spans="1:22" ht="64" x14ac:dyDescent="0.2">
      <c r="A81" s="1" t="s">
        <v>341</v>
      </c>
      <c r="B81" s="1" t="s">
        <v>18</v>
      </c>
      <c r="C81" s="2" t="s">
        <v>19</v>
      </c>
      <c r="D81" s="4">
        <v>0.2</v>
      </c>
      <c r="E81" s="1" t="s">
        <v>49</v>
      </c>
      <c r="F81" s="1" t="s">
        <v>263</v>
      </c>
      <c r="G81" s="1" t="s">
        <v>258</v>
      </c>
      <c r="H81" s="1">
        <v>3</v>
      </c>
      <c r="I81" s="2" t="s">
        <v>343</v>
      </c>
      <c r="J81" s="2" t="s">
        <v>344</v>
      </c>
      <c r="K81" s="1" t="b">
        <v>1</v>
      </c>
      <c r="L81" s="2" t="s">
        <v>125</v>
      </c>
      <c r="M81" s="2" t="str">
        <f t="shared" si="6"/>
        <v>QVQLQESGPGLVKPSQTLSLTCTVSGGSVSSGSYYWSWIRQPPGKGLEWIGYIYYSGSTNYNPSLKSRVTISVDTSKNQFSLKLSSVTAADTAVYYCARVDSFYYGMDVWGQGTTVTVSSGGGSGGGSGGGSGGGSDIQMTQSPSSLSASVGDRVTITCRASSGSSYDNGWYQQKPGKAPKLLIYAASSLQSGVPSRFSGSGSGTDFTLTISSLQPEDFATYYLQDSNYTPRTFGQGTKVEIK</v>
      </c>
      <c r="N81" s="4">
        <f t="shared" si="7"/>
        <v>243</v>
      </c>
      <c r="O81" s="1" t="b">
        <f t="shared" si="8"/>
        <v>1</v>
      </c>
      <c r="P81" s="1" t="b">
        <v>0</v>
      </c>
      <c r="Q81" s="1" t="b">
        <f>TRUE()</f>
        <v>1</v>
      </c>
      <c r="R81" s="4">
        <v>0.22428600000000001</v>
      </c>
      <c r="S81" s="4">
        <v>0.32534800000000003</v>
      </c>
      <c r="T81" s="10">
        <v>45973</v>
      </c>
      <c r="U81" s="2" t="s">
        <v>353</v>
      </c>
      <c r="V81" s="4">
        <v>0.204621</v>
      </c>
    </row>
    <row r="82" spans="1:22" ht="64" x14ac:dyDescent="0.2">
      <c r="A82" s="1" t="s">
        <v>369</v>
      </c>
      <c r="B82" s="1" t="s">
        <v>18</v>
      </c>
      <c r="C82" s="2" t="s">
        <v>19</v>
      </c>
      <c r="D82" s="4">
        <v>0.5</v>
      </c>
      <c r="E82" s="1" t="s">
        <v>49</v>
      </c>
      <c r="F82" s="1" t="s">
        <v>274</v>
      </c>
      <c r="G82" s="1" t="s">
        <v>258</v>
      </c>
      <c r="H82" s="1">
        <v>3</v>
      </c>
      <c r="I82" s="2" t="s">
        <v>370</v>
      </c>
      <c r="J82" s="2" t="s">
        <v>371</v>
      </c>
      <c r="K82" s="1" t="b">
        <v>1</v>
      </c>
      <c r="L82" s="2" t="s">
        <v>125</v>
      </c>
      <c r="M82" s="2" t="str">
        <f t="shared" si="6"/>
        <v>QVQLVQSGAEVKKPGSSVKVSCKASGGTFSSYTISWVRQAPGQGLEWMGRIIPIFGTANYAQKFQGRVTITADKSTSTAYMELSSLRSEDTAVYYCARYYDSYFDYWGQGTLVTVSSGGGSGGGSGGGSGGGSDIQMTQSPSSLSASVGDRVTITCRASQGISSWLAWYQQKPGKAPKLLIYAASSLQSGVPSRFSGSGSGTDFTLTISSLQPEDFATYYCQCGNSFPWTFGGGTKLEIK</v>
      </c>
      <c r="N82" s="4">
        <f t="shared" si="7"/>
        <v>240</v>
      </c>
      <c r="O82" s="1" t="b">
        <f t="shared" si="8"/>
        <v>1</v>
      </c>
      <c r="P82" s="1" t="b">
        <v>0</v>
      </c>
      <c r="Q82" s="1" t="b">
        <f>TRUE()</f>
        <v>1</v>
      </c>
      <c r="R82" s="4">
        <v>0</v>
      </c>
      <c r="S82" s="4">
        <v>5.3290000000000004E-3</v>
      </c>
      <c r="T82" s="10">
        <v>45974</v>
      </c>
      <c r="U82" s="2" t="s">
        <v>378</v>
      </c>
      <c r="V82" s="4">
        <v>0.53450500000000001</v>
      </c>
    </row>
    <row r="83" spans="1:22" ht="64" x14ac:dyDescent="0.2">
      <c r="A83" s="1" t="s">
        <v>385</v>
      </c>
      <c r="B83" s="1" t="s">
        <v>35</v>
      </c>
      <c r="C83" s="2" t="s">
        <v>382</v>
      </c>
      <c r="D83" s="4">
        <v>0.7</v>
      </c>
      <c r="E83" s="1" t="s">
        <v>42</v>
      </c>
      <c r="G83" s="1" t="s">
        <v>258</v>
      </c>
      <c r="I83" s="2" t="s">
        <v>383</v>
      </c>
      <c r="J83" s="2" t="s">
        <v>384</v>
      </c>
      <c r="K83" s="1" t="b">
        <v>1</v>
      </c>
      <c r="L83" s="2" t="s">
        <v>125</v>
      </c>
      <c r="M83" s="2" t="str">
        <f t="shared" si="6"/>
        <v>DVQLQESGPGLVKPSQTLSLTCTVSGYSITSDYYWNWIRQFPGNKLEWMGYISYDGSSNYNPSLKNRISITRDNSKNQFFLQLNSVTTEDTATYYCARSCSRRGYAMDYWGQGTSVTVSSGGGSGGGSGGGSGGGSQIVLTQSPAIMSASLGEKVTLTCSASSSVSYMHWYQQKPGTSPKLLIYSCNLLSGVPDRFSGSGSGTDFTLSISNVETEDAATYYCYQYRIRFGGGTKLTVLQ</v>
      </c>
      <c r="N83" s="4">
        <f t="shared" si="7"/>
        <v>239</v>
      </c>
      <c r="O83" s="1" t="b">
        <f t="shared" si="8"/>
        <v>1</v>
      </c>
      <c r="P83" s="1" t="b">
        <v>0</v>
      </c>
      <c r="Q83" s="1" t="b">
        <f>TRUE()</f>
        <v>1</v>
      </c>
      <c r="R83" s="4">
        <v>0</v>
      </c>
      <c r="S83" s="4">
        <v>5.1529999999999996E-3</v>
      </c>
      <c r="T83" s="10">
        <v>45976</v>
      </c>
      <c r="U83" s="2" t="s">
        <v>479</v>
      </c>
      <c r="V83" s="4">
        <v>5.4400000000000004E-3</v>
      </c>
    </row>
    <row r="84" spans="1:22" ht="64" x14ac:dyDescent="0.2">
      <c r="A84" s="1" t="s">
        <v>386</v>
      </c>
      <c r="B84" s="1" t="s">
        <v>35</v>
      </c>
      <c r="C84" s="2" t="s">
        <v>382</v>
      </c>
      <c r="D84" s="4">
        <v>0.1</v>
      </c>
      <c r="E84" s="1" t="s">
        <v>42</v>
      </c>
      <c r="G84" s="1" t="s">
        <v>258</v>
      </c>
      <c r="I84" s="2" t="s">
        <v>388</v>
      </c>
      <c r="J84" s="2" t="s">
        <v>389</v>
      </c>
      <c r="K84" s="1" t="b">
        <v>1</v>
      </c>
      <c r="L84" s="2" t="s">
        <v>125</v>
      </c>
      <c r="M84" s="2" t="str">
        <f t="shared" si="6"/>
        <v>EVQLVESGGGLVQPGGSLRLSCAASGFTFSSYAMSWVRQAPGKGLEWVSSISRSGGSTYYADSVKGRFTISRDNAKNSLYLQMNSLRAEDTAVYYCARSCSSRGYFDYWGQGTLVTVSSGGGSGGGSGGGSGGGSDIVMTQSPDSLAVSLGERATINCRASQSVSSYLAWYQQKPGQSPKLLIYSCNLQSGVPDRFSGSGSGTDFTLTISSLQPEDFATYYCQPYIRFGGGGTKLEIK</v>
      </c>
      <c r="N84" s="4">
        <f t="shared" si="7"/>
        <v>238</v>
      </c>
      <c r="O84" s="1" t="b">
        <f t="shared" si="8"/>
        <v>1</v>
      </c>
      <c r="P84" s="1" t="b">
        <v>0</v>
      </c>
      <c r="Q84" s="1" t="b">
        <f>TRUE()</f>
        <v>1</v>
      </c>
      <c r="R84" s="4">
        <v>0</v>
      </c>
      <c r="S84" s="4">
        <v>5.2469999999999999E-3</v>
      </c>
      <c r="T84" s="10">
        <v>45976</v>
      </c>
      <c r="U84" s="2" t="s">
        <v>480</v>
      </c>
      <c r="V84" s="4">
        <v>0</v>
      </c>
    </row>
    <row r="85" spans="1:22" ht="64" x14ac:dyDescent="0.2">
      <c r="A85" s="1" t="s">
        <v>387</v>
      </c>
      <c r="B85" s="1" t="s">
        <v>35</v>
      </c>
      <c r="C85" s="2" t="s">
        <v>382</v>
      </c>
      <c r="D85" s="4">
        <v>0.9</v>
      </c>
      <c r="E85" s="1" t="s">
        <v>42</v>
      </c>
      <c r="G85" s="1" t="s">
        <v>258</v>
      </c>
      <c r="I85" s="2" t="s">
        <v>390</v>
      </c>
      <c r="J85" s="2" t="s">
        <v>389</v>
      </c>
      <c r="K85" s="1" t="b">
        <v>1</v>
      </c>
      <c r="L85" s="2" t="s">
        <v>125</v>
      </c>
      <c r="M85" s="2" t="str">
        <f t="shared" si="6"/>
        <v>QVQLQESGPGLVKPSQTLSLTCTVSGFSFSSYAMSWVRQAPGKGLEWVSSISRSGGSTYYADSVKGRFTISRDNAKNSLYLQMNSLRAEDTAVYYCARSCSSRGYLFDYWGQGTLVTVSSGGGSGGGSGGGSGGGSDIVMTQSPDSLAVSLGERATINCRASQSVSSYLAWYQQKPGQSPKLLIYSCNLQSGVPDRFSGSGSGTDFTLTISSLQPEDFATYYCQPYIRFGGGGTKLEIK</v>
      </c>
      <c r="N85" s="4">
        <f t="shared" si="7"/>
        <v>239</v>
      </c>
      <c r="O85" s="1" t="b">
        <f t="shared" si="8"/>
        <v>1</v>
      </c>
      <c r="P85" s="1" t="b">
        <v>0</v>
      </c>
      <c r="Q85" s="1" t="b">
        <f>TRUE()</f>
        <v>1</v>
      </c>
      <c r="R85" s="4">
        <v>0</v>
      </c>
      <c r="S85" s="4">
        <v>5.4089999999999997E-3</v>
      </c>
      <c r="T85" s="10">
        <v>45976</v>
      </c>
      <c r="U85" s="2" t="s">
        <v>482</v>
      </c>
      <c r="V85" s="4">
        <v>0</v>
      </c>
    </row>
    <row r="86" spans="1:22" ht="64" x14ac:dyDescent="0.2">
      <c r="A86" s="1" t="s">
        <v>392</v>
      </c>
      <c r="B86" s="1" t="s">
        <v>393</v>
      </c>
      <c r="C86" s="2" t="s">
        <v>391</v>
      </c>
      <c r="D86" s="4">
        <v>0.2</v>
      </c>
      <c r="E86" s="1" t="s">
        <v>49</v>
      </c>
      <c r="F86" s="1" t="s">
        <v>385</v>
      </c>
      <c r="G86" s="1" t="s">
        <v>258</v>
      </c>
      <c r="I86" s="2" t="s">
        <v>395</v>
      </c>
      <c r="J86" s="2" t="s">
        <v>394</v>
      </c>
      <c r="K86" s="1" t="b">
        <v>1</v>
      </c>
      <c r="L86" s="2" t="s">
        <v>125</v>
      </c>
      <c r="M86" s="2" t="str">
        <f t="shared" si="6"/>
        <v>SIKLTESGPTSVAPGSTLNLTCTVTGDNITSSGWYWWVKQAPDNKLTWIGGIDKNGNTWLNVAYIDRATLTRDPAANTVYLSIRNVTSSDTATYYCAKSSDDNGSYLDVWGQGLKVTVSGGGGSGGGSGGGSGGGSQVKLTQSPKEVTAKIGDTVTLTCTASQPVSTVSWYMQKPGQPPQLLISNNKLVEGVPERFSASGSGTEFTLTIKDVQKEDEAIYYCEVNGQVFGQGTKLTVLE</v>
      </c>
      <c r="N86" s="4">
        <f t="shared" si="7"/>
        <v>239</v>
      </c>
      <c r="O86" s="1" t="b">
        <f t="shared" si="8"/>
        <v>1</v>
      </c>
      <c r="P86" s="1" t="b">
        <v>0</v>
      </c>
      <c r="Q86" s="1" t="b">
        <f>TRUE()</f>
        <v>1</v>
      </c>
      <c r="R86" s="4">
        <v>0.169797</v>
      </c>
      <c r="S86" s="4">
        <v>0.25293399999999999</v>
      </c>
      <c r="T86" s="10">
        <v>45976</v>
      </c>
      <c r="U86" s="2" t="s">
        <v>481</v>
      </c>
      <c r="V86" s="4">
        <v>0</v>
      </c>
    </row>
    <row r="87" spans="1:22" ht="64" x14ac:dyDescent="0.2">
      <c r="A87" s="1" t="s">
        <v>396</v>
      </c>
      <c r="B87" s="1" t="s">
        <v>18</v>
      </c>
      <c r="C87" s="2" t="s">
        <v>19</v>
      </c>
      <c r="D87" s="4">
        <v>0.1</v>
      </c>
      <c r="E87" s="1" t="s">
        <v>42</v>
      </c>
      <c r="G87" s="1" t="s">
        <v>258</v>
      </c>
      <c r="I87" s="2" t="s">
        <v>426</v>
      </c>
      <c r="J87" s="2" t="s">
        <v>296</v>
      </c>
      <c r="K87" s="1" t="b">
        <v>1</v>
      </c>
      <c r="L87" s="2" t="s">
        <v>125</v>
      </c>
      <c r="M87" s="2" t="str">
        <f t="shared" si="6"/>
        <v>EVQLVESGGGLVQPGGSLRLSCAASGFNVSYSSIHWVRQAPGKGLEWVASIYSYSGYTYYADSVKGRFTISADTSKNTAYLQMNSLRAEDTAVYYCARGWYSYFDYWGQGTLVTVSSGGGSGGGSGGGSGGGSDIQMTQSPSSLSASVGDRVTITCRASQSVSSAVAWYQQKPGKAPKLLIYSASSLYSGVPSRFSGSRSGTDFTLTISSLQPEDFATYYCQQYKYVPVTFGQGTKVEIK</v>
      </c>
      <c r="N87" s="4">
        <f t="shared" si="7"/>
        <v>240</v>
      </c>
      <c r="O87" s="1" t="b">
        <f t="shared" si="8"/>
        <v>1</v>
      </c>
      <c r="P87" s="1" t="b">
        <v>0</v>
      </c>
      <c r="Q87" s="1" t="b">
        <f>TRUE()</f>
        <v>1</v>
      </c>
      <c r="R87" s="4">
        <v>0</v>
      </c>
      <c r="S87" s="4">
        <v>5.3860000000000002E-3</v>
      </c>
      <c r="T87" s="10"/>
      <c r="U87" s="11" t="s">
        <v>381</v>
      </c>
    </row>
    <row r="88" spans="1:22" ht="64" x14ac:dyDescent="0.2">
      <c r="A88" s="1" t="s">
        <v>397</v>
      </c>
      <c r="B88" s="1" t="s">
        <v>18</v>
      </c>
      <c r="C88" s="2" t="s">
        <v>19</v>
      </c>
      <c r="D88" s="4">
        <v>0.1</v>
      </c>
      <c r="E88" s="1" t="s">
        <v>42</v>
      </c>
      <c r="G88" s="1" t="s">
        <v>258</v>
      </c>
      <c r="I88" s="2" t="s">
        <v>427</v>
      </c>
      <c r="J88" s="2" t="s">
        <v>428</v>
      </c>
      <c r="K88" s="1" t="b">
        <v>1</v>
      </c>
      <c r="L88" s="2" t="s">
        <v>125</v>
      </c>
      <c r="M88" s="2" t="str">
        <f t="shared" si="6"/>
        <v>QVQLVQSGAEVKKPGSSVKVSCKASGGTFSSYAISWVRQAPGQGLEWMGGIIIFGTANYAQKFQGRVTITADKSTSTAYMELRSEDTAVYYCAREGTTGWDYWGQGTLVTVSSGGGSGGGSGGGSGGGSEIVLTQSPGTLSLSPGERATLSCRASQSVSSSYLAWYQQKPGQAPRLLIYGASSRATGIPDRFSGSGSGTDFTLTISRLEPEDFAVYYCQQYGSSPRTFGQGTKVEIK</v>
      </c>
      <c r="N88" s="4">
        <f t="shared" si="7"/>
        <v>237</v>
      </c>
      <c r="O88" s="1" t="b">
        <f t="shared" si="8"/>
        <v>1</v>
      </c>
      <c r="P88" s="1" t="b">
        <v>0</v>
      </c>
      <c r="Q88" s="1" t="b">
        <f>TRUE()</f>
        <v>1</v>
      </c>
      <c r="R88" s="4">
        <v>0</v>
      </c>
      <c r="S88" s="4">
        <v>5.1520000000000003E-3</v>
      </c>
      <c r="T88" s="10">
        <v>45977</v>
      </c>
      <c r="U88" s="2" t="s">
        <v>487</v>
      </c>
      <c r="V88" s="4">
        <v>9.7619999999999998E-3</v>
      </c>
    </row>
    <row r="89" spans="1:22" ht="64" x14ac:dyDescent="0.2">
      <c r="A89" s="1" t="s">
        <v>398</v>
      </c>
      <c r="B89" s="1" t="s">
        <v>18</v>
      </c>
      <c r="C89" s="2" t="s">
        <v>19</v>
      </c>
      <c r="D89" s="4">
        <v>0.1</v>
      </c>
      <c r="E89" s="1" t="s">
        <v>42</v>
      </c>
      <c r="G89" s="1" t="s">
        <v>258</v>
      </c>
      <c r="I89" s="2" t="s">
        <v>429</v>
      </c>
      <c r="J89" s="2" t="s">
        <v>296</v>
      </c>
      <c r="K89" s="1" t="b">
        <v>1</v>
      </c>
      <c r="L89" s="2" t="s">
        <v>125</v>
      </c>
      <c r="M89" s="2" t="str">
        <f t="shared" si="6"/>
        <v>EVQLVESGGGLVQPGGSLRLSCAASGFNVSYYSIHWVRQAPGKGLEWVASIYSYSGYTSYADSVKGRFTISADTSKNTAYLQMNSLRAEDTAVYYCARYYVYYGAMDYWGQGTLVTVSSGGGSGGGSGGGSGGGSDIQMTQSPSSLSASVGDRVTITCRASQSVSSAVAWYQQKPGKAPKLLIYSASSLYSGVPSRFSGSRSGTDFTLTISSLQPEDFATYYCQQYKYVPVTFGQGTKVEIK</v>
      </c>
      <c r="N89" s="4">
        <f t="shared" si="7"/>
        <v>242</v>
      </c>
      <c r="O89" s="1" t="b">
        <f t="shared" si="8"/>
        <v>1</v>
      </c>
      <c r="P89" s="1" t="b">
        <v>0</v>
      </c>
      <c r="Q89" s="1" t="b">
        <f>TRUE()</f>
        <v>1</v>
      </c>
      <c r="R89" s="4">
        <v>0</v>
      </c>
      <c r="S89" s="4">
        <v>5.2599999999999999E-3</v>
      </c>
      <c r="T89" s="10">
        <v>45977</v>
      </c>
      <c r="U89" s="11" t="s">
        <v>381</v>
      </c>
    </row>
    <row r="90" spans="1:22" ht="64" x14ac:dyDescent="0.2">
      <c r="A90" s="1" t="s">
        <v>399</v>
      </c>
      <c r="B90" s="1" t="s">
        <v>18</v>
      </c>
      <c r="C90" s="2" t="s">
        <v>19</v>
      </c>
      <c r="D90" s="4">
        <v>0.1</v>
      </c>
      <c r="E90" s="1" t="s">
        <v>42</v>
      </c>
      <c r="G90" s="1" t="s">
        <v>258</v>
      </c>
      <c r="I90" s="2" t="s">
        <v>430</v>
      </c>
      <c r="J90" s="2" t="s">
        <v>296</v>
      </c>
      <c r="K90" s="1" t="b">
        <v>1</v>
      </c>
      <c r="L90" s="2" t="s">
        <v>125</v>
      </c>
      <c r="M90" s="2" t="str">
        <f t="shared" si="6"/>
        <v>EVQLVESGGGLVQPGGSLRLSCAASGFNVSYSSIHWVRQAPGKGLEWVASIYSYSGYTYYADSVKGRFTISADTSKNTAYLQMNSLRAEDTAVYYCARGWVRGSSYWGQGTLVTVSSGGGSGGGSGGGSGGGSDIQMTQSPSSLSASVGDRVTITCRASQSVSSAVAWYQQKPGKAPKLLIYSASSLYSGVPSRFSGSRSGTDFTLTISSLQPEDFATYYCQQYKYVPVTFGQGTKVEIK</v>
      </c>
      <c r="N90" s="4">
        <f t="shared" si="7"/>
        <v>240</v>
      </c>
      <c r="O90" s="1" t="b">
        <f t="shared" si="8"/>
        <v>1</v>
      </c>
      <c r="P90" s="1" t="b">
        <v>0</v>
      </c>
      <c r="Q90" s="1" t="b">
        <f>TRUE()</f>
        <v>1</v>
      </c>
      <c r="R90" s="4">
        <v>0.25166500000000003</v>
      </c>
      <c r="S90" s="4">
        <v>0.40871299999999999</v>
      </c>
      <c r="T90" s="10">
        <v>45977</v>
      </c>
      <c r="U90" s="2" t="s">
        <v>486</v>
      </c>
      <c r="V90" s="4">
        <v>0.218168</v>
      </c>
    </row>
    <row r="91" spans="1:22" ht="64" x14ac:dyDescent="0.2">
      <c r="A91" s="1" t="s">
        <v>400</v>
      </c>
      <c r="B91" s="1" t="s">
        <v>18</v>
      </c>
      <c r="C91" s="2" t="s">
        <v>19</v>
      </c>
      <c r="D91" s="4">
        <v>0.1</v>
      </c>
      <c r="E91" s="1" t="s">
        <v>42</v>
      </c>
      <c r="G91" s="1" t="s">
        <v>258</v>
      </c>
      <c r="I91" s="2" t="s">
        <v>431</v>
      </c>
      <c r="J91" s="2" t="s">
        <v>296</v>
      </c>
      <c r="K91" s="1" t="b">
        <v>1</v>
      </c>
      <c r="L91" s="2" t="s">
        <v>125</v>
      </c>
      <c r="M91" s="2" t="str">
        <f t="shared" si="6"/>
        <v>EVQLVESGGGLVQPGGSLRLSCAASGFNVSYSSIHWVRQAPGKGLEWVASIYSYSGYTNYADSVKGRFTISADTSKNTAYLQMNSLRAEDTAVYYCARYYGGYGGYFDYWGQGTLVTVSSGGGSGGGSGGGSGGGSDIQMTQSPSSLSASVGDRVTITCRASQSVSSAVAWYQQKPGKAPKLLIYSASSLYSGVPSRFSGSRSGTDFTLTISSLQPEDFATYYCQQYKYVPVTFGQGTKVEIK</v>
      </c>
      <c r="N91" s="4">
        <f t="shared" si="7"/>
        <v>243</v>
      </c>
      <c r="O91" s="1" t="b">
        <f t="shared" si="8"/>
        <v>1</v>
      </c>
      <c r="P91" s="1" t="b">
        <v>0</v>
      </c>
      <c r="Q91" s="1" t="b">
        <f>TRUE()</f>
        <v>1</v>
      </c>
      <c r="R91" s="4">
        <v>0</v>
      </c>
      <c r="S91" s="4">
        <v>4.888E-3</v>
      </c>
      <c r="T91" s="10"/>
      <c r="U91" s="11" t="s">
        <v>381</v>
      </c>
    </row>
    <row r="92" spans="1:22" ht="64" x14ac:dyDescent="0.2">
      <c r="A92" s="1" t="s">
        <v>401</v>
      </c>
      <c r="B92" s="1" t="s">
        <v>18</v>
      </c>
      <c r="C92" s="2" t="s">
        <v>19</v>
      </c>
      <c r="D92" s="4">
        <v>0.1</v>
      </c>
      <c r="E92" s="1" t="s">
        <v>42</v>
      </c>
      <c r="G92" s="1" t="s">
        <v>258</v>
      </c>
      <c r="I92" s="2" t="s">
        <v>432</v>
      </c>
      <c r="J92" s="2" t="s">
        <v>296</v>
      </c>
      <c r="K92" s="1" t="b">
        <v>1</v>
      </c>
      <c r="L92" s="2" t="s">
        <v>125</v>
      </c>
      <c r="M92" s="2" t="str">
        <f t="shared" si="6"/>
        <v>EVQLVESGGGLVQPGGSLRLSCAASGFNVSYYSIHWVRQAPGKGLEWVASIYPYSGYTNYADSVKGRFTISADTSKNTAYLQMNSLRAEDTAVYYCARYYGYWYFDYWGQGTLVTVSSGGGSGGGSGGGSGGGSDIQMTQSPSSLSASVGDRVTITCRASQSVSSAVAWYQQKPGKAPKLLIYSASSLYSGVPSRFSGSRSGTDFTLTISSLQPEDFATYYCQQYKYVPVTFGQGTKVEIK</v>
      </c>
      <c r="N92" s="4">
        <f t="shared" si="7"/>
        <v>241</v>
      </c>
      <c r="O92" s="1" t="b">
        <f t="shared" si="8"/>
        <v>1</v>
      </c>
      <c r="P92" s="1" t="b">
        <v>0</v>
      </c>
      <c r="Q92" s="1" t="b">
        <f>TRUE()</f>
        <v>1</v>
      </c>
      <c r="R92" s="4">
        <v>0</v>
      </c>
      <c r="S92" s="4">
        <v>5.4039999999999999E-3</v>
      </c>
      <c r="T92" s="10"/>
      <c r="U92" s="11" t="s">
        <v>381</v>
      </c>
    </row>
    <row r="93" spans="1:22" ht="64" x14ac:dyDescent="0.2">
      <c r="A93" s="1" t="s">
        <v>402</v>
      </c>
      <c r="B93" s="1" t="s">
        <v>18</v>
      </c>
      <c r="C93" s="2" t="s">
        <v>19</v>
      </c>
      <c r="D93" s="4">
        <v>0.1</v>
      </c>
      <c r="E93" s="1" t="s">
        <v>42</v>
      </c>
      <c r="G93" s="1" t="s">
        <v>258</v>
      </c>
      <c r="I93" s="2" t="s">
        <v>433</v>
      </c>
      <c r="J93" s="2" t="s">
        <v>296</v>
      </c>
      <c r="K93" s="1" t="b">
        <v>1</v>
      </c>
      <c r="L93" s="2" t="s">
        <v>125</v>
      </c>
      <c r="M93" s="2" t="str">
        <f t="shared" si="6"/>
        <v>EVQLVESGGGLVQPGGSLRLSCAASGFNVSYSSIHWVRQAPGKGLEWVASIYSYSGYTSYADSVKGRFTISADTSKNTAYLQMNSLRAEDTAVYYCARYYGGYGGWYFDYWGQGTLVTVSSGGGSGGGSGGGSGGGSDIQMTQSPSSLSASVGDRVTITCRASQSVSSAVAWYQQKPGKAPKLLIYSASSLYSGVPSRFSGSRSGTDFTLTISSLQPEDFATYYCQQYKYVPVTFGQGTKVEIK</v>
      </c>
      <c r="N93" s="4">
        <f t="shared" si="7"/>
        <v>244</v>
      </c>
      <c r="O93" s="1" t="b">
        <f t="shared" si="8"/>
        <v>1</v>
      </c>
      <c r="P93" s="1" t="b">
        <v>0</v>
      </c>
      <c r="Q93" s="1" t="b">
        <f>TRUE()</f>
        <v>1</v>
      </c>
      <c r="R93" s="4">
        <v>4.7809999999999997E-3</v>
      </c>
      <c r="S93" s="4">
        <v>1.0769000000000001E-2</v>
      </c>
      <c r="T93" s="10"/>
      <c r="U93" s="11" t="s">
        <v>381</v>
      </c>
    </row>
    <row r="94" spans="1:22" ht="64" x14ac:dyDescent="0.2">
      <c r="A94" s="1" t="s">
        <v>403</v>
      </c>
      <c r="B94" s="1" t="s">
        <v>18</v>
      </c>
      <c r="C94" s="2" t="s">
        <v>19</v>
      </c>
      <c r="D94" s="4">
        <v>0.1</v>
      </c>
      <c r="E94" s="1" t="s">
        <v>42</v>
      </c>
      <c r="G94" s="1" t="s">
        <v>258</v>
      </c>
      <c r="I94" s="2" t="s">
        <v>434</v>
      </c>
      <c r="J94" s="2" t="s">
        <v>296</v>
      </c>
      <c r="K94" s="1" t="b">
        <v>1</v>
      </c>
      <c r="L94" s="2" t="s">
        <v>125</v>
      </c>
      <c r="M94" s="2" t="str">
        <f t="shared" si="6"/>
        <v>EVQLVESGGGLVQPGGSLRLSCAASGFNVSYYSIHWVRQAPGKGLEWVASISSYYGYTYYADSVKGRFTISADTSKNTAYLQMNSLRAEDTAVYYCARYYGYWYFDYWGQGTLVTVSSGGGSGGGSGGGSGGGSDIQMTQSPSSLSASVGDRVTITCRASQSVSSAVAWYQQKPGKAPKLLIYSASSLYSGVPSRFSGSRSGTDFTLTISSLQPEDFATYYCQQYKYVPVTFGQGTKVEIK</v>
      </c>
      <c r="N94" s="4">
        <f t="shared" si="7"/>
        <v>241</v>
      </c>
      <c r="O94" s="1" t="b">
        <f t="shared" si="8"/>
        <v>1</v>
      </c>
      <c r="P94" s="1" t="b">
        <v>0</v>
      </c>
      <c r="Q94" s="1" t="b">
        <f>TRUE()</f>
        <v>1</v>
      </c>
      <c r="R94" s="4">
        <v>0</v>
      </c>
      <c r="S94" s="4">
        <v>5.1809999999999998E-3</v>
      </c>
      <c r="T94" s="10"/>
      <c r="U94" s="11" t="s">
        <v>381</v>
      </c>
    </row>
    <row r="95" spans="1:22" ht="64" x14ac:dyDescent="0.2">
      <c r="A95" s="1" t="s">
        <v>404</v>
      </c>
      <c r="B95" s="1" t="s">
        <v>18</v>
      </c>
      <c r="C95" s="2" t="s">
        <v>19</v>
      </c>
      <c r="D95" s="4">
        <v>0.1</v>
      </c>
      <c r="E95" s="1" t="s">
        <v>42</v>
      </c>
      <c r="G95" s="1" t="s">
        <v>258</v>
      </c>
      <c r="I95" s="2" t="s">
        <v>435</v>
      </c>
      <c r="J95" s="2" t="s">
        <v>296</v>
      </c>
      <c r="K95" s="1" t="b">
        <v>1</v>
      </c>
      <c r="L95" s="2" t="s">
        <v>125</v>
      </c>
      <c r="M95" s="2" t="str">
        <f t="shared" si="6"/>
        <v>EVQLVESGGGLVQPGGSLRLSCAASGFNVSYYSIHWVRQAPGKGLEWVASISSYYGYTYYADSVKGRFTISADTSKNTAYLQMNSLRAEDTAVYYCARYYGTYYGHSYWGQGTLVTVSSGGGSGGGSGGGSGGGSDIQMTQSPSSLSASVGDRVTITCRASQSVSSAVAWYQQKPGKAPKLLIYSASSLYSGVPSRFSGSRSGTDFTLTISSLQPEDFATYYCQQYKYVPVTFGQGTKVEIK</v>
      </c>
      <c r="N95" s="4">
        <f t="shared" si="7"/>
        <v>242</v>
      </c>
      <c r="O95" s="1" t="b">
        <f t="shared" si="8"/>
        <v>1</v>
      </c>
      <c r="P95" s="1" t="b">
        <v>0</v>
      </c>
      <c r="Q95" s="1" t="b">
        <f>TRUE()</f>
        <v>1</v>
      </c>
      <c r="R95" s="4">
        <v>0</v>
      </c>
      <c r="S95" s="4">
        <v>5.0010000000000002E-3</v>
      </c>
      <c r="T95" s="10"/>
      <c r="U95" s="11" t="s">
        <v>381</v>
      </c>
    </row>
    <row r="96" spans="1:22" ht="64" x14ac:dyDescent="0.2">
      <c r="A96" s="1" t="s">
        <v>405</v>
      </c>
      <c r="B96" s="1" t="s">
        <v>18</v>
      </c>
      <c r="C96" s="2" t="s">
        <v>19</v>
      </c>
      <c r="D96" s="4">
        <v>0.1</v>
      </c>
      <c r="E96" s="1" t="s">
        <v>42</v>
      </c>
      <c r="G96" s="1" t="s">
        <v>258</v>
      </c>
      <c r="I96" s="2" t="s">
        <v>436</v>
      </c>
      <c r="J96" s="2" t="s">
        <v>296</v>
      </c>
      <c r="K96" s="1" t="b">
        <v>1</v>
      </c>
      <c r="L96" s="2" t="s">
        <v>125</v>
      </c>
      <c r="M96" s="2" t="str">
        <f t="shared" si="6"/>
        <v>EVQLVESGGGLVQPGGSLRLSCAASGFNVSYSSIHWVRQAPGKGLEWVASIYSYSGYTNYADSVKGRFTISADTSKNTAYLQMNSLRAEDTAVYYCARYWYFGYFDYWGQGTLVTVSSGGGSGGGSGGGSGGGSDIQMTQSPSSLSASVGDRVTITCRASQSVSSAVAWYQQKPGKAPKLLIYSASSLYSGVPSRFSGSRSGTDFTLTISSLQPEDFATYYCQQYKYVPVTFGQGTKVEIK</v>
      </c>
      <c r="N96" s="4">
        <f t="shared" si="7"/>
        <v>241</v>
      </c>
      <c r="O96" s="1" t="b">
        <f t="shared" si="8"/>
        <v>1</v>
      </c>
      <c r="P96" s="1" t="b">
        <v>0</v>
      </c>
      <c r="Q96" s="1" t="b">
        <f>TRUE()</f>
        <v>1</v>
      </c>
      <c r="R96" s="4">
        <v>5.2069999999999998E-3</v>
      </c>
      <c r="S96" s="4">
        <v>3.3148999999999998E-2</v>
      </c>
      <c r="T96" s="10"/>
      <c r="U96" s="11" t="s">
        <v>381</v>
      </c>
    </row>
    <row r="97" spans="1:22" ht="64" x14ac:dyDescent="0.2">
      <c r="A97" s="1" t="s">
        <v>406</v>
      </c>
      <c r="B97" s="1" t="s">
        <v>18</v>
      </c>
      <c r="C97" s="2" t="s">
        <v>19</v>
      </c>
      <c r="D97" s="4">
        <v>0.6</v>
      </c>
      <c r="E97" s="1" t="s">
        <v>42</v>
      </c>
      <c r="G97" s="1" t="s">
        <v>258</v>
      </c>
      <c r="I97" s="2" t="s">
        <v>437</v>
      </c>
      <c r="J97" s="2" t="s">
        <v>438</v>
      </c>
      <c r="K97" s="1" t="b">
        <v>1</v>
      </c>
      <c r="L97" s="2" t="s">
        <v>125</v>
      </c>
      <c r="M97" s="2" t="str">
        <f t="shared" si="6"/>
        <v>EVQLVESGGGLVKPGGSLRLSCAASGFTFRNYAMSWVRQAPGKGLEWVSSISSKSKSTSYADSVKGRFTISRDNAKNSLYLQMNSLRAEDTAVYYCARESGSFSYEGVWGQGTLVTVSSGGGSGGGSGGGSGGGSSVLTQPPSVSGAPGQRVTISCTGSSSNIGAGYDVHWYQQLPGTAPKLLIYDNNKRPSGVPDRFSGSKSGTSASLAITGLQAEDEADYYCQSYDSSLSGLVFGGGTKLTVL</v>
      </c>
      <c r="N97" s="4">
        <f t="shared" si="7"/>
        <v>245</v>
      </c>
      <c r="O97" s="1" t="b">
        <f t="shared" si="8"/>
        <v>1</v>
      </c>
      <c r="P97" s="1" t="b">
        <v>0</v>
      </c>
      <c r="Q97" s="1" t="b">
        <f>TRUE()</f>
        <v>1</v>
      </c>
      <c r="R97" s="4">
        <v>0</v>
      </c>
      <c r="S97" s="4">
        <v>4.9690000000000003E-3</v>
      </c>
      <c r="T97" s="10">
        <v>45977</v>
      </c>
      <c r="U97" s="2" t="s">
        <v>485</v>
      </c>
      <c r="V97" s="4">
        <v>4.9849999999999998E-3</v>
      </c>
    </row>
    <row r="98" spans="1:22" ht="64" x14ac:dyDescent="0.2">
      <c r="A98" s="1" t="s">
        <v>407</v>
      </c>
      <c r="B98" s="1" t="s">
        <v>18</v>
      </c>
      <c r="C98" s="2" t="s">
        <v>19</v>
      </c>
      <c r="D98" s="4">
        <v>0.6</v>
      </c>
      <c r="E98" s="1" t="s">
        <v>42</v>
      </c>
      <c r="G98" s="1" t="s">
        <v>258</v>
      </c>
      <c r="I98" s="2" t="s">
        <v>439</v>
      </c>
      <c r="J98" s="2" t="s">
        <v>304</v>
      </c>
      <c r="K98" s="1" t="b">
        <v>1</v>
      </c>
      <c r="L98" s="2" t="s">
        <v>125</v>
      </c>
      <c r="M98" s="2" t="str">
        <f t="shared" ref="M98:M129" si="9">_xlfn.CONCAT(I98,L98,J98)</f>
        <v>EVQLVESGGGLVQPGGSLRLSCAASGFNISSSSIHWVRQAPGKGLEWVASIYYSSGYTHYADSVKGRFTISADTSKNTAYLQMNSLRAEDTAVYYCARWGYWPGQVWLWFAYWGQGTLVTVSGGGSGGGSGGGSGGGSDIQMTQSPSSLSASVGDRVTITCRASQSVSSAVAWYQQKPGKAPKLLIYSASSLYSGVPSRFSGSRSGTDFTLTISSLQPEDFATYYCQQSSSSLITFGQGTKVEIK</v>
      </c>
      <c r="N98" s="4">
        <f t="shared" ref="N98:N129" si="10">LEN(M98)</f>
        <v>245</v>
      </c>
      <c r="O98" s="1" t="b">
        <f t="shared" ref="O98:O129" si="11">IF(N98&lt;=250,TRUE,FALSE)</f>
        <v>1</v>
      </c>
      <c r="P98" s="1" t="b">
        <v>0</v>
      </c>
      <c r="Q98" s="1" t="b">
        <f>TRUE()</f>
        <v>1</v>
      </c>
      <c r="R98" s="4">
        <v>0.307058</v>
      </c>
      <c r="S98" s="4">
        <v>0.42117900000000003</v>
      </c>
      <c r="T98" s="10">
        <v>45977</v>
      </c>
      <c r="U98" s="2" t="s">
        <v>490</v>
      </c>
      <c r="V98" s="4">
        <v>0.12482500000000001</v>
      </c>
    </row>
    <row r="99" spans="1:22" ht="64" x14ac:dyDescent="0.2">
      <c r="A99" s="1" t="s">
        <v>408</v>
      </c>
      <c r="B99" s="1" t="s">
        <v>18</v>
      </c>
      <c r="C99" s="2" t="s">
        <v>19</v>
      </c>
      <c r="D99" s="4">
        <v>0.6</v>
      </c>
      <c r="E99" s="1" t="s">
        <v>42</v>
      </c>
      <c r="G99" s="1" t="s">
        <v>258</v>
      </c>
      <c r="I99" s="2" t="s">
        <v>440</v>
      </c>
      <c r="J99" s="2" t="s">
        <v>441</v>
      </c>
      <c r="K99" s="1" t="b">
        <v>1</v>
      </c>
      <c r="L99" s="2" t="s">
        <v>125</v>
      </c>
      <c r="M99" s="2" t="str">
        <f t="shared" si="9"/>
        <v>QVQLVQSGAEVKKPGSSVKVSCKSSGGTSNNYAISWVRQAPGQGLEWMGGIIPILGIANYAQKFQGRVTITADKSTSTAYMELSSLRSEDTAVYYCAREDAVVDYWGQGTLVTVSSGGGSGGGSGGGSGGGSDIQMTQSPSTLSASVGDRVTITCRASQGISSWLAWYQQKPGKAPKLLIYKASSLESGVPSRFSGSGSGTEFTLTISSLQPDDFATYYCQQYNSYPLTFGQGTKVQVK</v>
      </c>
      <c r="N99" s="4">
        <f t="shared" si="10"/>
        <v>239</v>
      </c>
      <c r="O99" s="1" t="b">
        <f t="shared" si="11"/>
        <v>1</v>
      </c>
      <c r="P99" s="1" t="b">
        <v>0</v>
      </c>
      <c r="Q99" s="1" t="b">
        <f>TRUE()</f>
        <v>1</v>
      </c>
      <c r="R99" s="4">
        <v>5.2290000000000001E-3</v>
      </c>
      <c r="S99" s="4">
        <v>6.1022E-2</v>
      </c>
      <c r="T99" s="10">
        <v>45978</v>
      </c>
      <c r="U99" s="2" t="s">
        <v>492</v>
      </c>
      <c r="V99" s="4">
        <v>0.119756</v>
      </c>
    </row>
    <row r="100" spans="1:22" ht="64" x14ac:dyDescent="0.2">
      <c r="A100" s="1" t="s">
        <v>409</v>
      </c>
      <c r="B100" s="1" t="s">
        <v>18</v>
      </c>
      <c r="C100" s="2" t="s">
        <v>19</v>
      </c>
      <c r="D100" s="4">
        <v>0.6</v>
      </c>
      <c r="E100" s="1" t="s">
        <v>42</v>
      </c>
      <c r="G100" s="1" t="s">
        <v>258</v>
      </c>
      <c r="I100" s="2" t="s">
        <v>442</v>
      </c>
      <c r="J100" s="2" t="s">
        <v>296</v>
      </c>
      <c r="K100" s="1" t="b">
        <v>1</v>
      </c>
      <c r="L100" s="2" t="s">
        <v>125</v>
      </c>
      <c r="M100" s="2" t="str">
        <f t="shared" si="9"/>
        <v>EVQLVESGGGLVQPGGSLRLSCAASGFNVSSSSIHWVRQAPGKGLEWVASISSYYGYTYYADSVKGRFTISADTSKNTAYLQMNSLRAEDTAVYYCARHWGYCSWFAYWGQGTLVTVSSGGGSGGGSGGGSGGGSDIQMTQSPSSLSASVGDRVTITCRASQSVSSAVAWYQQKPGKAPKLLIYSASSLYSGVPSRFSGSRSGTDFTLTISSLQPEDFATYYCQQYKYVPVTFGQGTKVEIK</v>
      </c>
      <c r="N100" s="4">
        <f t="shared" si="10"/>
        <v>242</v>
      </c>
      <c r="O100" s="1" t="b">
        <f t="shared" si="11"/>
        <v>1</v>
      </c>
      <c r="P100" s="1" t="b">
        <v>0</v>
      </c>
      <c r="Q100" s="1" t="b">
        <f>TRUE()</f>
        <v>1</v>
      </c>
      <c r="R100" s="4">
        <v>0</v>
      </c>
      <c r="S100" s="4">
        <v>5.176E-3</v>
      </c>
      <c r="T100" s="10"/>
      <c r="U100" s="11" t="s">
        <v>381</v>
      </c>
    </row>
    <row r="101" spans="1:22" ht="64" x14ac:dyDescent="0.2">
      <c r="A101" s="1" t="s">
        <v>410</v>
      </c>
      <c r="B101" s="1" t="s">
        <v>18</v>
      </c>
      <c r="C101" s="2" t="s">
        <v>19</v>
      </c>
      <c r="D101" s="4">
        <v>0.6</v>
      </c>
      <c r="E101" s="1" t="s">
        <v>42</v>
      </c>
      <c r="G101" s="1" t="s">
        <v>258</v>
      </c>
      <c r="I101" s="2" t="s">
        <v>443</v>
      </c>
      <c r="J101" s="2" t="s">
        <v>304</v>
      </c>
      <c r="K101" s="1" t="b">
        <v>1</v>
      </c>
      <c r="L101" s="2" t="s">
        <v>125</v>
      </c>
      <c r="M101" s="2" t="str">
        <f t="shared" si="9"/>
        <v>EVQLVESGGGLVQPGGSLRLSCAASGFNISSSSIHWVRQAPGKGLEWVASIYSYSGYTSYADSVKGRFTISADTSKNTAYLQMNSLRAEDTAVYYCARGSHYFGYFDYWGQGTLVTVSSGGGSGGGSGGGSGGGSDIQMTQSPSSLSASVGDRVTITCRASQSVSSAVAWYQQKPGKAPKLLIYSASSLYSGVPSRFSGSRSGTDFTLTISSLQPEDFATYYCQQSSSSLITFGQGTKVEIK</v>
      </c>
      <c r="N101" s="4">
        <f t="shared" si="10"/>
        <v>242</v>
      </c>
      <c r="O101" s="1" t="b">
        <f t="shared" si="11"/>
        <v>1</v>
      </c>
      <c r="P101" s="1" t="b">
        <v>0</v>
      </c>
      <c r="Q101" s="1" t="b">
        <f>TRUE()</f>
        <v>1</v>
      </c>
      <c r="R101" s="4">
        <v>0</v>
      </c>
      <c r="S101" s="4">
        <v>5.4390000000000003E-3</v>
      </c>
      <c r="T101" s="10"/>
      <c r="U101" s="11" t="s">
        <v>381</v>
      </c>
    </row>
    <row r="102" spans="1:22" ht="64" x14ac:dyDescent="0.2">
      <c r="A102" s="1" t="s">
        <v>411</v>
      </c>
      <c r="B102" s="1" t="s">
        <v>18</v>
      </c>
      <c r="C102" s="2" t="s">
        <v>19</v>
      </c>
      <c r="D102" s="4">
        <v>0.6</v>
      </c>
      <c r="E102" s="1" t="s">
        <v>42</v>
      </c>
      <c r="G102" s="1" t="s">
        <v>258</v>
      </c>
      <c r="I102" s="2" t="s">
        <v>444</v>
      </c>
      <c r="J102" s="2" t="s">
        <v>445</v>
      </c>
      <c r="K102" s="1" t="b">
        <v>1</v>
      </c>
      <c r="L102" s="2" t="s">
        <v>125</v>
      </c>
      <c r="M102" s="2" t="str">
        <f t="shared" si="9"/>
        <v>QVQLQESGPGLVKPSQTLSLTCTVSGGSISSGDYYWIRQHPGKGLEWIGYIYYSGSTDYNPSLKSRVTISVDTSKNQFSLKVTAADTAVYYCARTWFGSDYWGQGTLVTVSSGGGSGGGSGGGSGGGSDIQMTQSPSSLSASVGDRVTITCRASQGISNYLAWYQQKPGKAPKLLIYAASTLQSGVPSRFSGSGSGTDFTLTISSLQPEDFATYYCQQAHSFPYTFGGGTKLEIK</v>
      </c>
      <c r="N102" s="4">
        <f t="shared" si="10"/>
        <v>235</v>
      </c>
      <c r="O102" s="1" t="b">
        <f t="shared" si="11"/>
        <v>1</v>
      </c>
      <c r="P102" s="1" t="b">
        <v>0</v>
      </c>
      <c r="Q102" s="1" t="b">
        <f>TRUE()</f>
        <v>1</v>
      </c>
      <c r="R102" s="4">
        <v>0</v>
      </c>
      <c r="S102" s="4">
        <v>5.2649999999999997E-3</v>
      </c>
      <c r="T102" s="10">
        <v>45978</v>
      </c>
      <c r="U102" s="2" t="s">
        <v>493</v>
      </c>
      <c r="V102" s="4">
        <v>0.25569399999999998</v>
      </c>
    </row>
    <row r="103" spans="1:22" ht="64" x14ac:dyDescent="0.2">
      <c r="A103" s="1" t="s">
        <v>412</v>
      </c>
      <c r="B103" s="1" t="s">
        <v>18</v>
      </c>
      <c r="C103" s="2" t="s">
        <v>19</v>
      </c>
      <c r="D103" s="4">
        <v>0.6</v>
      </c>
      <c r="E103" s="1" t="s">
        <v>42</v>
      </c>
      <c r="G103" s="1" t="s">
        <v>258</v>
      </c>
      <c r="I103" s="2" t="s">
        <v>446</v>
      </c>
      <c r="J103" s="2" t="s">
        <v>447</v>
      </c>
      <c r="K103" s="1" t="b">
        <v>1</v>
      </c>
      <c r="L103" s="2" t="s">
        <v>125</v>
      </c>
      <c r="M103" s="2" t="str">
        <f t="shared" si="9"/>
        <v>EVQLVESGGGLVQPGGSLRLSCAASGFTFSSYWMNWVRQAPGKGLEWVAFIRYDGGNKYYADSVKGRFTISRDNSKNTLYLQMNSLRAEDTAVYYCARWSYSGGSGSYYVYFDYWGQGTLVTVSGGGSGGGSGGGSGGGSSVLTQPPSVSGAPGQRVTISCTGSSSNIGAGYDVHWYQQLPGTAPKLLIYGNSNRPSGVPDRFSGSKSGTSASLAITGLQAEDEADYYCQSYDSSLSGSVFGGGTKLTVL</v>
      </c>
      <c r="N103" s="4">
        <f t="shared" si="10"/>
        <v>250</v>
      </c>
      <c r="O103" s="1" t="b">
        <f t="shared" si="11"/>
        <v>1</v>
      </c>
      <c r="P103" s="1" t="b">
        <v>0</v>
      </c>
      <c r="Q103" s="1" t="b">
        <f>TRUE()</f>
        <v>1</v>
      </c>
      <c r="R103" s="4">
        <v>0</v>
      </c>
      <c r="S103" s="4">
        <v>5.385E-3</v>
      </c>
      <c r="T103" s="10">
        <v>45978</v>
      </c>
      <c r="U103" s="2" t="s">
        <v>514</v>
      </c>
      <c r="V103" s="4">
        <v>0.225609</v>
      </c>
    </row>
    <row r="104" spans="1:22" ht="64" x14ac:dyDescent="0.2">
      <c r="A104" s="1" t="s">
        <v>413</v>
      </c>
      <c r="B104" s="1" t="s">
        <v>18</v>
      </c>
      <c r="C104" s="2" t="s">
        <v>19</v>
      </c>
      <c r="D104" s="4">
        <v>0.6</v>
      </c>
      <c r="E104" s="1" t="s">
        <v>42</v>
      </c>
      <c r="G104" s="1" t="s">
        <v>258</v>
      </c>
      <c r="I104" s="2" t="s">
        <v>448</v>
      </c>
      <c r="J104" s="2" t="s">
        <v>449</v>
      </c>
      <c r="K104" s="1" t="b">
        <v>1</v>
      </c>
      <c r="L104" s="2" t="s">
        <v>125</v>
      </c>
      <c r="M104" s="2" t="str">
        <f t="shared" si="9"/>
        <v>QVQLVQSGAEVKKPGASVKVSCKASGYTFTNYYIHWVRQAPGQGLEWMGWIYPGGNTNYAQKFQGRVTMTRDTSISTAYMELSRLRSDDTAVYYCARVRTEFDYWGQGTLVTVSSGGGSGGGSGGGSGGGSDIVMTQSPSSLAMSAGAETITCRSSQSVHSNGYLNWYQQKPGQPPKLLIYWASTRESGVPDRFTGSGSGTDFTLTITNVQSEDLAEYFCQQYSSYPLTFGAGTKLELR</v>
      </c>
      <c r="N104" s="4">
        <f t="shared" si="10"/>
        <v>239</v>
      </c>
      <c r="O104" s="1" t="b">
        <f t="shared" si="11"/>
        <v>1</v>
      </c>
      <c r="P104" s="1" t="b">
        <v>0</v>
      </c>
      <c r="Q104" s="1" t="b">
        <f>TRUE()</f>
        <v>1</v>
      </c>
      <c r="R104" s="4">
        <v>0</v>
      </c>
      <c r="S104" s="4">
        <v>5.3680000000000004E-3</v>
      </c>
      <c r="T104" s="10">
        <v>45978</v>
      </c>
      <c r="U104" s="2" t="s">
        <v>495</v>
      </c>
      <c r="V104" s="4">
        <v>0</v>
      </c>
    </row>
    <row r="105" spans="1:22" ht="64" x14ac:dyDescent="0.2">
      <c r="A105" s="1" t="s">
        <v>414</v>
      </c>
      <c r="B105" s="1" t="s">
        <v>18</v>
      </c>
      <c r="C105" s="2" t="s">
        <v>19</v>
      </c>
      <c r="D105" s="4">
        <v>0.6</v>
      </c>
      <c r="E105" s="1" t="s">
        <v>42</v>
      </c>
      <c r="G105" s="1" t="s">
        <v>258</v>
      </c>
      <c r="I105" s="2" t="s">
        <v>450</v>
      </c>
      <c r="J105" s="2" t="s">
        <v>451</v>
      </c>
      <c r="K105" s="1" t="b">
        <v>1</v>
      </c>
      <c r="L105" s="2" t="s">
        <v>125</v>
      </c>
      <c r="M105" s="2" t="str">
        <f t="shared" si="9"/>
        <v>QVQLQESGPGLVKPSETLSLTCTVSGGSVSSGGYFWSWIRQPPGKGLEWIGYVSGSGSTNYNPSLKSRVTISVDTSKNQFSLKLSSVTAADTAVYYCARWDVWISDYWGQGTLVTVSSGGGSGGGSGGGSGGGSEIVLTQSPATLSLSPGERATLSCRASQSVSSYLAWYQQKPGQAPRLLIYDASNRATGIPARFSGSGSGTDFTLTISSLEPEDFAVYYCQHSWDQPPWTFGQGTKVEIK</v>
      </c>
      <c r="N105" s="4">
        <f t="shared" si="10"/>
        <v>242</v>
      </c>
      <c r="O105" s="1" t="b">
        <f t="shared" si="11"/>
        <v>1</v>
      </c>
      <c r="P105" s="1" t="b">
        <v>0</v>
      </c>
      <c r="Q105" s="1" t="b">
        <f>TRUE()</f>
        <v>1</v>
      </c>
      <c r="R105" s="4">
        <v>0</v>
      </c>
      <c r="S105" s="4">
        <v>1.5878E-2</v>
      </c>
      <c r="T105" s="10">
        <v>45978</v>
      </c>
      <c r="U105" s="2" t="s">
        <v>496</v>
      </c>
      <c r="V105" s="4">
        <v>5.1900000000000002E-3</v>
      </c>
    </row>
    <row r="106" spans="1:22" ht="64" x14ac:dyDescent="0.2">
      <c r="A106" s="1" t="s">
        <v>415</v>
      </c>
      <c r="B106" s="1" t="s">
        <v>18</v>
      </c>
      <c r="C106" s="2" t="s">
        <v>19</v>
      </c>
      <c r="D106" s="4">
        <v>0.6</v>
      </c>
      <c r="E106" s="1" t="s">
        <v>42</v>
      </c>
      <c r="G106" s="1" t="s">
        <v>258</v>
      </c>
      <c r="I106" s="2" t="s">
        <v>452</v>
      </c>
      <c r="J106" s="2" t="s">
        <v>453</v>
      </c>
      <c r="K106" s="1" t="b">
        <v>1</v>
      </c>
      <c r="L106" s="2" t="s">
        <v>125</v>
      </c>
      <c r="M106" s="2" t="str">
        <f t="shared" si="9"/>
        <v>QVQLQESGPGLVKPSQTLSLTCTVTGSSITSGYWNWIRQFPGNKLEWMGYISYSGTITYNPSLKSRISITRDTSKNQFFLQLNSVTTEDTATYYCARVYDGFYDYWGQGTLVTVSSGGGSGGGSGGGSGGGSDIVMTQSPSSLSASVGDRVTITCRASQGISSWLAWYQQKPGKAPKLLIYKASSLESGVPSRFSGSGSGTEFTLTISSLQPDDFATYYCQQYNSYPLTFGGGTKVEIK</v>
      </c>
      <c r="N106" s="4">
        <f t="shared" si="10"/>
        <v>239</v>
      </c>
      <c r="O106" s="1" t="b">
        <f t="shared" si="11"/>
        <v>1</v>
      </c>
      <c r="P106" s="1" t="b">
        <v>0</v>
      </c>
      <c r="Q106" s="1" t="b">
        <f>TRUE()</f>
        <v>1</v>
      </c>
      <c r="R106" s="4">
        <v>0</v>
      </c>
      <c r="S106" s="4">
        <v>0</v>
      </c>
      <c r="T106" s="10">
        <v>45978</v>
      </c>
      <c r="U106" s="2" t="s">
        <v>494</v>
      </c>
      <c r="V106" s="4">
        <v>0</v>
      </c>
    </row>
    <row r="107" spans="1:22" ht="64" x14ac:dyDescent="0.2">
      <c r="A107" s="1" t="s">
        <v>416</v>
      </c>
      <c r="B107" s="1" t="s">
        <v>18</v>
      </c>
      <c r="C107" s="2" t="s">
        <v>19</v>
      </c>
      <c r="D107" s="4">
        <v>0.9</v>
      </c>
      <c r="E107" s="1" t="s">
        <v>42</v>
      </c>
      <c r="G107" s="1" t="s">
        <v>258</v>
      </c>
      <c r="I107" s="2" t="s">
        <v>454</v>
      </c>
      <c r="J107" s="2" t="s">
        <v>455</v>
      </c>
      <c r="K107" s="1" t="b">
        <v>1</v>
      </c>
      <c r="L107" s="2" t="s">
        <v>125</v>
      </c>
      <c r="M107" s="2" t="str">
        <f t="shared" si="9"/>
        <v>QVQLVESGGGVVQPGRSLRLSCAASGFTFSNYAMHWVRQAPGKGLEWVAVISYNSGNPYADSVKGRFTISRDNSKNTLYLQMRVEDTAVYYCSRTTIGYGGDIWGNMFDYWGQGTLVTVSSGGGSGGGSGGGSGGGSDIVMTQSPATLSVSPGDRATLSCRASQSISTNLAWYQQKPGQAPRLLIYTASTLESGVPSRFSGSGSGTEFTLTISNLQSEDFATYFCQQYSAPLTFGGGTKVEIK</v>
      </c>
      <c r="N107" s="4">
        <f t="shared" si="10"/>
        <v>243</v>
      </c>
      <c r="O107" s="1" t="b">
        <f t="shared" si="11"/>
        <v>1</v>
      </c>
      <c r="P107" s="1" t="b">
        <v>0</v>
      </c>
      <c r="Q107" s="1" t="b">
        <f>TRUE()</f>
        <v>1</v>
      </c>
      <c r="R107" s="4">
        <v>0</v>
      </c>
      <c r="S107" s="4">
        <v>5.5960000000000003E-3</v>
      </c>
      <c r="T107" s="10">
        <v>45977</v>
      </c>
      <c r="U107" s="2" t="s">
        <v>489</v>
      </c>
      <c r="V107" s="4">
        <v>6.4222000000000001E-2</v>
      </c>
    </row>
    <row r="108" spans="1:22" ht="64" x14ac:dyDescent="0.2">
      <c r="A108" s="1" t="s">
        <v>417</v>
      </c>
      <c r="B108" s="1" t="s">
        <v>18</v>
      </c>
      <c r="C108" s="2" t="s">
        <v>19</v>
      </c>
      <c r="D108" s="4">
        <v>0.9</v>
      </c>
      <c r="E108" s="1" t="s">
        <v>42</v>
      </c>
      <c r="G108" s="1" t="s">
        <v>258</v>
      </c>
      <c r="I108" s="2" t="s">
        <v>456</v>
      </c>
      <c r="J108" s="2" t="s">
        <v>457</v>
      </c>
      <c r="K108" s="1" t="b">
        <v>1</v>
      </c>
      <c r="L108" s="2" t="s">
        <v>126</v>
      </c>
      <c r="M108" s="2" t="str">
        <f t="shared" si="9"/>
        <v>EVQLVESGGGLVQPGGSLRLSCAASGFASSSSNYVHWVRQAPGKGLEWVATIYPYSSSEYAASVQGRFTISRDDSKNTLYLQMNSLRGEDTAVYYCARYGYYSSRSGYGYYFNYWGQGTLVTVSSGGGSGGGSGGGSDIVMTQSPASLAVSLGQRATISCRASESVDSYGNSFLAWYQQKPGQPPKLLIYWASTRQSGVPARFSGSGSGTDFTLNIHPVEEEDAATYYCQQHNYPLTFGAGTKLEIK</v>
      </c>
      <c r="N108" s="4">
        <f t="shared" si="10"/>
        <v>247</v>
      </c>
      <c r="O108" s="1" t="b">
        <f t="shared" si="11"/>
        <v>1</v>
      </c>
      <c r="P108" s="1" t="b">
        <v>0</v>
      </c>
      <c r="Q108" s="1" t="b">
        <f>TRUE()</f>
        <v>1</v>
      </c>
      <c r="R108" s="4">
        <v>0.51522000000000001</v>
      </c>
      <c r="S108" s="4">
        <v>0.575318</v>
      </c>
      <c r="T108" s="10">
        <v>45977</v>
      </c>
      <c r="U108" s="2" t="s">
        <v>488</v>
      </c>
      <c r="V108" s="4">
        <v>0.136903</v>
      </c>
    </row>
    <row r="109" spans="1:22" ht="64" x14ac:dyDescent="0.2">
      <c r="A109" s="1" t="s">
        <v>418</v>
      </c>
      <c r="B109" s="1" t="s">
        <v>18</v>
      </c>
      <c r="C109" s="2" t="s">
        <v>19</v>
      </c>
      <c r="D109" s="4">
        <v>0.9</v>
      </c>
      <c r="E109" s="1" t="s">
        <v>42</v>
      </c>
      <c r="G109" s="1" t="s">
        <v>258</v>
      </c>
      <c r="I109" s="2" t="s">
        <v>458</v>
      </c>
      <c r="J109" s="2" t="s">
        <v>459</v>
      </c>
      <c r="K109" s="1" t="b">
        <v>1</v>
      </c>
      <c r="L109" s="2" t="s">
        <v>125</v>
      </c>
      <c r="M109" s="2" t="str">
        <f t="shared" si="9"/>
        <v>EVQLVESGAEVKKPGSSVKVSCKASGGPFTSYVISWVRQAPGQGLEWMGRIIPIRGTTYAQKFQGRVTITADKSTSTAYMELRSEDTAVYYCARGSHVFGYYDYWGQGTLVTVSSGGGSGGGSGGGSGGGSEIVLTQSPGTLSLSPGERATLSCRASQSISGNYLAWYQQKPGQAPRLLIYGASIRAAGIPDRFSGSGSGTDFTLTISRLEPEDFAVYYCQQYGSSPRTFGQGTKVEIK</v>
      </c>
      <c r="N109" s="4">
        <f t="shared" si="10"/>
        <v>239</v>
      </c>
      <c r="O109" s="1" t="b">
        <f t="shared" si="11"/>
        <v>1</v>
      </c>
      <c r="P109" s="1" t="b">
        <v>0</v>
      </c>
      <c r="Q109" s="1" t="b">
        <f>TRUE()</f>
        <v>1</v>
      </c>
      <c r="R109" s="4">
        <v>0</v>
      </c>
      <c r="S109" s="4">
        <v>0</v>
      </c>
      <c r="T109" s="10">
        <v>45978</v>
      </c>
      <c r="U109" s="2" t="s">
        <v>498</v>
      </c>
      <c r="V109" s="4">
        <v>5.313E-3</v>
      </c>
    </row>
    <row r="110" spans="1:22" ht="64" x14ac:dyDescent="0.2">
      <c r="A110" s="1" t="s">
        <v>419</v>
      </c>
      <c r="B110" s="1" t="s">
        <v>18</v>
      </c>
      <c r="C110" s="2" t="s">
        <v>19</v>
      </c>
      <c r="D110" s="4">
        <v>0.9</v>
      </c>
      <c r="E110" s="1" t="s">
        <v>42</v>
      </c>
      <c r="G110" s="1" t="s">
        <v>258</v>
      </c>
      <c r="I110" s="2" t="s">
        <v>460</v>
      </c>
      <c r="J110" s="2" t="s">
        <v>461</v>
      </c>
      <c r="K110" s="1" t="b">
        <v>1</v>
      </c>
      <c r="L110" s="2" t="s">
        <v>125</v>
      </c>
      <c r="M110" s="2" t="str">
        <f t="shared" si="9"/>
        <v>EVQLVETGGGLVQPGGSLKLSCRASGYTFTDYAMHWVRQAPLGLGLYTGGVNYARHFMKSRISITRDNSKNTLYLQMTKVDDTATYFCARRGLFDSDYWGQGTLVTVSSGGGSGGGSGGGSGGGSSVTQPPSVSGSTSVGDRVTTCRASQSISSNWLAWYQQFPGTAPKLLIYENSSRPSGVPDRFSGSGSGTDFTLKISRVEAEDVGVYYCLQALSPRFTFGSGTKLEIK</v>
      </c>
      <c r="N110" s="4">
        <f t="shared" si="10"/>
        <v>231</v>
      </c>
      <c r="O110" s="1" t="b">
        <f t="shared" si="11"/>
        <v>1</v>
      </c>
      <c r="P110" s="1" t="b">
        <v>0</v>
      </c>
      <c r="Q110" s="1" t="b">
        <f>TRUE()</f>
        <v>1</v>
      </c>
      <c r="R110" s="4">
        <v>0</v>
      </c>
      <c r="S110" s="4">
        <v>0</v>
      </c>
      <c r="T110" s="10">
        <v>45978</v>
      </c>
      <c r="U110" s="2" t="s">
        <v>497</v>
      </c>
      <c r="V110" s="4">
        <v>0</v>
      </c>
    </row>
    <row r="111" spans="1:22" ht="64" x14ac:dyDescent="0.2">
      <c r="A111" s="1" t="s">
        <v>420</v>
      </c>
      <c r="B111" s="1" t="s">
        <v>18</v>
      </c>
      <c r="C111" s="2" t="s">
        <v>19</v>
      </c>
      <c r="D111" s="4">
        <v>0.9</v>
      </c>
      <c r="E111" s="1" t="s">
        <v>42</v>
      </c>
      <c r="G111" s="1" t="s">
        <v>258</v>
      </c>
      <c r="I111" s="2" t="s">
        <v>462</v>
      </c>
      <c r="J111" s="2" t="s">
        <v>463</v>
      </c>
      <c r="K111" s="1" t="b">
        <v>1</v>
      </c>
      <c r="L111" s="2" t="s">
        <v>125</v>
      </c>
      <c r="M111" s="2" t="str">
        <f t="shared" si="9"/>
        <v>QVQLVQSGAEVKKPGSSVKVSCKASGGTFSNYGISWVRQAPGQGLEWMGGIIPILGIANYAQKFQGRVTITADKSTSTAYMELRSLRSDDTAVYYCAREGHAYFHNGLDYWGQGTLVTVSSGGGSGGGSGGGSGGGSEIVLTQSPGTLSLSPGERATLSCRASQSVSSSYFAWYQQKPGQAPRLLIYGASSRATGIPDRFSGSGSGTDFTLTISRLEPEDFAVYYCQQYGSSPPATFGQGTKVEIK</v>
      </c>
      <c r="N111" s="4">
        <f t="shared" si="10"/>
        <v>246</v>
      </c>
      <c r="O111" s="1" t="b">
        <f t="shared" si="11"/>
        <v>1</v>
      </c>
      <c r="P111" s="1" t="b">
        <v>0</v>
      </c>
      <c r="Q111" s="1" t="b">
        <f>TRUE()</f>
        <v>1</v>
      </c>
      <c r="R111" s="4">
        <v>5.1460000000000004E-3</v>
      </c>
      <c r="S111" s="4">
        <v>2.6327E-2</v>
      </c>
      <c r="T111" s="10">
        <v>45978</v>
      </c>
      <c r="U111" s="2" t="s">
        <v>499</v>
      </c>
      <c r="V111" s="4">
        <v>0.274924</v>
      </c>
    </row>
    <row r="112" spans="1:22" ht="64" x14ac:dyDescent="0.2">
      <c r="A112" s="1" t="s">
        <v>421</v>
      </c>
      <c r="B112" s="1" t="s">
        <v>18</v>
      </c>
      <c r="C112" s="2" t="s">
        <v>19</v>
      </c>
      <c r="D112" s="4">
        <v>0.9</v>
      </c>
      <c r="E112" s="1" t="s">
        <v>42</v>
      </c>
      <c r="G112" s="1" t="s">
        <v>258</v>
      </c>
      <c r="I112" s="2" t="s">
        <v>464</v>
      </c>
      <c r="J112" s="2" t="s">
        <v>465</v>
      </c>
      <c r="K112" s="1" t="b">
        <v>1</v>
      </c>
      <c r="L112" s="2" t="s">
        <v>125</v>
      </c>
      <c r="M112" s="2" t="str">
        <f t="shared" si="9"/>
        <v>QVQLVESGGGVVQPGRSLRLSCAASGFTFSSFGMHWVRQAPGKGLEWVAIIWDGSNKYYADSVKGRFTISRDNSKNTLYLQMRAEDTAVYYCALDGGSFDDYWGQGTLVTVSSGGGSGGGSGGGSGGGSDIQMTQSPSTLSTSVGDRVTITCRASQSISSWLAWYQQKPGKAPKLLIYKASTLESGVPSRFSGSGSGTEFTLTISSLQPDDFATYYCQHFYGTPITFGPGTKVD</v>
      </c>
      <c r="N112" s="4">
        <f t="shared" si="10"/>
        <v>234</v>
      </c>
      <c r="O112" s="1" t="b">
        <f t="shared" si="11"/>
        <v>1</v>
      </c>
      <c r="P112" s="1" t="b">
        <v>0</v>
      </c>
      <c r="Q112" s="1" t="b">
        <f>TRUE()</f>
        <v>1</v>
      </c>
      <c r="R112" s="4">
        <v>0.15404200000000001</v>
      </c>
      <c r="S112" s="4">
        <v>0.23156599999999999</v>
      </c>
      <c r="T112" s="10">
        <v>45978</v>
      </c>
      <c r="U112" s="2" t="s">
        <v>500</v>
      </c>
      <c r="V112" s="4">
        <v>0.27380900000000002</v>
      </c>
    </row>
    <row r="113" spans="1:22" ht="64" x14ac:dyDescent="0.2">
      <c r="A113" s="1" t="s">
        <v>422</v>
      </c>
      <c r="B113" s="1" t="s">
        <v>18</v>
      </c>
      <c r="C113" s="2" t="s">
        <v>19</v>
      </c>
      <c r="D113" s="4">
        <v>0.9</v>
      </c>
      <c r="E113" s="1" t="s">
        <v>42</v>
      </c>
      <c r="G113" s="1" t="s">
        <v>258</v>
      </c>
      <c r="I113" s="2" t="s">
        <v>466</v>
      </c>
      <c r="J113" s="2" t="s">
        <v>467</v>
      </c>
      <c r="K113" s="1" t="b">
        <v>1</v>
      </c>
      <c r="L113" s="2" t="s">
        <v>125</v>
      </c>
      <c r="M113" s="2" t="str">
        <f t="shared" si="9"/>
        <v>EVQLVESGGGLVKPGGSLKVSCAASGFTFSDYSMNWVRQAPGKGLEWVSSITSGYTSIYYADSVKGRFTISRDNAKNSLYLQMNSLRAGDTAVYYCARVSDNFDYWGQGTAVTVSSGGGSGGGSGGGSGGGSDIQMTQSPSSLSASVGDRVTITCQASQDIRFYLNWYQQKPGKAPKLLISAASTLQSGVPSRFSGSGSGTDFTLTITSLQPEDFATYYCAGYVPSYTFGPGTKVDIK</v>
      </c>
      <c r="N113" s="4">
        <f t="shared" si="10"/>
        <v>238</v>
      </c>
      <c r="O113" s="1" t="b">
        <f t="shared" si="11"/>
        <v>1</v>
      </c>
      <c r="P113" s="1" t="b">
        <v>0</v>
      </c>
      <c r="Q113" s="1" t="b">
        <f>TRUE()</f>
        <v>1</v>
      </c>
      <c r="R113" s="4">
        <v>0</v>
      </c>
      <c r="S113" s="4">
        <v>0</v>
      </c>
      <c r="T113" s="10">
        <v>45979</v>
      </c>
      <c r="U113" s="2" t="s">
        <v>508</v>
      </c>
      <c r="V113" s="4">
        <v>0.61102100000000004</v>
      </c>
    </row>
    <row r="114" spans="1:22" ht="64" x14ac:dyDescent="0.2">
      <c r="A114" s="1" t="s">
        <v>423</v>
      </c>
      <c r="B114" s="1" t="s">
        <v>18</v>
      </c>
      <c r="C114" s="2" t="s">
        <v>19</v>
      </c>
      <c r="D114" s="4">
        <v>0.9</v>
      </c>
      <c r="E114" s="1" t="s">
        <v>42</v>
      </c>
      <c r="G114" s="1" t="s">
        <v>258</v>
      </c>
      <c r="I114" s="2" t="s">
        <v>468</v>
      </c>
      <c r="J114" s="2" t="s">
        <v>469</v>
      </c>
      <c r="K114" s="1" t="b">
        <v>1</v>
      </c>
      <c r="L114" s="2" t="s">
        <v>125</v>
      </c>
      <c r="M114" s="2" t="str">
        <f t="shared" si="9"/>
        <v>EVQLQQSGAELVKPGASVKLSCKASGYTFLDYYMYWVKQRPEQGLEWIGRIDPANGNTIYAPKFQDKATLTLTTDTTSSNTAYMQLSSLTSEDSAVYYCAREGNYGYRDLAWFAYWGQGTLVTVSSGGGSGGGSGGGSGGGSAIRMTQSPSSLSASVGDTVTITCRASQSISSYLNWYQQKPGKAPKLLIYTASNLESGVPSRFSGSGSGTDYTLTISSLQPEDIATYYCQQYDNPPLTFGGGTKVEIK</v>
      </c>
      <c r="N114" s="4">
        <f t="shared" si="10"/>
        <v>249</v>
      </c>
      <c r="O114" s="1" t="b">
        <f t="shared" si="11"/>
        <v>1</v>
      </c>
      <c r="P114" s="1" t="b">
        <v>0</v>
      </c>
      <c r="Q114" s="1" t="b">
        <f>TRUE()</f>
        <v>1</v>
      </c>
      <c r="R114" s="4">
        <v>5.705E-3</v>
      </c>
      <c r="S114" s="4">
        <v>4.4477999999999997E-2</v>
      </c>
      <c r="T114" s="10">
        <v>45979</v>
      </c>
      <c r="U114" s="2" t="s">
        <v>510</v>
      </c>
      <c r="V114" s="4">
        <v>8.9335999999999999E-2</v>
      </c>
    </row>
    <row r="115" spans="1:22" ht="64" x14ac:dyDescent="0.2">
      <c r="A115" s="1" t="s">
        <v>424</v>
      </c>
      <c r="B115" s="1" t="s">
        <v>18</v>
      </c>
      <c r="C115" s="2" t="s">
        <v>19</v>
      </c>
      <c r="D115" s="4">
        <v>0.9</v>
      </c>
      <c r="E115" s="1" t="s">
        <v>42</v>
      </c>
      <c r="G115" s="1" t="s">
        <v>258</v>
      </c>
      <c r="I115" s="2" t="s">
        <v>470</v>
      </c>
      <c r="J115" s="2" t="s">
        <v>471</v>
      </c>
      <c r="K115" s="1" t="b">
        <v>1</v>
      </c>
      <c r="L115" s="2" t="s">
        <v>125</v>
      </c>
      <c r="M115" s="2" t="str">
        <f t="shared" si="9"/>
        <v>QVQLQESGPGLVKPSETLSLTCTVSGGSVSSGGYFWSWIRQRPGKGLEWIGHIYYSGTTNYNPSLRSRVTISRDTSKSQFSLKMDSLTSEDTALYYCARQLGLRFDIWGQGTMVTVSSGGGSGGGSGGGSGGGSDIQMTQSPSSLSASVGDRVTITCRASQSISSYLNWYQQKPGKAPKLLIYAASSLQSGVPSRFSGSGSGTDFTLTISSLQPEDFATYYCQQSYTTPPTFGQGTKVEIK</v>
      </c>
      <c r="N115" s="4">
        <f t="shared" si="10"/>
        <v>241</v>
      </c>
      <c r="O115" s="1" t="b">
        <f t="shared" si="11"/>
        <v>1</v>
      </c>
      <c r="P115" s="1" t="b">
        <v>0</v>
      </c>
      <c r="Q115" s="1" t="b">
        <f>TRUE()</f>
        <v>1</v>
      </c>
      <c r="R115" s="4">
        <v>0</v>
      </c>
      <c r="S115" s="4">
        <v>0</v>
      </c>
      <c r="T115" s="10">
        <v>45979</v>
      </c>
      <c r="U115" s="2" t="s">
        <v>511</v>
      </c>
      <c r="V115" s="4">
        <v>5.3220000000000003E-3</v>
      </c>
    </row>
    <row r="116" spans="1:22" ht="64" x14ac:dyDescent="0.2">
      <c r="A116" s="1" t="s">
        <v>425</v>
      </c>
      <c r="B116" s="1" t="s">
        <v>18</v>
      </c>
      <c r="C116" s="2" t="s">
        <v>19</v>
      </c>
      <c r="D116" s="4">
        <v>0.9</v>
      </c>
      <c r="E116" s="1" t="s">
        <v>42</v>
      </c>
      <c r="G116" s="1" t="s">
        <v>258</v>
      </c>
      <c r="I116" s="2" t="s">
        <v>472</v>
      </c>
      <c r="J116" s="2" t="s">
        <v>473</v>
      </c>
      <c r="K116" s="1" t="b">
        <v>1</v>
      </c>
      <c r="L116" s="2" t="s">
        <v>125</v>
      </c>
      <c r="M116" s="2" t="str">
        <f t="shared" si="9"/>
        <v>QVQLVESGGGLVQPGGSLRLSCAASGFNLYSSSIHWVRQAPGKGLEWVARIYPSGATYYADSVKGRFTISADTSKNTAYLQMRAEDTAVYYCARSYYGDDYWGQGTLVTVSSGGGSGGGSGGGSGGGSDIQMTQSPSSLSASVGDRVTITCRASQSVSSAVAWYQQKPGKAPKLLIYSASFLYSGVPSRFSGSRSGTDFTLTISSLQPEDFATYYCQQYSYYPFTFGQGTKVEIK</v>
      </c>
      <c r="N116" s="4">
        <f t="shared" si="10"/>
        <v>235</v>
      </c>
      <c r="O116" s="1" t="b">
        <f t="shared" si="11"/>
        <v>1</v>
      </c>
      <c r="P116" s="1" t="b">
        <v>0</v>
      </c>
      <c r="Q116" s="1" t="b">
        <f>TRUE()</f>
        <v>1</v>
      </c>
      <c r="R116" s="4">
        <v>0</v>
      </c>
      <c r="S116" s="4">
        <v>2.3538E-2</v>
      </c>
      <c r="T116" s="10">
        <v>45979</v>
      </c>
      <c r="U116" s="2" t="s">
        <v>509</v>
      </c>
      <c r="V116" s="4">
        <v>0</v>
      </c>
    </row>
    <row r="117" spans="1:22" ht="64" x14ac:dyDescent="0.2">
      <c r="A117" s="1" t="s">
        <v>502</v>
      </c>
      <c r="B117" s="1" t="s">
        <v>18</v>
      </c>
      <c r="C117" s="2" t="s">
        <v>505</v>
      </c>
      <c r="D117" s="4">
        <v>0.7</v>
      </c>
      <c r="E117" s="1" t="s">
        <v>49</v>
      </c>
      <c r="F117" s="1" t="s">
        <v>292</v>
      </c>
      <c r="G117" s="1" t="s">
        <v>258</v>
      </c>
      <c r="I117" s="2" t="s">
        <v>506</v>
      </c>
      <c r="J117" s="2" t="s">
        <v>507</v>
      </c>
      <c r="K117" s="1" t="b">
        <v>1</v>
      </c>
      <c r="L117" s="2" t="s">
        <v>125</v>
      </c>
      <c r="M117" s="2" t="str">
        <f t="shared" si="9"/>
        <v>EVQLLESGGGLVQPGGSLRLSCAASGFTFSSYAMSWVRQAPGKGLEWVSYISSSSSTIYYADSVKGRFTISRDNAKNSLYLQMNSLRAEDTAVYYCAKYSSYDYDYWGRGTMVTVSSGGGSGGGSGGGSGGGSDIQLTQSPSSLSASVGDRVTITCRASQGISSYLNWYQQKPGKAPKLLIYDASSLQSGVPSRFSGSGSGTDFTLTISSLQPEDFATYYCQQFYEWLRTFGQGTRLEIK</v>
      </c>
      <c r="N117" s="4">
        <f t="shared" si="10"/>
        <v>240</v>
      </c>
      <c r="O117" s="1" t="b">
        <f t="shared" si="11"/>
        <v>1</v>
      </c>
      <c r="P117" s="1" t="b">
        <v>0</v>
      </c>
      <c r="Q117" s="1" t="b">
        <f>TRUE()</f>
        <v>1</v>
      </c>
      <c r="R117" s="4">
        <v>0</v>
      </c>
      <c r="S117" s="4">
        <v>0</v>
      </c>
      <c r="T117" s="10">
        <v>45979</v>
      </c>
      <c r="U117" s="2" t="s">
        <v>512</v>
      </c>
      <c r="V117" s="4">
        <v>0.1542</v>
      </c>
    </row>
    <row r="118" spans="1:22" ht="64" x14ac:dyDescent="0.2">
      <c r="A118" s="1" t="s">
        <v>503</v>
      </c>
      <c r="B118" s="1" t="s">
        <v>18</v>
      </c>
      <c r="C118" s="2" t="s">
        <v>505</v>
      </c>
      <c r="D118" s="4">
        <v>0.9</v>
      </c>
      <c r="E118" s="1" t="s">
        <v>49</v>
      </c>
      <c r="F118" s="1" t="s">
        <v>417</v>
      </c>
      <c r="G118" s="1" t="s">
        <v>258</v>
      </c>
      <c r="I118" s="2" t="s">
        <v>501</v>
      </c>
      <c r="J118" s="2" t="s">
        <v>504</v>
      </c>
      <c r="K118" s="1" t="b">
        <v>1</v>
      </c>
      <c r="L118" s="2" t="s">
        <v>126</v>
      </c>
      <c r="M118" s="2" t="str">
        <f t="shared" si="9"/>
        <v>EVQLVESGGGLVQPGGSLRLSCAASGFATVSSNYMSWVRQAPGKGLEWVSVIYSCGSTYYADSVKGRFTISRDNSKNTLYLQMNSLRAEDTAVYYCARYYYDSSRSGYYYYFDYWGQGTLVTVSSGGGSGGGSGGGSDIVLTQSPASLAVSLGQRATISCKASQSVDYDGDSYMHWYQQKPGQPPKLLIYRASNLESGIPARFSGSGSRTDFTLTINPVEADDVATYYCQQSNYPLTFGSGTKVEIK</v>
      </c>
      <c r="N118" s="4">
        <f t="shared" si="10"/>
        <v>247</v>
      </c>
      <c r="O118" s="1" t="b">
        <f t="shared" si="11"/>
        <v>1</v>
      </c>
      <c r="P118" s="1" t="b">
        <v>0</v>
      </c>
      <c r="Q118" s="1" t="b">
        <f>TRUE()</f>
        <v>1</v>
      </c>
      <c r="R118" s="4">
        <v>0</v>
      </c>
      <c r="S118" s="4">
        <v>5.1120000000000002E-3</v>
      </c>
      <c r="T118" s="10">
        <v>45979</v>
      </c>
      <c r="U118" s="2" t="s">
        <v>513</v>
      </c>
      <c r="V118" s="4">
        <v>0</v>
      </c>
    </row>
    <row r="119" spans="1:22" ht="64" x14ac:dyDescent="0.2">
      <c r="A119" s="1" t="s">
        <v>516</v>
      </c>
      <c r="B119" s="1" t="s">
        <v>515</v>
      </c>
      <c r="C119" s="2" t="s">
        <v>526</v>
      </c>
      <c r="D119" s="4">
        <v>0.2</v>
      </c>
      <c r="E119" s="1" t="s">
        <v>49</v>
      </c>
      <c r="F119" s="1" t="s">
        <v>266</v>
      </c>
      <c r="G119" s="1" t="s">
        <v>258</v>
      </c>
      <c r="I119" s="2" t="s">
        <v>527</v>
      </c>
      <c r="J119" s="2" t="s">
        <v>296</v>
      </c>
      <c r="K119" s="1" t="b">
        <v>1</v>
      </c>
      <c r="L119" s="2" t="s">
        <v>126</v>
      </c>
      <c r="M119" s="2" t="str">
        <f t="shared" si="9"/>
        <v>EVQLVESGGGLVQPGGSLRLSCAASGFNISDSSIHWVRQAPGKGLEWVASISSYSGYTYYADSVKGRFTISADTSKNTAYLQMNSLRAEDTAVYYCARGGRDLFGLDALDYWGQGTLVTVSSGGGSGGGSGGGSDIQMTQSPSSLSASVGDRVTITCRASQSVSSAVAWYQQKPGKAPKLLIYSASSLYSGVPSRFSGSRSGTDFTLTISSLQPEDFATYYCQQYKYVPVTFGQGTKVEIK</v>
      </c>
      <c r="N119" s="4">
        <f t="shared" si="10"/>
        <v>241</v>
      </c>
      <c r="O119" s="1" t="b">
        <f t="shared" si="11"/>
        <v>1</v>
      </c>
      <c r="P119" s="1" t="b">
        <v>0</v>
      </c>
      <c r="Q119" s="1" t="b">
        <f>TRUE()</f>
        <v>1</v>
      </c>
      <c r="R119" s="4">
        <v>0</v>
      </c>
      <c r="S119" s="4">
        <v>0</v>
      </c>
      <c r="T119" s="10">
        <v>45983</v>
      </c>
      <c r="U119" s="2" t="s">
        <v>537</v>
      </c>
      <c r="V119" s="4">
        <v>0.69</v>
      </c>
    </row>
    <row r="120" spans="1:22" ht="64" x14ac:dyDescent="0.2">
      <c r="A120" s="1" t="s">
        <v>517</v>
      </c>
      <c r="B120" s="1" t="s">
        <v>515</v>
      </c>
      <c r="C120" s="2" t="s">
        <v>526</v>
      </c>
      <c r="D120" s="4">
        <v>0.2</v>
      </c>
      <c r="E120" s="1" t="s">
        <v>49</v>
      </c>
      <c r="F120" s="1" t="s">
        <v>266</v>
      </c>
      <c r="G120" s="1" t="s">
        <v>258</v>
      </c>
      <c r="I120" s="2" t="s">
        <v>528</v>
      </c>
      <c r="J120" s="2" t="s">
        <v>296</v>
      </c>
      <c r="K120" s="1" t="b">
        <v>1</v>
      </c>
      <c r="L120" s="2" t="s">
        <v>126</v>
      </c>
      <c r="M120" s="2" t="str">
        <f t="shared" si="9"/>
        <v>EVQLVESGGGLVQPGGSLRLSCAASGFNISSSSIHWVRQAPGKGLEWVASIYSYSGLTYYADSVKGRFTISADTSKNTAYLQMNSLRAEDTAVYYCARGGYYLDGLYALDYWGQGTLVTVSSGGGSGGGSGGGSDIQMTQSPSSLSASVGDRVTITCRASQSVSSAVAWYQQKPGKAPKLLIYSASSLYSGVPSRFSGSRSGTDFTLTISSLQPEDFATYYCQQYKYVPVTFGQGTKVEIK</v>
      </c>
      <c r="N120" s="4">
        <f t="shared" si="10"/>
        <v>241</v>
      </c>
      <c r="O120" s="1" t="b">
        <f t="shared" si="11"/>
        <v>1</v>
      </c>
      <c r="P120" s="1" t="b">
        <v>0</v>
      </c>
      <c r="Q120" s="1" t="b">
        <f>TRUE()</f>
        <v>1</v>
      </c>
      <c r="R120" s="4">
        <v>0</v>
      </c>
      <c r="S120" s="4">
        <v>5.5250000000000004E-3</v>
      </c>
      <c r="T120" s="10">
        <v>45983</v>
      </c>
      <c r="U120" s="2" t="s">
        <v>538</v>
      </c>
      <c r="V120" s="4">
        <v>0</v>
      </c>
    </row>
    <row r="121" spans="1:22" ht="64" x14ac:dyDescent="0.2">
      <c r="A121" s="1" t="s">
        <v>518</v>
      </c>
      <c r="B121" s="1" t="s">
        <v>515</v>
      </c>
      <c r="C121" s="2" t="s">
        <v>526</v>
      </c>
      <c r="D121" s="4">
        <v>0.2</v>
      </c>
      <c r="E121" s="1" t="s">
        <v>49</v>
      </c>
      <c r="F121" s="1" t="s">
        <v>266</v>
      </c>
      <c r="G121" s="1" t="s">
        <v>258</v>
      </c>
      <c r="I121" s="2" t="s">
        <v>529</v>
      </c>
      <c r="J121" s="2" t="s">
        <v>296</v>
      </c>
      <c r="K121" s="1" t="b">
        <v>1</v>
      </c>
      <c r="L121" s="2" t="s">
        <v>126</v>
      </c>
      <c r="M121" s="2" t="str">
        <f t="shared" si="9"/>
        <v>EVQLVESGGGLVQPGGSLRLSCAASGFNISSSSIHWVRQAPGKGLEWVASIYSYSGATYYADSVKGRFTISADTSKNTAYLQMNSLRAEDTAVYYCARGGNHLDGLYALDYWGQGTLVTVSSGGGSGGGSGGGSDIQMTQSPSSLSASVGDRVTITCRASQSVSSAVAWYQQKPGKAPKLLIYSASSLYSGVPSRFSGSRSGTDFTLTISSLQPEDFATYYCQQYKYVPVTFGQGTKVEIK</v>
      </c>
      <c r="N121" s="4">
        <f t="shared" si="10"/>
        <v>241</v>
      </c>
      <c r="O121" s="1" t="b">
        <f t="shared" si="11"/>
        <v>1</v>
      </c>
      <c r="P121" s="1" t="b">
        <v>0</v>
      </c>
      <c r="Q121" s="1" t="b">
        <f>TRUE()</f>
        <v>1</v>
      </c>
      <c r="R121" s="4">
        <v>5.3680000000000004E-3</v>
      </c>
      <c r="S121" s="4">
        <v>8.0700000000000008E-3</v>
      </c>
      <c r="T121" s="10">
        <v>45983</v>
      </c>
      <c r="U121" s="2" t="s">
        <v>539</v>
      </c>
      <c r="V121" s="4">
        <v>0</v>
      </c>
    </row>
    <row r="122" spans="1:22" ht="64" x14ac:dyDescent="0.2">
      <c r="A122" s="1" t="s">
        <v>519</v>
      </c>
      <c r="B122" s="1" t="s">
        <v>515</v>
      </c>
      <c r="C122" s="2" t="s">
        <v>526</v>
      </c>
      <c r="D122" s="4">
        <v>0.2</v>
      </c>
      <c r="E122" s="1" t="s">
        <v>49</v>
      </c>
      <c r="F122" s="1" t="s">
        <v>266</v>
      </c>
      <c r="G122" s="1" t="s">
        <v>258</v>
      </c>
      <c r="I122" s="2" t="s">
        <v>530</v>
      </c>
      <c r="J122" s="2" t="s">
        <v>296</v>
      </c>
      <c r="K122" s="1" t="b">
        <v>1</v>
      </c>
      <c r="L122" s="2" t="s">
        <v>126</v>
      </c>
      <c r="M122" s="2" t="str">
        <f t="shared" si="9"/>
        <v>EVQLVESGGGLVQPGGSLRLSCAASGFNISSSSIHWVRQAPGKGLEWVASIYSYSGYTYYADSVKGRFTISADTSKNTAYLQMNSLRAEDTAVYYCARGGRYLDGLFALDYWGQGTLVTVSSGGGSGGGSGGGSDIQMTQSPSSLSASVGDRVTITCRASQSVSSAVAWYQQKPGKAPKLLIYSASSLYSGVPSRFSGSRSGTDFTLTISSLQPEDFATYYCQQYKYVPVTFGQGTKVEIK</v>
      </c>
      <c r="N122" s="4">
        <f t="shared" si="10"/>
        <v>241</v>
      </c>
      <c r="O122" s="1" t="b">
        <f t="shared" si="11"/>
        <v>1</v>
      </c>
      <c r="P122" s="1" t="b">
        <v>0</v>
      </c>
      <c r="Q122" s="1" t="b">
        <f>TRUE()</f>
        <v>1</v>
      </c>
      <c r="R122" s="4">
        <v>0</v>
      </c>
      <c r="S122" s="4">
        <v>5.1799999999999997E-3</v>
      </c>
      <c r="T122" s="10">
        <v>45983</v>
      </c>
      <c r="U122" s="2" t="s">
        <v>542</v>
      </c>
      <c r="V122" s="4">
        <v>0.02</v>
      </c>
    </row>
    <row r="123" spans="1:22" ht="64" x14ac:dyDescent="0.2">
      <c r="A123" s="1" t="s">
        <v>520</v>
      </c>
      <c r="B123" s="1" t="s">
        <v>515</v>
      </c>
      <c r="C123" s="2" t="s">
        <v>526</v>
      </c>
      <c r="D123" s="4">
        <v>0.2</v>
      </c>
      <c r="E123" s="1" t="s">
        <v>49</v>
      </c>
      <c r="F123" s="1" t="s">
        <v>266</v>
      </c>
      <c r="G123" s="1" t="s">
        <v>258</v>
      </c>
      <c r="I123" s="2" t="s">
        <v>531</v>
      </c>
      <c r="J123" s="2" t="s">
        <v>296</v>
      </c>
      <c r="K123" s="1" t="b">
        <v>1</v>
      </c>
      <c r="L123" s="2" t="s">
        <v>126</v>
      </c>
      <c r="M123" s="2" t="str">
        <f t="shared" si="9"/>
        <v>EVQLVESGGGLVQPGGSLRLSCAASGFNISSSSIHWVRQAPGKGLEWVASISSYSGYTYYADSVKGRFTISADTSKNTAYLQMNSLRAEDTAVYYCARGGSLLRGLSALDYWGQGTLVTVSSGGGSGGGSGGGSDIQMTQSPSSLSASVGDRVTITCRASQSVSSAVAWYQQKPGKAPKLLIYSASSLYSGVPSRFSGSRSGTDFTLTISSLQPEDFATYYCQQYKYVPVTFGQGTKVEIK</v>
      </c>
      <c r="N123" s="4">
        <f t="shared" si="10"/>
        <v>241</v>
      </c>
      <c r="O123" s="1" t="b">
        <f t="shared" si="11"/>
        <v>1</v>
      </c>
      <c r="P123" s="1" t="b">
        <v>0</v>
      </c>
      <c r="Q123" s="1" t="b">
        <f>TRUE()</f>
        <v>1</v>
      </c>
      <c r="R123" s="4">
        <v>0.18029500000000001</v>
      </c>
      <c r="S123" s="4">
        <v>0.30336600000000002</v>
      </c>
      <c r="T123" s="10">
        <v>45983</v>
      </c>
      <c r="U123" s="2" t="s">
        <v>540</v>
      </c>
      <c r="V123" s="4">
        <v>0.01</v>
      </c>
    </row>
    <row r="124" spans="1:22" ht="64" x14ac:dyDescent="0.2">
      <c r="A124" s="1" t="s">
        <v>521</v>
      </c>
      <c r="B124" s="1" t="s">
        <v>515</v>
      </c>
      <c r="C124" s="2" t="s">
        <v>526</v>
      </c>
      <c r="D124" s="4">
        <v>0.2</v>
      </c>
      <c r="E124" s="1" t="s">
        <v>49</v>
      </c>
      <c r="F124" s="1" t="s">
        <v>266</v>
      </c>
      <c r="G124" s="1" t="s">
        <v>258</v>
      </c>
      <c r="I124" s="2" t="s">
        <v>532</v>
      </c>
      <c r="J124" s="2" t="s">
        <v>296</v>
      </c>
      <c r="K124" s="1" t="b">
        <v>1</v>
      </c>
      <c r="L124" s="2" t="s">
        <v>126</v>
      </c>
      <c r="M124" s="2" t="str">
        <f t="shared" si="9"/>
        <v>EVQLVESGGGLVQPGGSLRLSCAASGFNISDSSIHWVRQAPGKGLEWVASISSYSGYTYYADSVKGRFTISADTSKNTAYLQMNSLRAEDTAVYYCARGGRYLDGLYALDYWGQGTLVTVSSGGGSGGGSGGGSDIQMTQSPSSLSASVGDRVTITCRASQSVSSAVAWYQQKPGKAPKLLIYSASSLYSGVPSRFSGSRSGTDFTLTISSLQPEDFATYYCQQYKYVPVTFGQGTKVEIK</v>
      </c>
      <c r="N124" s="4">
        <f t="shared" si="10"/>
        <v>241</v>
      </c>
      <c r="O124" s="1" t="b">
        <f t="shared" si="11"/>
        <v>1</v>
      </c>
      <c r="P124" s="1" t="b">
        <v>0</v>
      </c>
      <c r="Q124" s="1" t="b">
        <f>TRUE()</f>
        <v>1</v>
      </c>
      <c r="R124" s="4">
        <v>7.4260000000000003E-3</v>
      </c>
      <c r="S124" s="4">
        <v>8.3528000000000005E-2</v>
      </c>
      <c r="T124" s="10">
        <v>45983</v>
      </c>
      <c r="U124" s="2" t="s">
        <v>541</v>
      </c>
      <c r="V124" s="4">
        <v>0.31</v>
      </c>
    </row>
    <row r="125" spans="1:22" ht="64" x14ac:dyDescent="0.2">
      <c r="A125" s="1" t="s">
        <v>522</v>
      </c>
      <c r="B125" s="1" t="s">
        <v>515</v>
      </c>
      <c r="C125" s="2" t="s">
        <v>526</v>
      </c>
      <c r="D125" s="4">
        <v>0.2</v>
      </c>
      <c r="E125" s="1" t="s">
        <v>49</v>
      </c>
      <c r="F125" s="1" t="s">
        <v>266</v>
      </c>
      <c r="G125" s="1" t="s">
        <v>258</v>
      </c>
      <c r="I125" s="2" t="s">
        <v>533</v>
      </c>
      <c r="J125" s="2" t="s">
        <v>296</v>
      </c>
      <c r="K125" s="1" t="b">
        <v>1</v>
      </c>
      <c r="L125" s="2" t="s">
        <v>126</v>
      </c>
      <c r="M125" s="2" t="str">
        <f t="shared" si="9"/>
        <v>EVQLVESGGGLVQPGGSLRLSCAASGFNISSSSIHWVRQAPGKGLEWVASISSYSGYTYYADSVKGRFTISADTSKNTAYLQMNSLRAEDTAVYYCARGGSYLDGLSALDYWGQGTLVTVSSGGGSGGGSGGGSDIQMTQSPSSLSASVGDRVTITCRASQSVSSAVAWYQQKPGKAPKLLIYSASSLYSGVPSRFSGSRSGTDFTLTISSLQPEDFATYYCQQYKYVPVTFGQGTKVEIK</v>
      </c>
      <c r="N125" s="4">
        <f t="shared" si="10"/>
        <v>241</v>
      </c>
      <c r="O125" s="1" t="b">
        <f t="shared" si="11"/>
        <v>1</v>
      </c>
      <c r="P125" s="1" t="b">
        <v>0</v>
      </c>
      <c r="Q125" s="1" t="b">
        <f>TRUE()</f>
        <v>1</v>
      </c>
      <c r="R125" s="4">
        <v>0.17149800000000001</v>
      </c>
      <c r="S125" s="4">
        <v>0.26701000000000003</v>
      </c>
      <c r="T125" s="10">
        <v>45983</v>
      </c>
      <c r="U125" s="2" t="s">
        <v>546</v>
      </c>
      <c r="V125" s="4">
        <v>0.01</v>
      </c>
    </row>
    <row r="126" spans="1:22" ht="64" x14ac:dyDescent="0.2">
      <c r="A126" s="1" t="s">
        <v>523</v>
      </c>
      <c r="B126" s="1" t="s">
        <v>515</v>
      </c>
      <c r="C126" s="2" t="s">
        <v>526</v>
      </c>
      <c r="D126" s="4">
        <v>0.2</v>
      </c>
      <c r="E126" s="1" t="s">
        <v>49</v>
      </c>
      <c r="F126" s="1" t="s">
        <v>266</v>
      </c>
      <c r="G126" s="1" t="s">
        <v>258</v>
      </c>
      <c r="I126" s="2" t="s">
        <v>534</v>
      </c>
      <c r="J126" s="2" t="s">
        <v>296</v>
      </c>
      <c r="K126" s="1" t="b">
        <v>1</v>
      </c>
      <c r="L126" s="2" t="s">
        <v>126</v>
      </c>
      <c r="M126" s="2" t="str">
        <f t="shared" si="9"/>
        <v>EVQLVESGGGLVQPGGSLRLSCAASGFNISDSSIHWVRQAPGKGLEWVASIYNYSGYTYYADSVKGRFTISADTSKNTAYLQMNSLRAEDTAVYYCARGGYYLDGLDALDYWGQGTLVTVSSGGGSGGGSGGGSDIQMTQSPSSLSASVGDRVTITCRASQSVSSAVAWYQQKPGKAPKLLIYSASSLYSGVPSRFSGSRSGTDFTLTISSLQPEDFATYYCQQYKYVPVTFGQGTKVEIK</v>
      </c>
      <c r="N126" s="4">
        <f t="shared" si="10"/>
        <v>241</v>
      </c>
      <c r="O126" s="1" t="b">
        <f t="shared" si="11"/>
        <v>1</v>
      </c>
      <c r="P126" s="1" t="b">
        <v>0</v>
      </c>
      <c r="Q126" s="1" t="b">
        <f>TRUE()</f>
        <v>1</v>
      </c>
      <c r="R126" s="4">
        <v>0</v>
      </c>
      <c r="S126" s="4">
        <v>0</v>
      </c>
      <c r="T126" s="10">
        <v>45983</v>
      </c>
      <c r="U126" s="2" t="s">
        <v>543</v>
      </c>
      <c r="V126" s="4">
        <v>0.47</v>
      </c>
    </row>
    <row r="127" spans="1:22" ht="64" x14ac:dyDescent="0.2">
      <c r="A127" s="1" t="s">
        <v>524</v>
      </c>
      <c r="B127" s="1" t="s">
        <v>515</v>
      </c>
      <c r="C127" s="2" t="s">
        <v>526</v>
      </c>
      <c r="D127" s="4">
        <v>0.2</v>
      </c>
      <c r="E127" s="1" t="s">
        <v>49</v>
      </c>
      <c r="F127" s="1" t="s">
        <v>266</v>
      </c>
      <c r="G127" s="1" t="s">
        <v>258</v>
      </c>
      <c r="I127" s="2" t="s">
        <v>535</v>
      </c>
      <c r="J127" s="2" t="s">
        <v>296</v>
      </c>
      <c r="K127" s="1" t="b">
        <v>1</v>
      </c>
      <c r="L127" s="2" t="s">
        <v>126</v>
      </c>
      <c r="M127" s="2" t="str">
        <f t="shared" si="9"/>
        <v>EVQLVESGGGLVQPGGSLRLSCAASGFNISDYSIHWVRQAPGKGLEWVASIYNRSGYTYYADSVKGRFTISADTSKNTAYLQMNSLRAEDTAVYYCARGGYYLDGLYALDYWGQGTLVTVSSGGGSGGGSGGGSDIQMTQSPSSLSASVGDRVTITCRASQSVSSAVAWYQQKPGKAPKLLIYSASSLYSGVPSRFSGSRSGTDFTLTISSLQPEDFATYYCQQYKYVPVTFGQGTKVEIK</v>
      </c>
      <c r="N127" s="4">
        <f t="shared" si="10"/>
        <v>241</v>
      </c>
      <c r="O127" s="1" t="b">
        <f t="shared" si="11"/>
        <v>1</v>
      </c>
      <c r="P127" s="1" t="b">
        <v>0</v>
      </c>
      <c r="Q127" s="1" t="b">
        <f>TRUE()</f>
        <v>1</v>
      </c>
      <c r="R127" s="4">
        <v>2.2391000000000001E-2</v>
      </c>
      <c r="S127" s="4">
        <v>0.1115</v>
      </c>
      <c r="T127" s="10">
        <v>45983</v>
      </c>
      <c r="U127" s="2" t="s">
        <v>545</v>
      </c>
      <c r="V127" s="4">
        <v>0.01</v>
      </c>
    </row>
    <row r="128" spans="1:22" ht="64" x14ac:dyDescent="0.2">
      <c r="A128" s="1" t="s">
        <v>525</v>
      </c>
      <c r="B128" s="1" t="s">
        <v>515</v>
      </c>
      <c r="C128" s="2" t="s">
        <v>526</v>
      </c>
      <c r="D128" s="4">
        <v>0.2</v>
      </c>
      <c r="E128" s="1" t="s">
        <v>49</v>
      </c>
      <c r="F128" s="1" t="s">
        <v>266</v>
      </c>
      <c r="G128" s="1" t="s">
        <v>258</v>
      </c>
      <c r="I128" s="2" t="s">
        <v>536</v>
      </c>
      <c r="J128" s="2" t="s">
        <v>296</v>
      </c>
      <c r="K128" s="1" t="b">
        <v>1</v>
      </c>
      <c r="L128" s="2" t="s">
        <v>126</v>
      </c>
      <c r="M128" s="2" t="str">
        <f t="shared" si="9"/>
        <v>EVQLVESGGGLVQPGGSLRLSCAASGFNISSSSIHWVRQAPGKGLEWVASISSYSGYTYYADSVKGRFTISADTSKNTAYLQMNSLRAEDTAVYYCARGGHDLDGLYALDYWGQGTLVTVSSGGGSGGGSGGGSDIQMTQSPSSLSASVGDRVTITCRASQSVSSAVAWYQQKPGKAPKLLIYSASSLYSGVPSRFSGSRSGTDFTLTISSLQPEDFATYYCQQYKYVPVTFGQGTKVEIK</v>
      </c>
      <c r="N128" s="4">
        <f t="shared" si="10"/>
        <v>241</v>
      </c>
      <c r="O128" s="1" t="b">
        <f t="shared" si="11"/>
        <v>1</v>
      </c>
      <c r="P128" s="1" t="b">
        <v>0</v>
      </c>
      <c r="Q128" s="1" t="b">
        <f>TRUE()</f>
        <v>1</v>
      </c>
      <c r="R128" s="4">
        <v>0</v>
      </c>
      <c r="S128" s="4">
        <v>5.4780000000000002E-3</v>
      </c>
      <c r="T128" s="10">
        <v>45983</v>
      </c>
      <c r="U128" s="2" t="s">
        <v>544</v>
      </c>
      <c r="V128" s="4">
        <v>0</v>
      </c>
    </row>
    <row r="129" spans="1:22" ht="64" x14ac:dyDescent="0.2">
      <c r="A129" s="1" t="s">
        <v>547</v>
      </c>
      <c r="B129" s="1" t="s">
        <v>515</v>
      </c>
      <c r="C129" s="2" t="s">
        <v>526</v>
      </c>
      <c r="D129" s="4">
        <v>0.2</v>
      </c>
      <c r="E129" s="1" t="s">
        <v>49</v>
      </c>
      <c r="F129" s="1" t="s">
        <v>422</v>
      </c>
      <c r="G129" s="1" t="s">
        <v>258</v>
      </c>
      <c r="I129" s="2" t="s">
        <v>557</v>
      </c>
      <c r="J129" s="2" t="s">
        <v>467</v>
      </c>
      <c r="K129" s="1" t="b">
        <v>1</v>
      </c>
      <c r="L129" s="2" t="s">
        <v>126</v>
      </c>
      <c r="M129" s="2" t="str">
        <f t="shared" si="9"/>
        <v>EVQLVESGGGLVKPGGSLKVSCAASGFTFSSYAMHWVRQAPGKGLEWVSYIWSGADSIGYADSVKGRFTISRDNAKNSLYLQMNSLRAGDTAVYYCARDDDAFDYWGQGTAVTVSSGGGSGGGSGGGSDIQMTQSPSSLSASVGDRVTITCQASQDIRFYLNWYQQKPGKAPKLLISAASTLQSGVPSRFSGSGSGTDFTLTITSLQPEDFATYYCAGYVPSYTFGPGTKVDIK</v>
      </c>
      <c r="N129" s="4">
        <f t="shared" si="10"/>
        <v>234</v>
      </c>
      <c r="O129" s="1" t="b">
        <f t="shared" si="11"/>
        <v>1</v>
      </c>
      <c r="P129" s="1" t="b">
        <v>0</v>
      </c>
      <c r="Q129" s="1" t="b">
        <f>TRUE()</f>
        <v>1</v>
      </c>
      <c r="R129" s="4">
        <v>0</v>
      </c>
      <c r="S129" s="4">
        <v>5.176E-3</v>
      </c>
      <c r="T129" s="10">
        <v>45987</v>
      </c>
      <c r="U129" s="2" t="s">
        <v>575</v>
      </c>
      <c r="V129" s="4">
        <v>0.36</v>
      </c>
    </row>
    <row r="130" spans="1:22" ht="64" x14ac:dyDescent="0.2">
      <c r="A130" s="1" t="s">
        <v>548</v>
      </c>
      <c r="B130" s="1" t="s">
        <v>515</v>
      </c>
      <c r="C130" s="2" t="s">
        <v>526</v>
      </c>
      <c r="D130" s="4">
        <v>0.2</v>
      </c>
      <c r="E130" s="1" t="s">
        <v>49</v>
      </c>
      <c r="F130" s="1" t="s">
        <v>422</v>
      </c>
      <c r="G130" s="1" t="s">
        <v>258</v>
      </c>
      <c r="I130" s="2" t="s">
        <v>558</v>
      </c>
      <c r="J130" s="2" t="s">
        <v>467</v>
      </c>
      <c r="K130" s="1" t="b">
        <v>1</v>
      </c>
      <c r="L130" s="2" t="s">
        <v>126</v>
      </c>
      <c r="M130" s="2" t="str">
        <f t="shared" ref="M130:M158" si="12">_xlfn.CONCAT(I130,L130,J130)</f>
        <v>EVQLVESGGGLVKPGGSLKVSCAASGFTFSSYSMHWVRQAPGKGLEWVSSIWSGADSTGYADSVKGRFTISRDNAKNSLYLQMNSLRAGDTAVYYCARDDDAFDYWGQGTAVTVSSGGGSGGGSGGGSDIQMTQSPSSLSASVGDRVTITCQASQDIRFYLNWYQQKPGKAPKLLISAASTLQSGVPSRFSGSGSGTDFTLTITSLQPEDFATYYCAGYVPSYTFGPGTKVDIK</v>
      </c>
      <c r="N130" s="4">
        <f t="shared" ref="N130:N158" si="13">LEN(M130)</f>
        <v>234</v>
      </c>
      <c r="O130" s="1" t="b">
        <f t="shared" ref="O130:O158" si="14">IF(N130&lt;=250,TRUE,FALSE)</f>
        <v>1</v>
      </c>
      <c r="P130" s="1" t="b">
        <v>0</v>
      </c>
      <c r="Q130" s="1" t="b">
        <f>TRUE()</f>
        <v>1</v>
      </c>
      <c r="R130" s="4">
        <v>0</v>
      </c>
      <c r="S130" s="4">
        <v>5.2830000000000004E-3</v>
      </c>
      <c r="T130" s="10">
        <v>45987</v>
      </c>
      <c r="U130" s="2" t="s">
        <v>574</v>
      </c>
      <c r="V130" s="4">
        <v>0.04</v>
      </c>
    </row>
    <row r="131" spans="1:22" ht="64" x14ac:dyDescent="0.2">
      <c r="A131" s="1" t="s">
        <v>549</v>
      </c>
      <c r="B131" s="1" t="s">
        <v>515</v>
      </c>
      <c r="C131" s="2" t="s">
        <v>526</v>
      </c>
      <c r="D131" s="4">
        <v>0.2</v>
      </c>
      <c r="E131" s="1" t="s">
        <v>49</v>
      </c>
      <c r="F131" s="1" t="s">
        <v>422</v>
      </c>
      <c r="G131" s="1" t="s">
        <v>258</v>
      </c>
      <c r="I131" s="2" t="s">
        <v>559</v>
      </c>
      <c r="J131" s="2" t="s">
        <v>467</v>
      </c>
      <c r="K131" s="1" t="b">
        <v>1</v>
      </c>
      <c r="L131" s="2" t="s">
        <v>126</v>
      </c>
      <c r="M131" s="2" t="str">
        <f t="shared" si="12"/>
        <v>EVQLVESGGGLVKPGGSLKVSCAASGFTFSSYAMHWVRQAPGKGLEWVSRIWSGADSTGYADSVKGRFTISRDNAKNSLYLQMNSLRAGDTAVYYCARDDDAFDYWGQGTAVTVSSGGGSGGGSGGGSDIQMTQSPSSLSASVGDRVTITCQASQDIRFYLNWYQQKPGKAPKLLISAASTLQSGVPSRFSGSGSGTDFTLTITSLQPEDFATYYCAGYVPSYTFGPGTKVDIK</v>
      </c>
      <c r="N131" s="4">
        <f t="shared" si="13"/>
        <v>234</v>
      </c>
      <c r="O131" s="1" t="b">
        <f t="shared" si="14"/>
        <v>1</v>
      </c>
      <c r="P131" s="1" t="b">
        <v>0</v>
      </c>
      <c r="Q131" s="1" t="b">
        <f>TRUE()</f>
        <v>1</v>
      </c>
      <c r="R131" s="4">
        <v>0</v>
      </c>
      <c r="S131" s="4">
        <v>0</v>
      </c>
      <c r="T131" s="10">
        <v>45987</v>
      </c>
      <c r="U131" s="2" t="s">
        <v>573</v>
      </c>
      <c r="V131" s="4">
        <v>0.4</v>
      </c>
    </row>
    <row r="132" spans="1:22" ht="64" x14ac:dyDescent="0.2">
      <c r="A132" s="1" t="s">
        <v>550</v>
      </c>
      <c r="B132" s="1" t="s">
        <v>515</v>
      </c>
      <c r="C132" s="2" t="s">
        <v>526</v>
      </c>
      <c r="D132" s="4">
        <v>0.2</v>
      </c>
      <c r="E132" s="1" t="s">
        <v>49</v>
      </c>
      <c r="F132" s="1" t="s">
        <v>422</v>
      </c>
      <c r="G132" s="1" t="s">
        <v>258</v>
      </c>
      <c r="I132" s="2" t="s">
        <v>560</v>
      </c>
      <c r="J132" s="2" t="s">
        <v>467</v>
      </c>
      <c r="K132" s="1" t="b">
        <v>1</v>
      </c>
      <c r="L132" s="2" t="s">
        <v>126</v>
      </c>
      <c r="M132" s="2" t="str">
        <f t="shared" si="12"/>
        <v>EVQLVESGGGLVKPGGSLKVSCAASGFTFSSYAMHWVRQAPGKGLEWVSYIWSGADSIGYADSVKGRFTISRDNAKNSLYLQMNSLRAGDTAVYYCARYDDAFDYWGQGTAVTVSSGGGSGGGSGGGSDIQMTQSPSSLSASVGDRVTITCQASQDIRFYLNWYQQKPGKAPKLLISAASTLQSGVPSRFSGSGSGTDFTLTITSLQPEDFATYYCAGYVPSYTFGPGTKVDIK</v>
      </c>
      <c r="N132" s="4">
        <f t="shared" si="13"/>
        <v>234</v>
      </c>
      <c r="O132" s="1" t="b">
        <f t="shared" si="14"/>
        <v>1</v>
      </c>
      <c r="P132" s="1" t="b">
        <v>0</v>
      </c>
      <c r="Q132" s="1" t="b">
        <f>TRUE()</f>
        <v>1</v>
      </c>
      <c r="R132" s="4">
        <v>0</v>
      </c>
      <c r="S132" s="4">
        <v>4.9849999999999998E-3</v>
      </c>
      <c r="T132" s="10"/>
      <c r="U132" s="11" t="s">
        <v>381</v>
      </c>
    </row>
    <row r="133" spans="1:22" ht="64" x14ac:dyDescent="0.2">
      <c r="A133" s="1" t="s">
        <v>551</v>
      </c>
      <c r="B133" s="1" t="s">
        <v>515</v>
      </c>
      <c r="C133" s="2" t="s">
        <v>526</v>
      </c>
      <c r="D133" s="4">
        <v>0.2</v>
      </c>
      <c r="E133" s="1" t="s">
        <v>49</v>
      </c>
      <c r="F133" s="1" t="s">
        <v>422</v>
      </c>
      <c r="G133" s="1" t="s">
        <v>258</v>
      </c>
      <c r="I133" s="2" t="s">
        <v>561</v>
      </c>
      <c r="J133" s="2" t="s">
        <v>467</v>
      </c>
      <c r="K133" s="1" t="b">
        <v>1</v>
      </c>
      <c r="L133" s="2" t="s">
        <v>126</v>
      </c>
      <c r="M133" s="2" t="str">
        <f t="shared" si="12"/>
        <v>EVQLVESGGGLVKPGGSLKVSCAASGFTFSSYSMHWVRQAPGKGLEWVSRIWSGTDSIGYADSVKGRFTISRDNAKNSLYLQMNSLRAGDTAVYYCARDDDAFDYWGQGTAVTVSSGGGSGGGSGGGSDIQMTQSPSSLSASVGDRVTITCQASQDIRFYLNWYQQKPGKAPKLLISAASTLQSGVPSRFSGSGSGTDFTLTITSLQPEDFATYYCAGYVPSYTFGPGTKVDIK</v>
      </c>
      <c r="N133" s="4">
        <f t="shared" si="13"/>
        <v>234</v>
      </c>
      <c r="O133" s="1" t="b">
        <f t="shared" si="14"/>
        <v>1</v>
      </c>
      <c r="P133" s="1" t="b">
        <v>0</v>
      </c>
      <c r="Q133" s="1" t="b">
        <f>TRUE()</f>
        <v>1</v>
      </c>
      <c r="R133" s="4">
        <v>0</v>
      </c>
      <c r="S133" s="4">
        <v>0</v>
      </c>
      <c r="T133" s="10">
        <v>45987</v>
      </c>
      <c r="U133" s="2" t="s">
        <v>571</v>
      </c>
      <c r="V133" s="4">
        <v>0</v>
      </c>
    </row>
    <row r="134" spans="1:22" ht="64" x14ac:dyDescent="0.2">
      <c r="A134" s="1" t="s">
        <v>552</v>
      </c>
      <c r="B134" s="1" t="s">
        <v>515</v>
      </c>
      <c r="C134" s="2" t="s">
        <v>526</v>
      </c>
      <c r="D134" s="4">
        <v>0.2</v>
      </c>
      <c r="E134" s="1" t="s">
        <v>49</v>
      </c>
      <c r="F134" s="1" t="s">
        <v>422</v>
      </c>
      <c r="G134" s="1" t="s">
        <v>258</v>
      </c>
      <c r="I134" s="2" t="s">
        <v>562</v>
      </c>
      <c r="J134" s="2" t="s">
        <v>467</v>
      </c>
      <c r="K134" s="1" t="b">
        <v>1</v>
      </c>
      <c r="L134" s="2" t="s">
        <v>126</v>
      </c>
      <c r="M134" s="2" t="str">
        <f t="shared" si="12"/>
        <v>EVQLVESGGGLVKPGGSLKVSCAASGFTFSSYAMHWVRQAPGKGLEWVSYIWSGVDSIGYADSVKGRFTISRDNAKNSLYLQMNSLRAGDTAVYYCARDDDAFDYWGQGTAVTVSSGGGSGGGSGGGSDIQMTQSPSSLSASVGDRVTITCQASQDIRFYLNWYQQKPGKAPKLLISAASTLQSGVPSRFSGSGSGTDFTLTITSLQPEDFATYYCAGYVPSYTFGPGTKVDIK</v>
      </c>
      <c r="N134" s="4">
        <f t="shared" si="13"/>
        <v>234</v>
      </c>
      <c r="O134" s="1" t="b">
        <f t="shared" si="14"/>
        <v>1</v>
      </c>
      <c r="P134" s="1" t="b">
        <v>0</v>
      </c>
      <c r="Q134" s="1" t="b">
        <f>TRUE()</f>
        <v>1</v>
      </c>
      <c r="R134" s="4">
        <v>0.34179700000000002</v>
      </c>
      <c r="S134" s="4">
        <v>0.49543900000000002</v>
      </c>
      <c r="T134" s="10"/>
      <c r="U134" s="11" t="s">
        <v>381</v>
      </c>
    </row>
    <row r="135" spans="1:22" ht="64" x14ac:dyDescent="0.2">
      <c r="A135" s="1" t="s">
        <v>553</v>
      </c>
      <c r="B135" s="1" t="s">
        <v>515</v>
      </c>
      <c r="C135" s="2" t="s">
        <v>526</v>
      </c>
      <c r="D135" s="4">
        <v>0.2</v>
      </c>
      <c r="E135" s="1" t="s">
        <v>49</v>
      </c>
      <c r="F135" s="1" t="s">
        <v>422</v>
      </c>
      <c r="G135" s="1" t="s">
        <v>258</v>
      </c>
      <c r="I135" s="2" t="s">
        <v>563</v>
      </c>
      <c r="J135" s="2" t="s">
        <v>467</v>
      </c>
      <c r="K135" s="1" t="b">
        <v>1</v>
      </c>
      <c r="L135" s="2" t="s">
        <v>126</v>
      </c>
      <c r="M135" s="2" t="str">
        <f t="shared" si="12"/>
        <v>EVQLVESGGGLVKPGGSLKVSCAASGFTFSSFAMHWVRQAPGKGLEWVSYIWSGADSTGYADSVKGRFTISRDNAKNSLYLQMNSLRAGDTAVYYCARDDDAFDYWGQGTAVTVSSGGGSGGGSGGGSDIQMTQSPSSLSASVGDRVTITCQASQDIRFYLNWYQQKPGKAPKLLISAASTLQSGVPSRFSGSGSGTDFTLTITSLQPEDFATYYCAGYVPSYTFGPGTKVDIK</v>
      </c>
      <c r="N135" s="4">
        <f t="shared" si="13"/>
        <v>234</v>
      </c>
      <c r="O135" s="1" t="b">
        <f t="shared" si="14"/>
        <v>1</v>
      </c>
      <c r="P135" s="1" t="b">
        <v>0</v>
      </c>
      <c r="Q135" s="1" t="b">
        <f>TRUE()</f>
        <v>1</v>
      </c>
      <c r="R135" s="4">
        <v>0</v>
      </c>
      <c r="S135" s="4">
        <v>0</v>
      </c>
      <c r="T135" s="10">
        <v>45987</v>
      </c>
      <c r="U135" s="2" t="s">
        <v>572</v>
      </c>
      <c r="V135" s="4">
        <v>0.01</v>
      </c>
    </row>
    <row r="136" spans="1:22" ht="64" x14ac:dyDescent="0.2">
      <c r="A136" s="1" t="s">
        <v>554</v>
      </c>
      <c r="B136" s="1" t="s">
        <v>515</v>
      </c>
      <c r="C136" s="2" t="s">
        <v>526</v>
      </c>
      <c r="D136" s="4">
        <v>0.2</v>
      </c>
      <c r="E136" s="1" t="s">
        <v>49</v>
      </c>
      <c r="F136" s="1" t="s">
        <v>422</v>
      </c>
      <c r="G136" s="1" t="s">
        <v>258</v>
      </c>
      <c r="I136" s="2" t="s">
        <v>560</v>
      </c>
      <c r="J136" s="2" t="s">
        <v>467</v>
      </c>
      <c r="K136" s="1" t="b">
        <v>1</v>
      </c>
      <c r="L136" s="2" t="s">
        <v>126</v>
      </c>
      <c r="M136" s="2" t="str">
        <f t="shared" si="12"/>
        <v>EVQLVESGGGLVKPGGSLKVSCAASGFTFSSYAMHWVRQAPGKGLEWVSYIWSGADSIGYADSVKGRFTISRDNAKNSLYLQMNSLRAGDTAVYYCARYDDAFDYWGQGTAVTVSSGGGSGGGSGGGSDIQMTQSPSSLSASVGDRVTITCQASQDIRFYLNWYQQKPGKAPKLLISAASTLQSGVPSRFSGSGSGTDFTLTITSLQPEDFATYYCAGYVPSYTFGPGTKVDIK</v>
      </c>
      <c r="N136" s="4">
        <f t="shared" si="13"/>
        <v>234</v>
      </c>
      <c r="O136" s="1" t="b">
        <f t="shared" si="14"/>
        <v>1</v>
      </c>
      <c r="P136" s="1" t="b">
        <v>0</v>
      </c>
      <c r="Q136" s="1" t="b">
        <f>TRUE()</f>
        <v>1</v>
      </c>
      <c r="R136" s="4">
        <v>0.19351199999999999</v>
      </c>
      <c r="S136" s="4">
        <v>0.28335399999999999</v>
      </c>
      <c r="T136" s="10"/>
      <c r="U136" s="11" t="s">
        <v>381</v>
      </c>
    </row>
    <row r="137" spans="1:22" ht="64" x14ac:dyDescent="0.2">
      <c r="A137" s="1" t="s">
        <v>555</v>
      </c>
      <c r="B137" s="1" t="s">
        <v>515</v>
      </c>
      <c r="C137" s="2" t="s">
        <v>526</v>
      </c>
      <c r="D137" s="4">
        <v>0.2</v>
      </c>
      <c r="E137" s="1" t="s">
        <v>49</v>
      </c>
      <c r="F137" s="1" t="s">
        <v>422</v>
      </c>
      <c r="G137" s="1" t="s">
        <v>258</v>
      </c>
      <c r="I137" s="2" t="s">
        <v>562</v>
      </c>
      <c r="J137" s="2" t="s">
        <v>467</v>
      </c>
      <c r="K137" s="1" t="b">
        <v>1</v>
      </c>
      <c r="L137" s="2" t="s">
        <v>126</v>
      </c>
      <c r="M137" s="2" t="str">
        <f t="shared" si="12"/>
        <v>EVQLVESGGGLVKPGGSLKVSCAASGFTFSSYAMHWVRQAPGKGLEWVSYIWSGVDSIGYADSVKGRFTISRDNAKNSLYLQMNSLRAGDTAVYYCARDDDAFDYWGQGTAVTVSSGGGSGGGSGGGSDIQMTQSPSSLSASVGDRVTITCQASQDIRFYLNWYQQKPGKAPKLLISAASTLQSGVPSRFSGSGSGTDFTLTITSLQPEDFATYYCAGYVPSYTFGPGTKVDIK</v>
      </c>
      <c r="N137" s="4">
        <f t="shared" si="13"/>
        <v>234</v>
      </c>
      <c r="O137" s="1" t="b">
        <f t="shared" si="14"/>
        <v>1</v>
      </c>
      <c r="P137" s="1" t="b">
        <v>0</v>
      </c>
      <c r="Q137" s="1" t="b">
        <f>TRUE()</f>
        <v>1</v>
      </c>
      <c r="R137" s="4">
        <v>0</v>
      </c>
      <c r="S137" s="4">
        <v>0</v>
      </c>
      <c r="T137" s="10"/>
      <c r="U137" s="11" t="s">
        <v>381</v>
      </c>
    </row>
    <row r="138" spans="1:22" ht="64" x14ac:dyDescent="0.2">
      <c r="A138" s="1" t="s">
        <v>556</v>
      </c>
      <c r="B138" s="1" t="s">
        <v>515</v>
      </c>
      <c r="C138" s="2" t="s">
        <v>526</v>
      </c>
      <c r="D138" s="4">
        <v>0.2</v>
      </c>
      <c r="E138" s="1" t="s">
        <v>49</v>
      </c>
      <c r="F138" s="1" t="s">
        <v>422</v>
      </c>
      <c r="G138" s="1" t="s">
        <v>258</v>
      </c>
      <c r="I138" s="2" t="s">
        <v>564</v>
      </c>
      <c r="J138" s="2" t="s">
        <v>467</v>
      </c>
      <c r="K138" s="1" t="b">
        <v>1</v>
      </c>
      <c r="L138" s="2" t="s">
        <v>126</v>
      </c>
      <c r="M138" s="2" t="str">
        <f t="shared" si="12"/>
        <v>EVQLVESGGGLVKPGGSLKVSCAASGFTFSSYSMVWVRQAPGKGLEWVSRIWSGVDSTGYADSVKGRFTISRDNAKNSLYLQMNSLRAGDTAVYYCARDDDAFDYWGQGTAVTVSSGGGSGGGSGGGSDIQMTQSPSSLSASVGDRVTITCQASQDIRFYLNWYQQKPGKAPKLLISAASTLQSGVPSRFSGSGSGTDFTLTITSLQPEDFATYYCAGYVPSYTFGPGTKVDIK</v>
      </c>
      <c r="N138" s="4">
        <f t="shared" si="13"/>
        <v>234</v>
      </c>
      <c r="O138" s="1" t="b">
        <f t="shared" si="14"/>
        <v>1</v>
      </c>
      <c r="P138" s="1" t="b">
        <v>0</v>
      </c>
      <c r="Q138" s="1" t="b">
        <f>TRUE()</f>
        <v>1</v>
      </c>
      <c r="R138" s="4">
        <v>0</v>
      </c>
      <c r="S138" s="4">
        <v>5.0699999999999999E-3</v>
      </c>
      <c r="T138" s="10">
        <v>45987</v>
      </c>
      <c r="U138" s="2" t="s">
        <v>570</v>
      </c>
      <c r="V138" s="4">
        <v>0</v>
      </c>
    </row>
    <row r="139" spans="1:22" ht="64" x14ac:dyDescent="0.2">
      <c r="A139" s="1" t="s">
        <v>576</v>
      </c>
      <c r="B139" s="1" t="s">
        <v>515</v>
      </c>
      <c r="C139" s="2" t="s">
        <v>526</v>
      </c>
      <c r="D139" s="4">
        <v>0.2</v>
      </c>
      <c r="E139" s="1" t="s">
        <v>49</v>
      </c>
      <c r="F139" s="1" t="s">
        <v>516</v>
      </c>
      <c r="G139" s="1" t="s">
        <v>258</v>
      </c>
      <c r="I139" s="2" t="s">
        <v>586</v>
      </c>
      <c r="J139" s="2" t="s">
        <v>587</v>
      </c>
      <c r="K139" s="1" t="b">
        <v>1</v>
      </c>
      <c r="L139" s="2" t="s">
        <v>125</v>
      </c>
      <c r="M139" s="2" t="str">
        <f t="shared" si="12"/>
        <v>EVQLVESGGGLVQPGGSLRLSCAASGFNISYSSIHWVRQAPGKGLEWVASISSYSGSTYYADSVKGRFTISADTSKNTAYLQMNSLRAEDTAVYYCARGGYVPVGWYALDYWGQGTLVTVSSGGGSGGGSGGGSGGGSDIQMTQSPSSLSASVGDRVTITCRASQSVSTAVAWYQQKPGKAPKLLIYYASDRYSGVPSRFSGSRSGTDFTLTISSLQPEDFATYYCQQHYNYPLTFGQGTKVEIK</v>
      </c>
      <c r="N139" s="4">
        <f t="shared" si="13"/>
        <v>245</v>
      </c>
      <c r="O139" s="1" t="b">
        <f t="shared" si="14"/>
        <v>1</v>
      </c>
      <c r="P139" s="1" t="b">
        <v>0</v>
      </c>
      <c r="Q139" s="1" t="b">
        <f>TRUE()</f>
        <v>1</v>
      </c>
      <c r="R139" s="4">
        <v>6.0330000000000002E-3</v>
      </c>
      <c r="S139" s="4">
        <v>5.5789999999999999E-2</v>
      </c>
      <c r="T139" s="10">
        <v>45989</v>
      </c>
      <c r="U139" s="2" t="s">
        <v>602</v>
      </c>
      <c r="V139" s="4">
        <v>0.01</v>
      </c>
    </row>
    <row r="140" spans="1:22" ht="64" x14ac:dyDescent="0.2">
      <c r="A140" s="1" t="s">
        <v>577</v>
      </c>
      <c r="B140" s="1" t="s">
        <v>515</v>
      </c>
      <c r="C140" s="2" t="s">
        <v>526</v>
      </c>
      <c r="D140" s="4">
        <v>0.2</v>
      </c>
      <c r="E140" s="1" t="s">
        <v>49</v>
      </c>
      <c r="F140" s="1" t="s">
        <v>516</v>
      </c>
      <c r="G140" s="1" t="s">
        <v>258</v>
      </c>
      <c r="I140" s="2" t="s">
        <v>589</v>
      </c>
      <c r="J140" s="2" t="s">
        <v>588</v>
      </c>
      <c r="K140" s="1" t="b">
        <v>1</v>
      </c>
      <c r="L140" s="2" t="s">
        <v>125</v>
      </c>
      <c r="M140" s="2" t="str">
        <f t="shared" si="12"/>
        <v>EVQLVESGGGLVQPGGSLRLSCAASGFNISYSSIHWVRQAPGKGLEWVASISSYSGSTYYADSVKGRFTISADTSKNTAYLQMNSLRAEDTAVYYCARGGAVPVGWYALDYWGQGTLVTVSSGGGSGGGSGGGSGGGSDIQMTQSPSSLSASVGDRVTITCRASQSVSDDVAWYQQKPGKAPKLLIYRASDRYFGVPSRFSGSRSGTDFTLTISSLQPEDFATYYCQQYYSYPITFGQGTKVEIK</v>
      </c>
      <c r="N140" s="4">
        <f t="shared" si="13"/>
        <v>245</v>
      </c>
      <c r="O140" s="1" t="b">
        <f t="shared" si="14"/>
        <v>1</v>
      </c>
      <c r="P140" s="1" t="b">
        <v>0</v>
      </c>
      <c r="Q140" s="1" t="b">
        <f>TRUE()</f>
        <v>1</v>
      </c>
      <c r="R140" s="4">
        <v>0</v>
      </c>
      <c r="S140" s="4">
        <v>0</v>
      </c>
      <c r="T140" s="10">
        <v>45989</v>
      </c>
      <c r="U140" s="2" t="s">
        <v>603</v>
      </c>
      <c r="V140" s="4">
        <v>0.01</v>
      </c>
    </row>
    <row r="141" spans="1:22" ht="64" x14ac:dyDescent="0.2">
      <c r="A141" s="1" t="s">
        <v>578</v>
      </c>
      <c r="B141" s="1" t="s">
        <v>515</v>
      </c>
      <c r="C141" s="2" t="s">
        <v>526</v>
      </c>
      <c r="D141" s="4">
        <v>0.2</v>
      </c>
      <c r="E141" s="1" t="s">
        <v>49</v>
      </c>
      <c r="F141" s="1" t="s">
        <v>516</v>
      </c>
      <c r="G141" s="1" t="s">
        <v>258</v>
      </c>
      <c r="I141" s="2" t="s">
        <v>590</v>
      </c>
      <c r="J141" s="2" t="s">
        <v>591</v>
      </c>
      <c r="K141" s="1" t="b">
        <v>1</v>
      </c>
      <c r="L141" s="2" t="s">
        <v>125</v>
      </c>
      <c r="M141" s="2" t="str">
        <f t="shared" si="12"/>
        <v>EVQLVESGGGLVQPGGSLRLSCAASGFNISYSSIHWVRQAPGKGLEWVASISSYSGSTYYADSVKGRFTISADTSKNTAYLQMNSLRAEDTAVYYCARGGDVPNGWYALDYWGQGTLVTVSSGGGSGGGSGGGSGGGSDIQMTQSPSSLSASVGDRVTITCRASQSVYTAVAWYQQKPGKAPKLLIYFASDRYSGVPSRFSGSRSGTDFTLTISSLQPEDFATYYCQQHYYYPITFGQGTKVEIK</v>
      </c>
      <c r="N141" s="4">
        <f t="shared" si="13"/>
        <v>245</v>
      </c>
      <c r="O141" s="1" t="b">
        <f t="shared" si="14"/>
        <v>1</v>
      </c>
      <c r="P141" s="1" t="b">
        <v>0</v>
      </c>
      <c r="Q141" s="1" t="b">
        <f>TRUE()</f>
        <v>1</v>
      </c>
      <c r="R141" s="4">
        <v>6.2603000000000006E-2</v>
      </c>
      <c r="S141" s="4">
        <v>0.12244099999999999</v>
      </c>
      <c r="T141" s="10">
        <v>45989</v>
      </c>
      <c r="U141" s="2" t="s">
        <v>606</v>
      </c>
      <c r="V141" s="4">
        <v>0.01</v>
      </c>
    </row>
    <row r="142" spans="1:22" ht="64" x14ac:dyDescent="0.2">
      <c r="A142" s="1" t="s">
        <v>579</v>
      </c>
      <c r="B142" s="1" t="s">
        <v>515</v>
      </c>
      <c r="C142" s="2" t="s">
        <v>526</v>
      </c>
      <c r="D142" s="4">
        <v>0.2</v>
      </c>
      <c r="E142" s="1" t="s">
        <v>49</v>
      </c>
      <c r="F142" s="1" t="s">
        <v>516</v>
      </c>
      <c r="G142" s="1" t="s">
        <v>258</v>
      </c>
      <c r="I142" s="2" t="s">
        <v>592</v>
      </c>
      <c r="J142" s="2" t="s">
        <v>593</v>
      </c>
      <c r="K142" s="1" t="b">
        <v>1</v>
      </c>
      <c r="L142" s="2" t="s">
        <v>125</v>
      </c>
      <c r="M142" s="2" t="str">
        <f t="shared" si="12"/>
        <v>EVQLVESGGGLVQPGGSLRLSCAASGFNISYSSIHWVRQAPGKGLEWVASISSYSGSTYYADSVKGRFTISADTSKNTAYLQMNSLRAEDTAVYYCARGGDVPVGWYALDYWGQGTLVTVSSGGGSGGGSGGGSGGGSDIQMTQSPSSLSASVGDRVTITCRASQSVSDAVAWYQQKPGKAPKLLIYYASDRYAGVPSRFSGSRSGTDFTLTISSLQPEDFATYYCQQYYSYPLTFGQGTKVEIK</v>
      </c>
      <c r="N142" s="4">
        <f t="shared" si="13"/>
        <v>245</v>
      </c>
      <c r="O142" s="1" t="b">
        <f t="shared" si="14"/>
        <v>1</v>
      </c>
      <c r="P142" s="1" t="b">
        <v>0</v>
      </c>
      <c r="Q142" s="1" t="b">
        <f>TRUE()</f>
        <v>1</v>
      </c>
      <c r="R142" s="4">
        <v>0.23727899999999999</v>
      </c>
      <c r="S142" s="4">
        <v>0.36869000000000002</v>
      </c>
      <c r="T142" s="10">
        <v>45989</v>
      </c>
      <c r="U142" s="2" t="s">
        <v>605</v>
      </c>
      <c r="V142" s="4">
        <v>0.01</v>
      </c>
    </row>
    <row r="143" spans="1:22" ht="64" x14ac:dyDescent="0.2">
      <c r="A143" s="1" t="s">
        <v>580</v>
      </c>
      <c r="B143" s="1" t="s">
        <v>515</v>
      </c>
      <c r="C143" s="2" t="s">
        <v>526</v>
      </c>
      <c r="D143" s="4">
        <v>0.2</v>
      </c>
      <c r="E143" s="1" t="s">
        <v>49</v>
      </c>
      <c r="F143" s="1" t="s">
        <v>516</v>
      </c>
      <c r="G143" s="1" t="s">
        <v>258</v>
      </c>
      <c r="I143" s="2" t="s">
        <v>601</v>
      </c>
      <c r="J143" s="2" t="s">
        <v>594</v>
      </c>
      <c r="K143" s="1" t="b">
        <v>1</v>
      </c>
      <c r="L143" s="2" t="s">
        <v>125</v>
      </c>
      <c r="M143" s="2" t="str">
        <f t="shared" si="12"/>
        <v>EVQLVESGGGLVQPGGSLRLSCAASGFNISSSSIHWVRQAPGKGLEWVASISSSSGSTYYADSVKGRFTISADTSKNTAYLQMNSLRAEDTAVYYCARGGDVPNGWYALDYWGQGTLVTVSSGGGSGGGSGGGSGGGSDIQMTQSPSSLSASVGDRVTITCRASQSVYTAVAWYQQKPGKAPKLLIYRASDRYAGVPSRFSGSRSGTDFTLTISSLQPEDFATYYCQQYYYYPLTFGQGTKVEIK</v>
      </c>
      <c r="N143" s="4">
        <f t="shared" si="13"/>
        <v>245</v>
      </c>
      <c r="O143" s="1" t="b">
        <f t="shared" si="14"/>
        <v>1</v>
      </c>
      <c r="P143" s="1" t="b">
        <v>0</v>
      </c>
      <c r="Q143" s="1" t="b">
        <f>TRUE()</f>
        <v>1</v>
      </c>
      <c r="R143" s="4">
        <v>0</v>
      </c>
      <c r="S143" s="4">
        <v>1.976E-2</v>
      </c>
      <c r="T143" s="10">
        <v>45989</v>
      </c>
      <c r="U143" s="2" t="s">
        <v>604</v>
      </c>
      <c r="V143" s="4">
        <v>0.01</v>
      </c>
    </row>
    <row r="144" spans="1:22" ht="64" x14ac:dyDescent="0.2">
      <c r="A144" s="1" t="s">
        <v>581</v>
      </c>
      <c r="B144" s="1" t="s">
        <v>515</v>
      </c>
      <c r="C144" s="2" t="s">
        <v>526</v>
      </c>
      <c r="D144" s="4">
        <v>0.2</v>
      </c>
      <c r="E144" s="1" t="s">
        <v>49</v>
      </c>
      <c r="F144" s="1" t="s">
        <v>516</v>
      </c>
      <c r="G144" s="1" t="s">
        <v>258</v>
      </c>
      <c r="I144" s="2" t="s">
        <v>600</v>
      </c>
      <c r="J144" s="2" t="s">
        <v>595</v>
      </c>
      <c r="K144" s="1" t="b">
        <v>1</v>
      </c>
      <c r="L144" s="2" t="s">
        <v>125</v>
      </c>
      <c r="M144" s="2" t="str">
        <f t="shared" si="12"/>
        <v>EVQLVESGGGLVQPGGSLRLSCAASGFNISYSSIHWVRQAPGKGLEWVASISSYSGSTYYADSVKGRFTISADTSKNTAYLQMNSLRAEDTAVYYCARGGDVPVGYYALDYWGQGTLVTVSSGGGSGGGSGGGSGGGSDIQMTQSPSSLSASVGDRVTITCRASQSVNTAVAWYQQKPGKAPKLLIYSASDRYFGVPSRFSGSRSGTDFTLTISSLQPEDFATYYCQQHYSYPLTFGQGTKVEIK</v>
      </c>
      <c r="N144" s="4">
        <f t="shared" si="13"/>
        <v>245</v>
      </c>
      <c r="O144" s="1" t="b">
        <f t="shared" si="14"/>
        <v>1</v>
      </c>
      <c r="P144" s="1" t="b">
        <v>0</v>
      </c>
      <c r="Q144" s="1" t="b">
        <f>TRUE()</f>
        <v>1</v>
      </c>
      <c r="R144" s="4">
        <v>0</v>
      </c>
      <c r="S144" s="4">
        <v>5.0769999999999999E-3</v>
      </c>
      <c r="T144" s="10">
        <v>45989</v>
      </c>
      <c r="U144" s="2" t="s">
        <v>607</v>
      </c>
      <c r="V144" s="4">
        <v>0.28000000000000003</v>
      </c>
    </row>
    <row r="145" spans="1:22" ht="64" x14ac:dyDescent="0.2">
      <c r="A145" s="1" t="s">
        <v>582</v>
      </c>
      <c r="B145" s="1" t="s">
        <v>515</v>
      </c>
      <c r="C145" s="2" t="s">
        <v>526</v>
      </c>
      <c r="D145" s="4">
        <v>0.2</v>
      </c>
      <c r="E145" s="1" t="s">
        <v>49</v>
      </c>
      <c r="F145" s="1" t="s">
        <v>516</v>
      </c>
      <c r="G145" s="1" t="s">
        <v>258</v>
      </c>
      <c r="I145" s="2" t="s">
        <v>590</v>
      </c>
      <c r="J145" s="2" t="s">
        <v>596</v>
      </c>
      <c r="K145" s="1" t="b">
        <v>1</v>
      </c>
      <c r="L145" s="2" t="s">
        <v>125</v>
      </c>
      <c r="M145" s="2" t="str">
        <f t="shared" si="12"/>
        <v>EVQLVESGGGLVQPGGSLRLSCAASGFNISYSSIHWVRQAPGKGLEWVASISSYSGSTYYADSVKGRFTISADTSKNTAYLQMNSLRAEDTAVYYCARGGDVPNGWYALDYWGQGTLVTVSSGGGSGGGSGGGSGGGSDIQMTQSPSSLSASVGDRVTITCRASQSVYTAVAWYQQKPGKAPKLLIYSASDRYSGVPSRFSGSRSGTDFTLTISSLQPEDFATYYCQQYASYPITFGQGTKVEIK</v>
      </c>
      <c r="N145" s="4">
        <f t="shared" si="13"/>
        <v>245</v>
      </c>
      <c r="O145" s="1" t="b">
        <f t="shared" si="14"/>
        <v>1</v>
      </c>
      <c r="P145" s="1" t="b">
        <v>0</v>
      </c>
      <c r="Q145" s="1" t="b">
        <f>TRUE()</f>
        <v>1</v>
      </c>
      <c r="R145" s="4">
        <v>0</v>
      </c>
      <c r="S145" s="4">
        <v>5.5199999999999997E-3</v>
      </c>
      <c r="T145" s="10">
        <v>45989</v>
      </c>
      <c r="U145" s="2" t="s">
        <v>608</v>
      </c>
      <c r="V145" s="4">
        <v>0</v>
      </c>
    </row>
    <row r="146" spans="1:22" ht="64" x14ac:dyDescent="0.2">
      <c r="A146" s="1" t="s">
        <v>583</v>
      </c>
      <c r="B146" s="1" t="s">
        <v>515</v>
      </c>
      <c r="C146" s="2" t="s">
        <v>526</v>
      </c>
      <c r="D146" s="4">
        <v>0.2</v>
      </c>
      <c r="E146" s="1" t="s">
        <v>49</v>
      </c>
      <c r="F146" s="1" t="s">
        <v>516</v>
      </c>
      <c r="G146" s="1" t="s">
        <v>258</v>
      </c>
      <c r="I146" s="2" t="s">
        <v>589</v>
      </c>
      <c r="J146" s="2" t="s">
        <v>597</v>
      </c>
      <c r="K146" s="1" t="b">
        <v>1</v>
      </c>
      <c r="L146" s="2" t="s">
        <v>125</v>
      </c>
      <c r="M146" s="2" t="str">
        <f t="shared" si="12"/>
        <v>EVQLVESGGGLVQPGGSLRLSCAASGFNISYSSIHWVRQAPGKGLEWVASISSYSGSTYYADSVKGRFTISADTSKNTAYLQMNSLRAEDTAVYYCARGGAVPVGWYALDYWGQGTLVTVSSGGGSGGGSGGGSGGGSDIQMTQSPSSLSASVGDRVTITCRASQSVSIAVAWYQQKPGKAPKLLIYSASDRYFGVPSRFSGSRSGTDFTLTISSLQPEDFATYYCQQYYSYPLTFGQGTKVEIK</v>
      </c>
      <c r="N146" s="4">
        <f t="shared" si="13"/>
        <v>245</v>
      </c>
      <c r="O146" s="1" t="b">
        <f t="shared" si="14"/>
        <v>1</v>
      </c>
      <c r="P146" s="1" t="b">
        <v>0</v>
      </c>
      <c r="Q146" s="1" t="b">
        <f>TRUE()</f>
        <v>1</v>
      </c>
      <c r="R146" s="4">
        <v>5.6620000000000004E-3</v>
      </c>
      <c r="S146" s="4">
        <v>9.3252000000000002E-2</v>
      </c>
      <c r="T146" s="10">
        <v>45989</v>
      </c>
      <c r="U146" s="2" t="s">
        <v>609</v>
      </c>
      <c r="V146" s="4">
        <v>0.01</v>
      </c>
    </row>
    <row r="147" spans="1:22" ht="64" x14ac:dyDescent="0.2">
      <c r="A147" s="1" t="s">
        <v>584</v>
      </c>
      <c r="B147" s="1" t="s">
        <v>515</v>
      </c>
      <c r="C147" s="2" t="s">
        <v>526</v>
      </c>
      <c r="D147" s="4">
        <v>0.2</v>
      </c>
      <c r="E147" s="1" t="s">
        <v>49</v>
      </c>
      <c r="F147" s="1" t="s">
        <v>516</v>
      </c>
      <c r="G147" s="1" t="s">
        <v>258</v>
      </c>
      <c r="I147" s="2" t="s">
        <v>592</v>
      </c>
      <c r="J147" s="2" t="s">
        <v>598</v>
      </c>
      <c r="K147" s="1" t="b">
        <v>1</v>
      </c>
      <c r="L147" s="2" t="s">
        <v>125</v>
      </c>
      <c r="M147" s="2" t="str">
        <f>_xlfn.CONCAT(I147,L147,J147)</f>
        <v>EVQLVESGGGLVQPGGSLRLSCAASGFNISYSSIHWVRQAPGKGLEWVASISSYSGSTYYADSVKGRFTISADTSKNTAYLQMNSLRAEDTAVYYCARGGDVPVGWYALDYWGQGTLVTVSSGGGSGGGSGGGSGGGSDIQMTQSPSSLSASVGDRVTITCRASQSVYYAVAWYQQKPGKAPKLLIYRASDRYSGVPSRFSGSRSGTDFTLTISSLQPEDFATYYCQQYYSYPLTFGQGTKVEIK</v>
      </c>
      <c r="N147" s="4">
        <f t="shared" si="13"/>
        <v>245</v>
      </c>
      <c r="O147" s="1" t="b">
        <f t="shared" si="14"/>
        <v>1</v>
      </c>
      <c r="P147" s="1" t="b">
        <v>0</v>
      </c>
      <c r="Q147" s="1" t="b">
        <f>TRUE()</f>
        <v>1</v>
      </c>
      <c r="R147" s="4">
        <v>0.53020900000000004</v>
      </c>
      <c r="S147" s="4">
        <v>0.60767899999999997</v>
      </c>
      <c r="T147" s="10">
        <v>45989</v>
      </c>
      <c r="U147" s="2" t="s">
        <v>610</v>
      </c>
      <c r="V147" s="4">
        <v>0.71</v>
      </c>
    </row>
    <row r="148" spans="1:22" ht="64" x14ac:dyDescent="0.2">
      <c r="A148" s="1" t="s">
        <v>585</v>
      </c>
      <c r="B148" s="1" t="s">
        <v>515</v>
      </c>
      <c r="C148" s="2" t="s">
        <v>526</v>
      </c>
      <c r="D148" s="4">
        <v>0.2</v>
      </c>
      <c r="E148" s="1" t="s">
        <v>49</v>
      </c>
      <c r="F148" s="1" t="s">
        <v>516</v>
      </c>
      <c r="G148" s="1" t="s">
        <v>258</v>
      </c>
      <c r="I148" s="2" t="s">
        <v>586</v>
      </c>
      <c r="J148" s="2" t="s">
        <v>599</v>
      </c>
      <c r="K148" s="1" t="b">
        <v>1</v>
      </c>
      <c r="L148" s="2" t="s">
        <v>125</v>
      </c>
      <c r="M148" s="2" t="str">
        <f t="shared" si="12"/>
        <v>EVQLVESGGGLVQPGGSLRLSCAASGFNISYSSIHWVRQAPGKGLEWVASISSYSGSTYYADSVKGRFTISADTSKNTAYLQMNSLRAEDTAVYYCARGGYVPVGWYALDYWGQGTLVTVSSGGGSGGGSGGGSGGGSDIQMTQSPSSLSASVGDRVTITCRASQSVYTAVAWYQQKPGKAPKLLIYRASDRYFGVPSRFSGSRSGTDFTLTISSLQPEDFATYYCQQYYYYPLTFGQGTKVEIK</v>
      </c>
      <c r="N148" s="4">
        <f t="shared" si="13"/>
        <v>245</v>
      </c>
      <c r="O148" s="1" t="b">
        <f t="shared" si="14"/>
        <v>1</v>
      </c>
      <c r="P148" s="1" t="b">
        <v>0</v>
      </c>
      <c r="Q148" s="1" t="b">
        <f>TRUE()</f>
        <v>1</v>
      </c>
      <c r="R148" s="4">
        <v>0.18842400000000001</v>
      </c>
      <c r="S148" s="4">
        <v>0.29170499999999999</v>
      </c>
      <c r="T148" s="10">
        <v>45989</v>
      </c>
      <c r="U148" s="2" t="s">
        <v>611</v>
      </c>
      <c r="V148" s="4">
        <v>0.51</v>
      </c>
    </row>
    <row r="149" spans="1:22" ht="64" x14ac:dyDescent="0.2">
      <c r="A149" s="1" t="s">
        <v>612</v>
      </c>
      <c r="B149" s="1" t="s">
        <v>515</v>
      </c>
      <c r="C149" s="2" t="s">
        <v>526</v>
      </c>
      <c r="D149" s="4">
        <v>0.4</v>
      </c>
      <c r="E149" s="1" t="s">
        <v>49</v>
      </c>
      <c r="F149" s="1" t="s">
        <v>584</v>
      </c>
      <c r="G149" s="1" t="s">
        <v>258</v>
      </c>
      <c r="I149" s="2" t="s">
        <v>622</v>
      </c>
      <c r="J149" s="2" t="s">
        <v>637</v>
      </c>
      <c r="K149" s="1" t="b">
        <v>1</v>
      </c>
      <c r="L149" s="2" t="s">
        <v>642</v>
      </c>
      <c r="M149" s="2" t="str">
        <f t="shared" si="12"/>
        <v>EVQLVESGGGLVQPGGSLRLSCAASGFNISYSSIHWVRQAPGKGLEWVASISSYSGYTYYADSVKGRFTISADTSKNTAYLQMNSLRAEDTAVYYCARGGWRPIGSYALDYWGQGTLVTVSSGGGSGGGSGGGSGGGSGGGSDIQMTQSPSSLSASVGDRVTITCRASQDVFSAVAWYQQKPGKAPKLLIYYASFLYSGVPSRFSGSRSGTDFTLTISSLQPEDFATYYCQQHSVVPITFGQGTKVEIK</v>
      </c>
      <c r="N149" s="4">
        <f t="shared" si="13"/>
        <v>249</v>
      </c>
      <c r="O149" s="1" t="b">
        <f t="shared" si="14"/>
        <v>1</v>
      </c>
      <c r="P149" s="1" t="b">
        <v>0</v>
      </c>
      <c r="Q149" s="1" t="b">
        <f>TRUE()</f>
        <v>1</v>
      </c>
      <c r="R149" s="4">
        <v>0.19544600000000001</v>
      </c>
      <c r="S149" s="4">
        <v>0.27416499999999999</v>
      </c>
      <c r="T149" s="10">
        <v>45990</v>
      </c>
      <c r="U149" s="2" t="s">
        <v>644</v>
      </c>
      <c r="V149" s="4">
        <v>0.02</v>
      </c>
    </row>
    <row r="150" spans="1:22" ht="64" x14ac:dyDescent="0.2">
      <c r="A150" s="1" t="s">
        <v>613</v>
      </c>
      <c r="B150" s="1" t="s">
        <v>515</v>
      </c>
      <c r="C150" s="2" t="s">
        <v>526</v>
      </c>
      <c r="D150" s="4">
        <v>0.4</v>
      </c>
      <c r="E150" s="1" t="s">
        <v>49</v>
      </c>
      <c r="F150" s="1" t="s">
        <v>584</v>
      </c>
      <c r="G150" s="1" t="s">
        <v>258</v>
      </c>
      <c r="I150" s="2" t="s">
        <v>623</v>
      </c>
      <c r="J150" s="2" t="s">
        <v>639</v>
      </c>
      <c r="K150" s="1" t="b">
        <v>1</v>
      </c>
      <c r="L150" s="2" t="s">
        <v>642</v>
      </c>
      <c r="M150" s="2" t="str">
        <f t="shared" si="12"/>
        <v>EVQLVESGGGLVQPGGSLRLSCAASGFNISYSSIHWVRQAPGKGLEWVASISSYSGSTYYADSVKGRFTISADTSKNTAYLQMNSLRAEDTAVYYCARGGYRPIGNYALDYWGQGTLVTVSSGGGSGGGSGGGSGGGSGGGSDIQMTQSPSSLSASVGDRVTITCRASQDVDSAVAWYQQKPGKAPKLLIYYASFLYSGVPSRFSGSRSGTDFTLTISSLQPEDFATYYCQQHYVVPVTFGQGTKVEIK</v>
      </c>
      <c r="N150" s="4">
        <f t="shared" si="13"/>
        <v>249</v>
      </c>
      <c r="O150" s="1" t="b">
        <f t="shared" si="14"/>
        <v>1</v>
      </c>
      <c r="P150" s="1" t="b">
        <v>0</v>
      </c>
      <c r="Q150" s="1" t="b">
        <f>TRUE()</f>
        <v>1</v>
      </c>
      <c r="R150" s="4">
        <v>0</v>
      </c>
      <c r="S150" s="4">
        <v>5.4689999999999999E-3</v>
      </c>
      <c r="T150" s="10">
        <v>45990</v>
      </c>
      <c r="U150" s="2" t="s">
        <v>646</v>
      </c>
      <c r="V150" s="4">
        <v>0.01</v>
      </c>
    </row>
    <row r="151" spans="1:22" ht="64" x14ac:dyDescent="0.2">
      <c r="A151" s="1" t="s">
        <v>614</v>
      </c>
      <c r="B151" s="1" t="s">
        <v>515</v>
      </c>
      <c r="C151" s="2" t="s">
        <v>526</v>
      </c>
      <c r="D151" s="4">
        <v>0.4</v>
      </c>
      <c r="E151" s="1" t="s">
        <v>49</v>
      </c>
      <c r="F151" s="1" t="s">
        <v>584</v>
      </c>
      <c r="G151" s="1" t="s">
        <v>258</v>
      </c>
      <c r="I151" s="2" t="s">
        <v>624</v>
      </c>
      <c r="J151" s="2" t="s">
        <v>638</v>
      </c>
      <c r="K151" s="1" t="b">
        <v>1</v>
      </c>
      <c r="L151" s="2" t="s">
        <v>642</v>
      </c>
      <c r="M151" s="2" t="str">
        <f t="shared" si="12"/>
        <v>EVQLVESGGGLVQPGGSLRLSCAASGFNISYYSIHWVRQAPGKGLEWVASISSYSGYTYYADSVKGRFTISADTSKNTAYLQMNSLRAEDTAVYYCARGGDRPSGCYALDYWGQGTLVTVSSGGGSGGGSGGGSGGGSGGGSDIQMTQSPSSLSASVGDRVTITCRASQDVFSAVAWYQQKPGKAPKLLIYFASFLYSGVPSRFSGSRSGTDFTLTISSLQPEDFATYYCQQHYEVPITFGQGTKVEIK</v>
      </c>
      <c r="N151" s="4">
        <f t="shared" si="13"/>
        <v>249</v>
      </c>
      <c r="O151" s="1" t="b">
        <f t="shared" si="14"/>
        <v>1</v>
      </c>
      <c r="P151" s="1" t="b">
        <v>0</v>
      </c>
      <c r="Q151" s="1" t="b">
        <f>TRUE()</f>
        <v>1</v>
      </c>
      <c r="R151" s="4">
        <v>0</v>
      </c>
      <c r="S151" s="4">
        <v>5.169E-3</v>
      </c>
      <c r="T151" s="10">
        <v>45990</v>
      </c>
      <c r="U151" s="2" t="s">
        <v>645</v>
      </c>
      <c r="V151" s="4">
        <v>0</v>
      </c>
    </row>
    <row r="152" spans="1:22" ht="64" x14ac:dyDescent="0.2">
      <c r="A152" s="1" t="s">
        <v>615</v>
      </c>
      <c r="B152" s="1" t="s">
        <v>515</v>
      </c>
      <c r="C152" s="2" t="s">
        <v>526</v>
      </c>
      <c r="D152" s="4">
        <v>0.4</v>
      </c>
      <c r="E152" s="1" t="s">
        <v>49</v>
      </c>
      <c r="F152" s="1" t="s">
        <v>584</v>
      </c>
      <c r="G152" s="1" t="s">
        <v>258</v>
      </c>
      <c r="I152" s="2" t="s">
        <v>625</v>
      </c>
      <c r="J152" s="2" t="s">
        <v>640</v>
      </c>
      <c r="K152" s="1" t="b">
        <v>1</v>
      </c>
      <c r="L152" s="2" t="s">
        <v>642</v>
      </c>
      <c r="M152" s="2" t="str">
        <f t="shared" si="12"/>
        <v>EVQLVESGGGLVQPGGSLRLSCAASGFNISYSSIHWVRQAPGKGLEWVASISSYSGYTYYADSVKGRFTISADTSKNTAYLQMNSLRAEDTAVYYCARGGSLPTGCYALDYWGQGTLVTVSSGGGSGGGSGGGSGGGSGGGSDIQMTQSPSSLSASVGDRVTITCRASQDVDSAVAWYQQKPGKAPKLLIYFASSLYSGVPSRFSGSRSGTDFTLTISSLQPEDFATYYCQQHYDAPITFGQGTKVEIK</v>
      </c>
      <c r="N152" s="4">
        <f t="shared" si="13"/>
        <v>249</v>
      </c>
      <c r="O152" s="1" t="b">
        <f t="shared" si="14"/>
        <v>1</v>
      </c>
      <c r="P152" s="1" t="b">
        <v>0</v>
      </c>
      <c r="Q152" s="1" t="b">
        <f>TRUE()</f>
        <v>1</v>
      </c>
      <c r="R152" s="4">
        <v>0</v>
      </c>
      <c r="S152" s="4">
        <v>0</v>
      </c>
      <c r="T152" s="10">
        <v>45990</v>
      </c>
      <c r="U152" s="2" t="s">
        <v>647</v>
      </c>
      <c r="V152" s="4">
        <v>0.04</v>
      </c>
    </row>
    <row r="153" spans="1:22" ht="64" x14ac:dyDescent="0.2">
      <c r="A153" s="1" t="s">
        <v>616</v>
      </c>
      <c r="B153" s="1" t="s">
        <v>515</v>
      </c>
      <c r="C153" s="2" t="s">
        <v>526</v>
      </c>
      <c r="D153" s="4">
        <v>0.4</v>
      </c>
      <c r="E153" s="1" t="s">
        <v>49</v>
      </c>
      <c r="F153" s="1" t="s">
        <v>584</v>
      </c>
      <c r="G153" s="1" t="s">
        <v>258</v>
      </c>
      <c r="I153" s="2" t="s">
        <v>626</v>
      </c>
      <c r="J153" s="2" t="s">
        <v>641</v>
      </c>
      <c r="K153" s="1" t="b">
        <v>1</v>
      </c>
      <c r="L153" s="2" t="s">
        <v>642</v>
      </c>
      <c r="M153" s="2" t="str">
        <f t="shared" si="12"/>
        <v>EVQLVESGGGLVQPGGSLRLSCAASGFNISYSSIHWVRQAPGKGLEWVASISSYSGYTYYADSVKGRFTISADTSKNTAYLQMNSLRAEDTAVYYCARGGWYPWGCDALDYWGQGTLVTVSSGGGSGGGSGGGSGGGSGGGSDIQMTQSPSSLSASVGDRVTITCRASQDVDSAVAWYQQKPGKAPKLLIYFASFLYSGVPSRFSGSRSGTDFTLTISSLQPEDFATYYCQQHYDVPITFGQGTKVEIK</v>
      </c>
      <c r="N153" s="4">
        <f t="shared" si="13"/>
        <v>249</v>
      </c>
      <c r="O153" s="1" t="b">
        <f t="shared" si="14"/>
        <v>1</v>
      </c>
      <c r="P153" s="1" t="b">
        <v>0</v>
      </c>
      <c r="Q153" s="1" t="b">
        <f>TRUE()</f>
        <v>1</v>
      </c>
      <c r="R153" s="4">
        <v>0.572295</v>
      </c>
      <c r="S153" s="4">
        <v>0.62021400000000004</v>
      </c>
      <c r="T153" s="10">
        <v>45990</v>
      </c>
      <c r="U153" s="2" t="s">
        <v>649</v>
      </c>
      <c r="V153" s="4">
        <v>0.01</v>
      </c>
    </row>
    <row r="154" spans="1:22" ht="64" x14ac:dyDescent="0.2">
      <c r="A154" s="1" t="s">
        <v>617</v>
      </c>
      <c r="B154" s="1" t="s">
        <v>515</v>
      </c>
      <c r="C154" s="2" t="s">
        <v>526</v>
      </c>
      <c r="D154" s="4">
        <v>0.4</v>
      </c>
      <c r="E154" s="1" t="s">
        <v>49</v>
      </c>
      <c r="F154" s="1" t="s">
        <v>584</v>
      </c>
      <c r="G154" s="1" t="s">
        <v>258</v>
      </c>
      <c r="I154" s="2" t="s">
        <v>631</v>
      </c>
      <c r="J154" s="2" t="s">
        <v>636</v>
      </c>
      <c r="K154" s="1" t="b">
        <v>1</v>
      </c>
      <c r="L154" s="2" t="s">
        <v>642</v>
      </c>
      <c r="M154" s="2" t="str">
        <f t="shared" si="12"/>
        <v>EVQLVESGGGLVQPGGSLRLSCAASGFNISYSSIHWVRQAPGKGLEWVASISSYSGYTYYADSVKGRFTISADTSKNTAYLQMNSLRAEDTAVYYCARGGDRPVGCYALDYWGQGTLVTVSSGGGSGGGSGGGSGGGSGGGSDIQMTQSPSSLSASVGDRVTITCRASQDVTSAVAWYQQKPGKAPKLLIYSASFRYSGVPSRFSGSRSGTDFTLTISSLQPEDFATYYCQQHYVVPVTFGQGTKVEIK</v>
      </c>
      <c r="N154" s="4">
        <f t="shared" si="13"/>
        <v>249</v>
      </c>
      <c r="O154" s="1" t="b">
        <f t="shared" si="14"/>
        <v>1</v>
      </c>
      <c r="P154" s="1" t="b">
        <v>0</v>
      </c>
      <c r="Q154" s="1" t="b">
        <f>TRUE()</f>
        <v>1</v>
      </c>
      <c r="R154" s="4">
        <v>3.0435E-2</v>
      </c>
      <c r="S154" s="4">
        <v>6.3978999999999994E-2</v>
      </c>
      <c r="T154" s="10">
        <v>45990</v>
      </c>
      <c r="U154" s="2" t="s">
        <v>650</v>
      </c>
      <c r="V154" s="4">
        <v>7.0000000000000007E-2</v>
      </c>
    </row>
    <row r="155" spans="1:22" ht="64" x14ac:dyDescent="0.2">
      <c r="A155" s="1" t="s">
        <v>618</v>
      </c>
      <c r="B155" s="1" t="s">
        <v>515</v>
      </c>
      <c r="C155" s="2" t="s">
        <v>526</v>
      </c>
      <c r="D155" s="4">
        <v>0.4</v>
      </c>
      <c r="E155" s="1" t="s">
        <v>49</v>
      </c>
      <c r="F155" s="1" t="s">
        <v>584</v>
      </c>
      <c r="G155" s="1" t="s">
        <v>258</v>
      </c>
      <c r="I155" s="2" t="s">
        <v>630</v>
      </c>
      <c r="J155" s="2" t="s">
        <v>635</v>
      </c>
      <c r="K155" s="1" t="b">
        <v>1</v>
      </c>
      <c r="L155" s="2" t="s">
        <v>642</v>
      </c>
      <c r="M155" s="2" t="str">
        <f t="shared" si="12"/>
        <v>EVQLVESGGGLVQPGGSLRLSCAASGFNISYSSIHWVRQAPGKGLEWVASISSYSGYTYYADSVKGRFTISADTSKNTAYLQMNSLRAEDTAVYYCARGGWYPLGCYAMDYWGQGTLVTVSSGGGSGGGSGGGSGGGSGGGSDIQMTQSPSSLSASVGDRVTITCRASQDVLSDVAWYQQKPGKAPKLLIYYASFRYSGVPSRFSGSRSGTDFTLTISSLQPEDFATYYCQQHYVVPVTFGQGTKVEIK</v>
      </c>
      <c r="N155" s="4">
        <f t="shared" si="13"/>
        <v>249</v>
      </c>
      <c r="O155" s="1" t="b">
        <f t="shared" si="14"/>
        <v>1</v>
      </c>
      <c r="P155" s="1" t="b">
        <v>0</v>
      </c>
      <c r="Q155" s="1" t="b">
        <f>TRUE()</f>
        <v>1</v>
      </c>
      <c r="R155" s="4">
        <v>0</v>
      </c>
      <c r="S155" s="4">
        <v>4.908E-3</v>
      </c>
      <c r="T155" s="10">
        <v>45990</v>
      </c>
      <c r="U155" s="2" t="s">
        <v>648</v>
      </c>
      <c r="V155" s="4">
        <v>0</v>
      </c>
    </row>
    <row r="156" spans="1:22" ht="64" x14ac:dyDescent="0.2">
      <c r="A156" s="1" t="s">
        <v>619</v>
      </c>
      <c r="B156" s="1" t="s">
        <v>515</v>
      </c>
      <c r="C156" s="2" t="s">
        <v>526</v>
      </c>
      <c r="D156" s="4">
        <v>0.4</v>
      </c>
      <c r="E156" s="1" t="s">
        <v>49</v>
      </c>
      <c r="F156" s="1" t="s">
        <v>584</v>
      </c>
      <c r="G156" s="1" t="s">
        <v>258</v>
      </c>
      <c r="I156" s="2" t="s">
        <v>629</v>
      </c>
      <c r="J156" s="2" t="s">
        <v>634</v>
      </c>
      <c r="K156" s="1" t="b">
        <v>1</v>
      </c>
      <c r="L156" s="2" t="s">
        <v>642</v>
      </c>
      <c r="M156" s="2" t="str">
        <f t="shared" si="12"/>
        <v>EVQLVESGGGLVQPGGSLRLSCAASGFNISYSSIHWVRQAPGKGLEWVASISSYSGYTYYADSVKGRFTISADTSKNTAYLQMNSLRAEDTAVYYCARGGWRPFGCYALDYWGQGTLVTVSSGGGSGGGSGGGSGGGSGGGSDIQMTQSPSSLSASVGDRVTITCRASQDVFSAVAWYQQKPGKAPKLLIYSASFLYSGVPSRFSGSRSGTDFTLTISSLQPEDFATYYCQQHYIYPVTFGQGTKVEIK</v>
      </c>
      <c r="N156" s="4">
        <f t="shared" si="13"/>
        <v>249</v>
      </c>
      <c r="O156" s="1" t="b">
        <f t="shared" si="14"/>
        <v>1</v>
      </c>
      <c r="P156" s="1" t="b">
        <v>0</v>
      </c>
      <c r="Q156" s="1" t="b">
        <f>TRUE()</f>
        <v>1</v>
      </c>
      <c r="R156" s="4">
        <v>4.2744999999999998E-2</v>
      </c>
      <c r="S156" s="4">
        <v>0.14049900000000001</v>
      </c>
      <c r="T156" s="10">
        <v>45990</v>
      </c>
      <c r="U156" s="2" t="s">
        <v>652</v>
      </c>
      <c r="V156" s="4">
        <v>7.0000000000000007E-2</v>
      </c>
    </row>
    <row r="157" spans="1:22" ht="64" x14ac:dyDescent="0.2">
      <c r="A157" s="1" t="s">
        <v>620</v>
      </c>
      <c r="B157" s="1" t="s">
        <v>515</v>
      </c>
      <c r="C157" s="2" t="s">
        <v>526</v>
      </c>
      <c r="D157" s="4">
        <v>0.4</v>
      </c>
      <c r="E157" s="1" t="s">
        <v>49</v>
      </c>
      <c r="F157" s="1" t="s">
        <v>584</v>
      </c>
      <c r="G157" s="1" t="s">
        <v>258</v>
      </c>
      <c r="I157" s="2" t="s">
        <v>628</v>
      </c>
      <c r="J157" s="2" t="s">
        <v>633</v>
      </c>
      <c r="K157" s="1" t="b">
        <v>1</v>
      </c>
      <c r="L157" s="2" t="s">
        <v>642</v>
      </c>
      <c r="M157" s="2" t="str">
        <f t="shared" si="12"/>
        <v>EVQLVESGGGLVQPGGSLRLSCAASGFNISYSSIHWVRQAPGKGLEWVASISSYSGSTYYADSVKGRFTISADTSKNTAYLQMNSLRAEDTAVYYCARGGWYPWGNYALDYWGQGTLVTVSSGGGSGGGSGGGSGGGSGGGSDIQMTQSPSSLSASVGDRVTITCRASQDVNTAVAWYQQKPGKAPKLLIYEASFRYSGVPSRFSGSRSGTDFTLTISSLQPEDFATYYCQQHYEVPITFGQGTKVEIK</v>
      </c>
      <c r="N157" s="4">
        <f t="shared" si="13"/>
        <v>249</v>
      </c>
      <c r="O157" s="1" t="b">
        <f t="shared" si="14"/>
        <v>1</v>
      </c>
      <c r="P157" s="1" t="b">
        <v>0</v>
      </c>
      <c r="Q157" s="1" t="b">
        <f>TRUE()</f>
        <v>1</v>
      </c>
      <c r="R157" s="4">
        <v>0</v>
      </c>
      <c r="S157" s="4">
        <v>1.0083E-2</v>
      </c>
      <c r="T157" s="10">
        <v>45990</v>
      </c>
      <c r="U157" s="2" t="s">
        <v>651</v>
      </c>
      <c r="V157" s="4">
        <v>0.02</v>
      </c>
    </row>
    <row r="158" spans="1:22" ht="64" x14ac:dyDescent="0.2">
      <c r="A158" s="1" t="s">
        <v>621</v>
      </c>
      <c r="B158" s="1" t="s">
        <v>515</v>
      </c>
      <c r="C158" s="2" t="s">
        <v>526</v>
      </c>
      <c r="D158" s="4">
        <v>0.4</v>
      </c>
      <c r="E158" s="1" t="s">
        <v>49</v>
      </c>
      <c r="F158" s="1" t="s">
        <v>584</v>
      </c>
      <c r="G158" s="1" t="s">
        <v>258</v>
      </c>
      <c r="I158" s="2" t="s">
        <v>627</v>
      </c>
      <c r="J158" s="2" t="s">
        <v>632</v>
      </c>
      <c r="K158" s="1" t="b">
        <v>1</v>
      </c>
      <c r="L158" s="2" t="s">
        <v>642</v>
      </c>
      <c r="M158" s="2" t="str">
        <f t="shared" si="12"/>
        <v>EVQLVESGGGLVQPGGSLRLSCAASGFNISYSSIHWVRQAPGKGLEWVASISSYSGSTYYADSVKGRFTISADTSKNTAYLQMNSLRAEDTAVYYCARGGSRPWGCYALDYWGQGTLVTVSSGGGSGGGSGGGSGGGSGGGSDIQMTQSPSSLSASVGDRVTITCRASQDVFTAVAWYQQKPGKAPKLLIYFASFLYSGVPSRFSGSRSGTDFTLTISSLQPEDFATYYCQQYSIVPVTFGQGTKVEIK</v>
      </c>
      <c r="N158" s="4">
        <f t="shared" si="13"/>
        <v>249</v>
      </c>
      <c r="O158" s="1" t="b">
        <f t="shared" si="14"/>
        <v>1</v>
      </c>
      <c r="P158" s="1" t="b">
        <v>0</v>
      </c>
      <c r="Q158" s="1" t="b">
        <f>TRUE()</f>
        <v>1</v>
      </c>
      <c r="R158" s="4">
        <v>0</v>
      </c>
      <c r="S158" s="4">
        <v>4.7800000000000004E-3</v>
      </c>
      <c r="T158" s="10">
        <v>45990</v>
      </c>
      <c r="U158" s="2" t="s">
        <v>643</v>
      </c>
      <c r="V158" s="4">
        <v>0.01</v>
      </c>
    </row>
    <row r="159" spans="1:22" ht="64" x14ac:dyDescent="0.2">
      <c r="A159" s="1" t="s">
        <v>654</v>
      </c>
      <c r="B159" s="1" t="s">
        <v>515</v>
      </c>
      <c r="C159" s="2" t="s">
        <v>526</v>
      </c>
      <c r="D159" s="4">
        <v>0.2</v>
      </c>
      <c r="E159" s="1" t="s">
        <v>49</v>
      </c>
      <c r="F159" s="1" t="s">
        <v>584</v>
      </c>
      <c r="G159" s="1" t="s">
        <v>258</v>
      </c>
      <c r="H159" s="1">
        <v>4</v>
      </c>
      <c r="I159" s="2" t="s">
        <v>592</v>
      </c>
      <c r="J159" s="2" t="s">
        <v>655</v>
      </c>
      <c r="K159" s="1" t="b">
        <v>1</v>
      </c>
      <c r="L159" s="2" t="s">
        <v>642</v>
      </c>
      <c r="M159" s="2" t="str">
        <f t="shared" ref="M159" si="15">_xlfn.CONCAT(I159,L159,J159)</f>
        <v>EVQLVESGGGLVQPGGSLRLSCAASGFNISYSSIHWVRQAPGKGLEWVASISSYSGSTYYADSVKGRFTISADTSKNTAYLQMNSLRAEDTAVYYCARGGDVPVGWYALDYWGQGTLVTVSSGGGSGGGSGGGSGGGSGGGSDIQMTQSPSSLSASVGDRVTITCRASQSVYYAVAWYQQKPGKAPKLLIYRASDLYSGVPSRFSGSRSGTDFTLTISSLQPEDFATYYCQQYYSYPLTFGQGTKVEIK</v>
      </c>
      <c r="N159" s="4">
        <f t="shared" ref="N159" si="16">LEN(M159)</f>
        <v>249</v>
      </c>
      <c r="O159" s="1" t="b">
        <f t="shared" ref="O159" si="17">IF(N159&lt;=250,TRUE,FALSE)</f>
        <v>1</v>
      </c>
      <c r="P159" s="1" t="b">
        <v>0</v>
      </c>
      <c r="Q159" s="1" t="b">
        <v>0</v>
      </c>
      <c r="T159" s="10">
        <v>45991</v>
      </c>
      <c r="U159" s="2" t="s">
        <v>657</v>
      </c>
      <c r="V159" s="4">
        <v>0.17</v>
      </c>
    </row>
  </sheetData>
  <autoFilter ref="A1:V138" xr:uid="{00000000-0001-0000-0100-000000000000}"/>
  <phoneticPr fontId="1" type="noConversion"/>
  <conditionalFormatting sqref="K1:L1048576">
    <cfRule type="cellIs" dxfId="20" priority="22" operator="equal">
      <formula>TRUE</formula>
    </cfRule>
    <cfRule type="cellIs" dxfId="19" priority="23" operator="equal">
      <formula>FALSE</formula>
    </cfRule>
    <cfRule type="containsBlanks" dxfId="18" priority="23">
      <formula>LEN(TRIM(K1))=0</formula>
    </cfRule>
  </conditionalFormatting>
  <conditionalFormatting sqref="O2:O159">
    <cfRule type="containsBlanks" dxfId="17" priority="15">
      <formula>LEN(TRIM(O2))=0</formula>
    </cfRule>
  </conditionalFormatting>
  <conditionalFormatting sqref="O84:P159">
    <cfRule type="cellIs" dxfId="16" priority="3" operator="equal">
      <formula>FALSE</formula>
    </cfRule>
    <cfRule type="cellIs" dxfId="15" priority="4" operator="equal">
      <formula>TRUE</formula>
    </cfRule>
  </conditionalFormatting>
  <conditionalFormatting sqref="O2:S2 O3:Q30 O31:P83 R3:S22 S3:S158 R12:R158 Q31:Q158 R159:S159">
    <cfRule type="cellIs" dxfId="14" priority="16" operator="equal">
      <formula>FALSE</formula>
    </cfRule>
    <cfRule type="cellIs" dxfId="13" priority="24" operator="equal">
      <formula>TRUE</formula>
    </cfRule>
  </conditionalFormatting>
  <conditionalFormatting sqref="V1:V1048576 R1:S1048576">
    <cfRule type="colorScale" priority="14">
      <colorScale>
        <cfvo type="num" val="0"/>
        <cfvo type="percent" val="0.5"/>
        <cfvo type="num" val="1"/>
        <color rgb="FFF8696B"/>
        <color rgb="FFFFEB84"/>
        <color rgb="FF63BE7B"/>
      </colorScale>
    </cfRule>
  </conditionalFormatting>
  <conditionalFormatting sqref="V2:V22">
    <cfRule type="cellIs" dxfId="12" priority="10" operator="equal">
      <formula>FALSE</formula>
    </cfRule>
    <cfRule type="cellIs" dxfId="11" priority="11" operator="equal">
      <formula>TRUE</formula>
    </cfRule>
  </conditionalFormatting>
  <conditionalFormatting sqref="Q159">
    <cfRule type="cellIs" dxfId="1" priority="1" operator="equal">
      <formula>FALSE</formula>
    </cfRule>
    <cfRule type="cellIs" dxfId="0" priority="2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4"/>
  <sheetViews>
    <sheetView zoomScaleNormal="100" workbookViewId="0">
      <selection activeCell="D17" sqref="D17"/>
    </sheetView>
  </sheetViews>
  <sheetFormatPr baseColWidth="10" defaultColWidth="9.1640625" defaultRowHeight="15" x14ac:dyDescent="0.2"/>
  <cols>
    <col min="1" max="2" width="19.5" style="1" bestFit="1" customWidth="1"/>
    <col min="3" max="3" width="14.5" style="4" customWidth="1"/>
    <col min="4" max="4" width="122.1640625" style="1" customWidth="1"/>
    <col min="5" max="5" width="44.1640625" style="1" customWidth="1"/>
    <col min="6" max="6" width="93.33203125" style="1" customWidth="1"/>
    <col min="7" max="7" width="10.83203125" style="1" bestFit="1" customWidth="1"/>
    <col min="8" max="8" width="41" style="1" customWidth="1"/>
    <col min="9" max="9" width="10.5" style="1" bestFit="1" customWidth="1"/>
    <col min="10" max="10" width="10.1640625" style="1" bestFit="1" customWidth="1"/>
    <col min="11" max="1027" width="9.1640625" style="1"/>
  </cols>
  <sheetData>
    <row r="1" spans="1:10" x14ac:dyDescent="0.2">
      <c r="A1" s="1" t="s">
        <v>0</v>
      </c>
      <c r="B1" s="1" t="s">
        <v>231</v>
      </c>
      <c r="C1" s="4" t="s">
        <v>97</v>
      </c>
      <c r="D1" s="1" t="s">
        <v>1</v>
      </c>
      <c r="E1" s="1" t="s">
        <v>2</v>
      </c>
      <c r="F1" s="1" t="s">
        <v>3</v>
      </c>
      <c r="G1" s="1" t="s">
        <v>229</v>
      </c>
      <c r="H1" s="1" t="s">
        <v>228</v>
      </c>
      <c r="I1" s="1" t="s">
        <v>132</v>
      </c>
      <c r="J1" s="1" t="s">
        <v>133</v>
      </c>
    </row>
    <row r="2" spans="1:10" ht="80" x14ac:dyDescent="0.2">
      <c r="A2" s="1" t="s">
        <v>4</v>
      </c>
      <c r="B2" s="1" t="s">
        <v>5</v>
      </c>
      <c r="C2" s="4" t="s">
        <v>233</v>
      </c>
      <c r="D2" s="2" t="s">
        <v>6</v>
      </c>
      <c r="E2" s="2" t="s">
        <v>7</v>
      </c>
      <c r="F2" s="2" t="s">
        <v>8</v>
      </c>
      <c r="G2" s="2" t="s">
        <v>227</v>
      </c>
      <c r="H2" s="2" t="s">
        <v>225</v>
      </c>
      <c r="I2" s="1">
        <v>0.55449599999999999</v>
      </c>
      <c r="J2" s="1">
        <v>0.37068000000000001</v>
      </c>
    </row>
    <row r="3" spans="1:10" ht="112" x14ac:dyDescent="0.2">
      <c r="A3" s="1" t="s">
        <v>232</v>
      </c>
      <c r="B3" s="1" t="s">
        <v>259</v>
      </c>
      <c r="C3" s="4" t="s">
        <v>234</v>
      </c>
      <c r="D3" s="2" t="s">
        <v>226</v>
      </c>
      <c r="F3" s="2" t="s">
        <v>230</v>
      </c>
      <c r="G3" s="2" t="s">
        <v>227</v>
      </c>
      <c r="H3" s="2" t="s">
        <v>225</v>
      </c>
      <c r="I3" s="1">
        <v>0.79488899999999996</v>
      </c>
      <c r="J3" s="1">
        <v>0.72998799999999997</v>
      </c>
    </row>
    <row r="4" spans="1:10" ht="112" x14ac:dyDescent="0.2">
      <c r="A4" s="1" t="s">
        <v>258</v>
      </c>
      <c r="B4" s="1" t="s">
        <v>260</v>
      </c>
      <c r="C4" s="4" t="s">
        <v>256</v>
      </c>
      <c r="D4" s="2" t="s">
        <v>257</v>
      </c>
      <c r="F4" s="2" t="s">
        <v>261</v>
      </c>
      <c r="G4" s="2" t="s">
        <v>227</v>
      </c>
      <c r="H4" s="2" t="s">
        <v>225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9314-0648-4D13-9FBE-8D5595154332}">
  <dimension ref="A1:J5"/>
  <sheetViews>
    <sheetView topLeftCell="E1" workbookViewId="0">
      <selection activeCell="K5" sqref="K5"/>
    </sheetView>
  </sheetViews>
  <sheetFormatPr baseColWidth="10" defaultColWidth="9.1640625" defaultRowHeight="15" x14ac:dyDescent="0.2"/>
  <cols>
    <col min="1" max="1" width="15" style="1" bestFit="1" customWidth="1"/>
    <col min="2" max="2" width="11.5" style="1" customWidth="1"/>
    <col min="3" max="3" width="46.1640625" style="2" customWidth="1"/>
    <col min="4" max="4" width="48.83203125" style="2" customWidth="1"/>
    <col min="5" max="5" width="20.6640625" style="1" bestFit="1" customWidth="1"/>
    <col min="6" max="6" width="74" style="1" customWidth="1"/>
    <col min="7" max="7" width="17.5" style="1" bestFit="1" customWidth="1"/>
    <col min="8" max="8" width="11" style="1" bestFit="1" customWidth="1"/>
    <col min="9" max="9" width="10.1640625" style="1" bestFit="1" customWidth="1"/>
    <col min="10" max="10" width="10.5" style="1" bestFit="1" customWidth="1"/>
    <col min="11" max="16384" width="9.1640625" style="1"/>
  </cols>
  <sheetData>
    <row r="1" spans="1:10" ht="16" x14ac:dyDescent="0.2">
      <c r="A1" s="3" t="s">
        <v>355</v>
      </c>
      <c r="B1" s="3" t="s">
        <v>356</v>
      </c>
      <c r="C1" s="5" t="s">
        <v>13</v>
      </c>
      <c r="D1" s="5" t="s">
        <v>14</v>
      </c>
      <c r="E1" s="5" t="s">
        <v>124</v>
      </c>
      <c r="F1" s="5" t="s">
        <v>15</v>
      </c>
      <c r="G1" s="3" t="s">
        <v>16</v>
      </c>
      <c r="H1" s="3" t="s">
        <v>99</v>
      </c>
      <c r="I1" s="3" t="s">
        <v>133</v>
      </c>
      <c r="J1" s="3" t="s">
        <v>132</v>
      </c>
    </row>
    <row r="2" spans="1:10" ht="64" x14ac:dyDescent="0.2">
      <c r="A2" s="1" t="s">
        <v>359</v>
      </c>
      <c r="B2" s="1" t="s">
        <v>360</v>
      </c>
      <c r="C2" s="2" t="s">
        <v>357</v>
      </c>
      <c r="D2" s="2" t="s">
        <v>358</v>
      </c>
      <c r="E2" s="2" t="s">
        <v>125</v>
      </c>
      <c r="F2" s="2" t="str">
        <f>_xlfn.CONCAT(C2,E2,D2)</f>
        <v>QSLEESGGRLVTPGTPLTLTCTASGFSLSSYYMMWVRQAPGKGLEWIGIINTGGNAYYASWTKGRFTISKTSTTVDLKITSPTTEDTATYFCARAVPSGAGYSAGGLWGPGTLVTVSSGGGSGGGSGGGSGGGSDQVLTQTPASVEAAVGGTVTIKCQASQSVGFYLSWYQQKPGQPPKLLIYRASTLESGVPSRFKGSGSGTEFTLTISDLECADAATYYCQTNDYLASSAFGGGTEVVVRGDP</v>
      </c>
      <c r="G2" s="4">
        <f>LEN(F2)</f>
        <v>245</v>
      </c>
      <c r="H2" s="1" t="b">
        <f>IF(G2&lt;=250,TRUE,FALSE)</f>
        <v>1</v>
      </c>
      <c r="I2" s="4">
        <v>0.15832499999999999</v>
      </c>
      <c r="J2" s="4">
        <v>0.23402200000000001</v>
      </c>
    </row>
    <row r="3" spans="1:10" ht="64" x14ac:dyDescent="0.2">
      <c r="A3" s="1" t="s">
        <v>361</v>
      </c>
      <c r="B3" s="1" t="s">
        <v>362</v>
      </c>
      <c r="C3" s="2" t="s">
        <v>363</v>
      </c>
      <c r="D3" s="2" t="s">
        <v>364</v>
      </c>
      <c r="E3" s="2" t="s">
        <v>125</v>
      </c>
      <c r="F3" s="2" t="str">
        <f>_xlfn.CONCAT(C3,E3,D3)</f>
        <v>EVQLQQSGAELVKPGASVKLSCTASGFNIKDTYMYWVKQRPEQGLEWIGRIDPANGDTKYDPKFQGKATITTDTFSNTAYLQLSSLTSEDTAVYYCARKGLRWAMDYWGQGTSVTVSTGGGSGGGSGGGSGGGSNIVMTQSPKSMSMSVGERVTLSCKASEYVGTYVSWYQQKPEQSPKLLIYGASNRYTGVPDRFTGSGSATDFTLTIGSVQAEDLADYHCGQSYSYPTFGAGTKLELKRA</v>
      </c>
      <c r="G3" s="4">
        <f>LEN(F3)</f>
        <v>242</v>
      </c>
      <c r="H3" s="1" t="b">
        <f>IF(G3&lt;=250,TRUE,FALSE)</f>
        <v>1</v>
      </c>
      <c r="I3" s="4">
        <v>4.9750000000000003E-3</v>
      </c>
      <c r="J3" s="4">
        <v>0</v>
      </c>
    </row>
    <row r="4" spans="1:10" ht="64" x14ac:dyDescent="0.2">
      <c r="A4" s="1" t="s">
        <v>365</v>
      </c>
      <c r="B4" s="1" t="s">
        <v>366</v>
      </c>
      <c r="C4" s="2" t="s">
        <v>368</v>
      </c>
      <c r="D4" s="2" t="s">
        <v>367</v>
      </c>
      <c r="E4" s="2" t="s">
        <v>125</v>
      </c>
      <c r="F4" s="2" t="str">
        <f>_xlfn.CONCAT(C4,E4,D4)</f>
        <v>DVQLQESGPGLVKPSQSLSLTCSVTGYSITSDYYWNWIRQFPGNKLEWMGYVTYDGSNNYNPSLKNRISITRDSSKNQFFLKLNSVISEDTATYYCARFGSSYWAMDYWGQGTSLTVSSGGGSGGGSGGGSGGGSQIVLTQSPAIMSASLGEAITLTCSASSSVSYMHWYQQKSGTSPKLLIYSTSNLASGVPSRFSGSGSGTFYSLTISSVEAEDAADYYCHQWYSYPWTFGGGTKLEIK</v>
      </c>
      <c r="G4" s="4">
        <f>LEN(F4)</f>
        <v>241</v>
      </c>
      <c r="H4" s="1" t="b">
        <f>IF(G4&lt;=250,TRUE,FALSE)</f>
        <v>1</v>
      </c>
      <c r="I4" s="4">
        <v>5.2248000000000003E-2</v>
      </c>
      <c r="J4" s="4">
        <v>5.3319999999999999E-3</v>
      </c>
    </row>
    <row r="5" spans="1:10" ht="64" x14ac:dyDescent="0.2">
      <c r="A5" s="1" t="s">
        <v>567</v>
      </c>
      <c r="B5" s="1" t="s">
        <v>568</v>
      </c>
      <c r="C5" s="2" t="s">
        <v>566</v>
      </c>
      <c r="D5" s="2" t="s">
        <v>565</v>
      </c>
      <c r="E5" s="2" t="s">
        <v>569</v>
      </c>
      <c r="F5" s="2" t="str">
        <f>_xlfn.CONCAT(C5,E5,D5)</f>
        <v>EVQLVQSGAEVKKRGSSVKVSCKSSGGTFSNYAINWVRQAPGQGLEWMGGIIPILGIANYAQKFQGRVTITTDESTSTAYMELSSLRSEDTAVYYCARGWGREQLAPHPSQYYYYYYGMDVWGQGTTVTVSSGGGSGGGSGGGEIVMTQSPGTPSLSPGERATLSCRASQSIRSTYLAWYQQKPGQAPRLLIYGASSRATGIPDRFSGSGSGTDFTLTISRLEPEDFAVYYCQQYGRSPSFGQGTKVEIK</v>
      </c>
      <c r="G5" s="4">
        <f>LEN(F5)</f>
        <v>250</v>
      </c>
      <c r="H5" s="1" t="b">
        <f>IF(G5&lt;=250,TRUE,FALSE)</f>
        <v>1</v>
      </c>
      <c r="I5" s="4">
        <v>0.47112500000000002</v>
      </c>
      <c r="J5" s="4">
        <v>0.66756800000000005</v>
      </c>
    </row>
  </sheetData>
  <conditionalFormatting sqref="E1:E5">
    <cfRule type="cellIs" dxfId="10" priority="18" operator="equal">
      <formula>TRUE</formula>
    </cfRule>
    <cfRule type="cellIs" dxfId="9" priority="19" operator="equal">
      <formula>FALSE</formula>
    </cfRule>
  </conditionalFormatting>
  <conditionalFormatting sqref="H2:H5">
    <cfRule type="containsBlanks" dxfId="8" priority="16">
      <formula>LEN(TRIM(H2))=0</formula>
    </cfRule>
    <cfRule type="cellIs" dxfId="7" priority="17" operator="equal">
      <formula>FALSE</formula>
    </cfRule>
    <cfRule type="cellIs" dxfId="6" priority="20" operator="equal">
      <formula>TRUE</formula>
    </cfRule>
  </conditionalFormatting>
  <conditionalFormatting sqref="I5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5" priority="5" operator="equal">
      <formula>FALSE</formula>
    </cfRule>
    <cfRule type="cellIs" dxfId="4" priority="6" operator="equal">
      <formula>TRUE</formula>
    </cfRule>
  </conditionalFormatting>
  <conditionalFormatting sqref="I1:J1048576">
    <cfRule type="colorScale" priority="13">
      <colorScale>
        <cfvo type="num" val="0"/>
        <cfvo type="num" val="0.5"/>
        <cfvo type="num" val="1"/>
        <color rgb="FFF8696B"/>
        <color rgb="FFFFEB84"/>
        <color rgb="FF63BE7B"/>
      </colorScale>
    </cfRule>
    <cfRule type="cellIs" dxfId="3" priority="14" operator="equal">
      <formula>FALSE</formula>
    </cfRule>
    <cfRule type="cellIs" dxfId="2" priority="15" operator="equal">
      <formula>TRUE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8"/>
  <sheetViews>
    <sheetView workbookViewId="0">
      <selection activeCell="D16" sqref="D16"/>
    </sheetView>
  </sheetViews>
  <sheetFormatPr baseColWidth="10" defaultColWidth="9.1640625" defaultRowHeight="15" x14ac:dyDescent="0.2"/>
  <cols>
    <col min="1" max="1" width="9.1640625" style="4"/>
    <col min="2" max="2" width="53" style="2" customWidth="1"/>
    <col min="3" max="16384" width="9.1640625" style="1"/>
  </cols>
  <sheetData>
    <row r="1" spans="1:2" ht="16" x14ac:dyDescent="0.2">
      <c r="A1" s="3" t="s">
        <v>94</v>
      </c>
      <c r="B1" s="6" t="s">
        <v>95</v>
      </c>
    </row>
    <row r="2" spans="1:2" ht="64" x14ac:dyDescent="0.2">
      <c r="A2" s="4">
        <v>1</v>
      </c>
      <c r="B2" s="2" t="s">
        <v>93</v>
      </c>
    </row>
    <row r="3" spans="1:2" ht="64" x14ac:dyDescent="0.2">
      <c r="A3" s="4">
        <v>2</v>
      </c>
      <c r="B3" s="2" t="s">
        <v>111</v>
      </c>
    </row>
    <row r="4" spans="1:2" ht="16" x14ac:dyDescent="0.2">
      <c r="A4" s="4">
        <v>3</v>
      </c>
      <c r="B4" s="2" t="s">
        <v>342</v>
      </c>
    </row>
    <row r="5" spans="1:2" ht="16" x14ac:dyDescent="0.2">
      <c r="A5" s="4">
        <v>4</v>
      </c>
      <c r="B5" s="2" t="s">
        <v>653</v>
      </c>
    </row>
    <row r="6" spans="1:2" ht="16" x14ac:dyDescent="0.2">
      <c r="A6" s="4" t="s">
        <v>233</v>
      </c>
      <c r="B6" s="2" t="s">
        <v>235</v>
      </c>
    </row>
    <row r="7" spans="1:2" ht="16" x14ac:dyDescent="0.2">
      <c r="A7" s="4" t="s">
        <v>234</v>
      </c>
      <c r="B7" s="2" t="s">
        <v>262</v>
      </c>
    </row>
    <row r="8" spans="1:2" ht="16" x14ac:dyDescent="0.2">
      <c r="A8" s="4" t="s">
        <v>256</v>
      </c>
      <c r="B8" s="2" t="s">
        <v>255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8"/>
  <sheetViews>
    <sheetView workbookViewId="0">
      <selection activeCell="A29" sqref="A29"/>
    </sheetView>
  </sheetViews>
  <sheetFormatPr baseColWidth="10" defaultColWidth="11.5" defaultRowHeight="15" x14ac:dyDescent="0.2"/>
  <cols>
    <col min="1" max="1" width="20.83203125" customWidth="1"/>
    <col min="2" max="2" width="28.5" bestFit="1" customWidth="1"/>
    <col min="3" max="3" width="255.83203125" bestFit="1" customWidth="1"/>
    <col min="4" max="4" width="255.6640625" bestFit="1" customWidth="1"/>
    <col min="5" max="5" width="10" bestFit="1" customWidth="1"/>
  </cols>
  <sheetData>
    <row r="2" spans="1:3" x14ac:dyDescent="0.2">
      <c r="A2" s="8" t="s">
        <v>98</v>
      </c>
      <c r="B2" s="9">
        <v>45991</v>
      </c>
    </row>
    <row r="4" spans="1:3" x14ac:dyDescent="0.2">
      <c r="A4" t="s">
        <v>654</v>
      </c>
      <c r="B4" t="s">
        <v>526</v>
      </c>
      <c r="C4" t="s">
        <v>656</v>
      </c>
    </row>
    <row r="29" spans="1:1" x14ac:dyDescent="0.2">
      <c r="A29" t="str">
        <f>_xlfn.CONCAT("&gt;",A4,"\n",C4)</f>
        <v>&gt;sbio-nipahgpg-160\nEVQLVESGGGLVQPGGSLRLSCAASGFNISYSSIHWVRQAPGKGLEWVASISSYSGSTYYADSVKGRFTISADTSKNTAYLQMNSLRAEDTAVYYCARGGDVPVGWYALDYWGQGTLVTVSSGGGSGGGSGGGSGGGSGGGSDIQMTQSPSSLSASVGDRVTITCRASQSVYYAVAWYQQKPGKAPKLLIYRASDLYSGVPSRFSGSRSGTDFTLTISSLQPEDFATYYCQQYYSYPLTFGQGTKVEIK</v>
      </c>
    </row>
    <row r="30" spans="1:1" x14ac:dyDescent="0.2">
      <c r="A30" t="str">
        <f t="shared" ref="A30:A38" si="0">_xlfn.CONCAT("&gt;",A5,"\n",C5)</f>
        <v>&gt;\n</v>
      </c>
    </row>
    <row r="31" spans="1:1" x14ac:dyDescent="0.2">
      <c r="A31" t="str">
        <f t="shared" si="0"/>
        <v>&gt;\n</v>
      </c>
    </row>
    <row r="32" spans="1:1" x14ac:dyDescent="0.2">
      <c r="A32" t="str">
        <f t="shared" si="0"/>
        <v>&gt;\n</v>
      </c>
    </row>
    <row r="33" spans="1:1" x14ac:dyDescent="0.2">
      <c r="A33" t="str">
        <f t="shared" si="0"/>
        <v>&gt;\n</v>
      </c>
    </row>
    <row r="34" spans="1:1" x14ac:dyDescent="0.2">
      <c r="A34" t="str">
        <f t="shared" si="0"/>
        <v>&gt;\n</v>
      </c>
    </row>
    <row r="35" spans="1:1" x14ac:dyDescent="0.2">
      <c r="A35" t="str">
        <f t="shared" si="0"/>
        <v>&gt;\n</v>
      </c>
    </row>
    <row r="36" spans="1:1" x14ac:dyDescent="0.2">
      <c r="A36" t="str">
        <f t="shared" si="0"/>
        <v>&gt;\n</v>
      </c>
    </row>
    <row r="37" spans="1:1" x14ac:dyDescent="0.2">
      <c r="A37" t="str">
        <f t="shared" si="0"/>
        <v>&gt;\n</v>
      </c>
    </row>
    <row r="38" spans="1:1" x14ac:dyDescent="0.2">
      <c r="A38" t="str">
        <f t="shared" si="0"/>
        <v>&gt;\n</v>
      </c>
    </row>
  </sheetData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Antibody Candidates</vt:lpstr>
      <vt:lpstr>Antigens</vt:lpstr>
      <vt:lpstr>Reference Antibodies</vt:lpstr>
      <vt:lpstr>Notes</vt:lpstr>
      <vt:lpstr>FASTA Generation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2025-12-01T01:03:58Z</dcterms:modified>
  <dc:language>en-US</dc:language>
</cp:coreProperties>
</file>