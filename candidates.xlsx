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Nipah_gpG_Fv_Generation\"/>
    </mc:Choice>
  </mc:AlternateContent>
  <xr:revisionPtr revIDLastSave="0" documentId="13_ncr:1_{0706BEC8-B4DD-489F-AF75-702328E45FFA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Antigens" sheetId="1" r:id="rId1"/>
    <sheet name="Antibody Candida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2" l="1"/>
  <c r="I9" i="2" s="1"/>
  <c r="H7" i="2"/>
  <c r="I7" i="2" s="1"/>
  <c r="H8" i="2"/>
  <c r="I8" i="2" s="1"/>
  <c r="H6" i="2"/>
  <c r="I6" i="2" s="1"/>
  <c r="G6" i="2"/>
  <c r="H5" i="2"/>
  <c r="I5" i="2" s="1"/>
  <c r="G5" i="2"/>
  <c r="H4" i="2"/>
  <c r="I4" i="2" s="1"/>
  <c r="G4" i="2"/>
  <c r="H3" i="2"/>
  <c r="I3" i="2" s="1"/>
  <c r="G3" i="2"/>
  <c r="H2" i="2"/>
  <c r="I2" i="2" s="1"/>
  <c r="G2" i="2"/>
</calcChain>
</file>

<file path=xl/sharedStrings.xml><?xml version="1.0" encoding="utf-8"?>
<sst xmlns="http://schemas.openxmlformats.org/spreadsheetml/2006/main" count="59" uniqueCount="48">
  <si>
    <t>antigen_id</t>
  </si>
  <si>
    <t>antigen_pdb_id</t>
  </si>
  <si>
    <t>antigen_sequence</t>
  </si>
  <si>
    <t>epitope_res_ids</t>
  </si>
  <si>
    <t>antigen_sequence_annotated</t>
  </si>
  <si>
    <t>nipah_gpG</t>
  </si>
  <si>
    <t>2vsm_A</t>
  </si>
  <si>
    <t>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H</t>
  </si>
  <si>
    <t>`239,240,241,242,305,388,389,401,402,458,488,489,490,491,492,501,504,505,506,507,530,531,532,533,555,557,558,559,579,580,581,583,588</t>
  </si>
  <si>
    <t>ICLQKTSNQILKPKLISYTLGQSGTCITDPLLAMDEGYFAYSHLERIG[S][C][S][R]GVSKQRIIGVGEVLDRGDEVPSLFMTNVWTPPNPNTVYHCSAVYNNEFYYVLCAVSTVGDPI[L]NSTYWSGSLMMTRLAVKPKSNGGGYNQHQLALRSIEKGRYDKVMPYGPSGIKQGDTLYFPAVGFLVRTEFKYNDSNCPITKC[Q][Y]SKPENCRLSMG[I][R]PNSHYILRSGLLKYNLSDGENPKVVFIEISDQRLSIGSPSKIYDSLGQPVFYQAS[F]SWDTMIKFGDVLTVNPLVVNWRNNTVISR[P][G][Q][S][Q]CPRFNTCP[E]IC[W][E][G][V]YNDAFLIDRINWISAGVFLDSN[Q][T][A][E]NPVFTVFKDNEILYRAQLASE[D]T[N][A][Q]KTITNCFLLKNKIWCISLV[E][I][Y]D[T]GDNV[I]RPKLFAVKIPEQCTH</t>
  </si>
  <si>
    <t>antibody_id</t>
  </si>
  <si>
    <t>method</t>
  </si>
  <si>
    <t>model_version</t>
  </si>
  <si>
    <t>temperature</t>
  </si>
  <si>
    <t>h_chain</t>
  </si>
  <si>
    <t>l_chain</t>
  </si>
  <si>
    <t>test_abysis_pass</t>
  </si>
  <si>
    <t>franken_chain</t>
  </si>
  <si>
    <t>len_franken_chain</t>
  </si>
  <si>
    <t>sbio-nipahgpg-001</t>
  </si>
  <si>
    <t>peleke-1</t>
  </si>
  <si>
    <t>peleke-phi-4</t>
  </si>
  <si>
    <t>QVQLVESGGGVVQPGRSLRLSCAASGFTFSSYGMHWVRQAPGKGLEWVAVISYDGSKKYYADSVKGRFTISRDNSKNTLYLQMNSLRAEDTAVYYCARSPFYDSSGYYAMDYWGQGTLVTVSS</t>
  </si>
  <si>
    <t>DIQLTQSPSSLSASVGDRVTITCRASQGISSYLAWYQQKPGKAPKLLIYAASTLQSGVPSRFSGSGSGTDFTLTISSLQPEDFATYYCQQANSFPPTFGQGTKVEIK</t>
  </si>
  <si>
    <t>sbio-nipahgpg-002</t>
  </si>
  <si>
    <t>QVQLVESGGGVVQPGKSLRLSCAASGFTFSSYAMSWVRQAPGKGPEWVAFISYDGSNNYYADSVKGRFTISRDNPKNTLYLQMKSLRAEDTAVYYCARWRQRFDMYWGRGTLVTVSS</t>
  </si>
  <si>
    <t>DIQMTQSPSSLSASVGDRVTITCRASQSISSYLNWYQQKPGKAPKLLIYAASSLQSGVPSRFSGSGSGTDFTLTISSLQPEDFATYYCQQSYSTPYTFGQGTKVEIK</t>
  </si>
  <si>
    <t>sbio-nipahgpg-003</t>
  </si>
  <si>
    <t>QVQLQESGPGLVKPSETLSLTCTVSGASIRGYYWSWIRQFPGKELEWIGYVYSGSTENYNPSLKSRVTVTLTDTKNSFSLKLNSVTSEDTAVYYCARGGALIYYDVWGTGTTVTVSS</t>
  </si>
  <si>
    <t>DIQVTQSPVSLSASVGDRVTITCRASQGIDSLNWFQQRPGKAPKLLIYAASQLTGIAPRFRSGSGSGTDFTLTISSLQPEDFATYYCQQYNIYPATFGQGTKVEIK</t>
  </si>
  <si>
    <t>sbio-nipahgpg-004</t>
  </si>
  <si>
    <t>EVQLVQSGAEVKKPGESLKISCKGSGYTFSYYWIGWVRQMPGKGLEWMGIIYPGDSDTRYSPSFQGQVTISADKSISTAYLQWSSLKASDTAMYYCARGEGVFDYWGQGTLVTVSS</t>
  </si>
  <si>
    <t>YTLTQAPSVSASGQSVTISCTGTSRDVGTYWYQQIPGRAPKLLIHDKSENQGKTPGIPDRFSGSKSGNTASLVIIRGLQADDEADYYCNSYHGSGSNIFGGGTKLTVD</t>
  </si>
  <si>
    <t>sbio-nipahgpg-005</t>
  </si>
  <si>
    <t>EVQLVESGGGLVQPGGSLRLSCAASGFTFSSYWMNWVRQAPGKGLEWVANINQDGGEKYYVDSVKGRFTISRDNAKNSLYLQMNSLRAEDTAIYYCARDVGGGMDVWGQGTTVTVSS</t>
  </si>
  <si>
    <t>QMTQSPSSLSASVGDRVTITCRASQSVSSAVAWYQQKPGKAPKLLIYSASSLYSGVPSRFSGSRSGTDFTLTISSLQPEDFATYYCQQSSSSLITFGQGTKVEIK</t>
  </si>
  <si>
    <t>sbio-nipahgpg-006</t>
  </si>
  <si>
    <t>peleke-mistral-7b-instruct-v0.2</t>
  </si>
  <si>
    <t>VGPRTTLTVSLRSGASVKMSCKASGYSFTWVRQKPGQGLEWVKISYDGLKDYTNYKFQGVKATITADKSSNTAYLQISNLTSEDTAVYFCSRRAVYYDYWGQGTTLTVSS</t>
  </si>
  <si>
    <t>VTVALGTVSLAPGTVSLRSCRASQSVSLSYLHWYQQKPGQAPLLVYGDNSKRPSGIPDRFSGSSSGNTASLTISGVQAEDEADYYCQSSDSSNWVFGGGTKLTVL</t>
  </si>
  <si>
    <t>sbio-nipahgpg-007</t>
  </si>
  <si>
    <t>DRPSLTVKTSLTVSEPGSSISCASGIGTFSSYDFIVKQPSQGFDLEWIGGISYDSTYVNYSLKHRISRTIITNWKNTLQFTISLTSLKPASVYFDVWGAGTWISPYWGQGTTLTVSSSSAVSSFYVKNKGLDVWGHVITVN</t>
  </si>
  <si>
    <t>DIQLTQSPFLSLSPGSTASISCSGSSYDYTSGYRYKSSGKSPKPWMQRFLYSGSKRFSGVPERFIGSGTDFALTISRVEAEDVGFCSGWIFPFTFGPGTKVDIK</t>
  </si>
  <si>
    <t>General LLM</t>
  </si>
  <si>
    <t>Qwen3-235B-A22B-Instruct-2507</t>
  </si>
  <si>
    <t>sbio-nipahgpg-008</t>
  </si>
  <si>
    <t>QVQLVESGGGVVQPGRSLRLSCAASGFTFSSYAMSWVRQAPGKGLEWVSAIWSNGGSTYYADSVKGRFTISRDNAKNSLYLQMNSLRAEDTAVYYCARDYGSYGYFDYWGQGTLVTVSS</t>
  </si>
  <si>
    <t>DIVMTQSPLSLPVTPGEPASISCRSSQSLLYSNGNTYLEWYLQKPGQSPQLLIYLVSKLDSGVPDRFSGSGSGTDFTLKISRVEAEDLGIYYCQQSKEVPYTFGAGTKLEIK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</si>
</sst>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  <font>
      <sz val="8"/>
      <name val="Aptos Narrow"/>
      <family val="2"/>
      <charset val="1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"/>
  <sheetViews>
    <sheetView zoomScaleNormal="100" workbookViewId="0">
      <selection activeCell="C1" sqref="C1"/>
    </sheetView>
  </sheetViews>
  <sheetFormatPr defaultColWidth="9.140625" defaultRowHeight="15" x14ac:dyDescent="0.25"/>
  <cols>
    <col min="1" max="1" width="10.42578125" style="1" customWidth="1"/>
    <col min="2" max="2" width="14.5703125" style="1" customWidth="1"/>
    <col min="3" max="3" width="78.5703125" style="1" customWidth="1"/>
    <col min="4" max="4" width="44.140625" style="1" customWidth="1"/>
    <col min="5" max="5" width="93.28515625" style="1" customWidth="1"/>
    <col min="6" max="102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" x14ac:dyDescent="0.2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"/>
  <sheetViews>
    <sheetView tabSelected="1" zoomScale="130" zoomScaleNormal="130" workbookViewId="0">
      <selection activeCell="E6" sqref="E6"/>
    </sheetView>
  </sheetViews>
  <sheetFormatPr defaultColWidth="9.140625" defaultRowHeight="15" x14ac:dyDescent="0.25"/>
  <cols>
    <col min="1" max="1" width="17.85546875" style="1" customWidth="1"/>
    <col min="2" max="2" width="11.5703125" style="1" bestFit="1" customWidth="1"/>
    <col min="3" max="3" width="14.42578125" style="1" bestFit="1" customWidth="1"/>
    <col min="4" max="4" width="11.7109375" style="1" customWidth="1"/>
    <col min="5" max="5" width="54" style="2" customWidth="1"/>
    <col min="6" max="6" width="42.140625" style="2" customWidth="1"/>
    <col min="7" max="7" width="16" style="1" customWidth="1"/>
    <col min="8" max="8" width="71.28515625" style="2" customWidth="1"/>
    <col min="9" max="9" width="17.42578125" style="1" customWidth="1"/>
    <col min="10" max="1024" width="9.140625" style="1"/>
  </cols>
  <sheetData>
    <row r="1" spans="1:1024" s="7" customFormat="1" x14ac:dyDescent="0.25">
      <c r="A1" s="5" t="s">
        <v>10</v>
      </c>
      <c r="B1" s="5" t="s">
        <v>11</v>
      </c>
      <c r="C1" s="5" t="s">
        <v>12</v>
      </c>
      <c r="D1" s="5" t="s">
        <v>13</v>
      </c>
      <c r="E1" s="6" t="s">
        <v>14</v>
      </c>
      <c r="F1" s="6" t="s">
        <v>15</v>
      </c>
      <c r="G1" s="5" t="s">
        <v>16</v>
      </c>
      <c r="H1" s="6" t="s">
        <v>17</v>
      </c>
      <c r="I1" s="5" t="s">
        <v>18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</row>
    <row r="2" spans="1:1024" ht="75" x14ac:dyDescent="0.25">
      <c r="A2" s="1" t="s">
        <v>19</v>
      </c>
      <c r="B2" s="1" t="s">
        <v>20</v>
      </c>
      <c r="C2" s="1" t="s">
        <v>21</v>
      </c>
      <c r="D2" s="1">
        <v>0.7</v>
      </c>
      <c r="E2" s="2" t="s">
        <v>22</v>
      </c>
      <c r="F2" s="2" t="s">
        <v>23</v>
      </c>
      <c r="G2" s="1" t="b">
        <f>TRUE()</f>
        <v>1</v>
      </c>
      <c r="H2" s="2" t="str">
        <f>_xlfn.CONCAT(E2,"GGGSGGGSGGGSGGGS",F2)</f>
        <v>QVQLVESGGGVVQPGRSLRLSCAASGFTFSSYGMHWVRQAPGKGLEWVAVISYDGSKKYYADSVKGRFTISRDNSKNTLYLQMNSLRAEDTAVYYCARSPFYDSSGYYAMDYWGQGTLVTVSSGGGSGGGSGGGSGGGSDIQLTQSPSSLSASVGDRVTITCRASQGISSYLAWYQQKPGKAPKLLIYAASTLQSGVPSRFSGSGSGTDFTLTISSLQPEDFATYYCQQANSFPPTFGQGTKVEIK</v>
      </c>
      <c r="I2" s="1">
        <f>LEN(H2)</f>
        <v>246</v>
      </c>
    </row>
    <row r="3" spans="1:1024" ht="60" x14ac:dyDescent="0.25">
      <c r="A3" s="1" t="s">
        <v>24</v>
      </c>
      <c r="B3" s="1" t="s">
        <v>20</v>
      </c>
      <c r="C3" s="1" t="s">
        <v>21</v>
      </c>
      <c r="D3" s="1">
        <v>0.7</v>
      </c>
      <c r="E3" s="2" t="s">
        <v>25</v>
      </c>
      <c r="F3" s="2" t="s">
        <v>26</v>
      </c>
      <c r="G3" s="1" t="b">
        <f>TRUE()</f>
        <v>1</v>
      </c>
      <c r="H3" s="2" t="str">
        <f>_xlfn.CONCAT(E3,"GGGSGGGSGGGSGGGS",F3)</f>
        <v>QVQLVESGGGVVQPGKSLRLSCAASGFTFSSYAMSWVRQAPGKGPEWVAFISYDGSNNYYADSVKGRFTISRDNPKNTLYLQMKSLRAEDTAVYYCARWRQRFDMYWGRGTLVTVSSGGGSGGGSGGGSGGGSDIQMTQSPSSLSASVGDRVTITCRASQSISSYLNWYQQKPGKAPKLLIYAASSLQSGVPSRFSGSGSGTDFTLTISSLQPEDFATYYCQQSYSTPYTFGQGTKVEIK</v>
      </c>
      <c r="I3" s="1">
        <f>LEN(H3)</f>
        <v>240</v>
      </c>
    </row>
    <row r="4" spans="1:1024" ht="60" x14ac:dyDescent="0.25">
      <c r="A4" s="1" t="s">
        <v>27</v>
      </c>
      <c r="B4" s="1" t="s">
        <v>20</v>
      </c>
      <c r="C4" s="1" t="s">
        <v>21</v>
      </c>
      <c r="D4" s="1">
        <v>0.9</v>
      </c>
      <c r="E4" s="2" t="s">
        <v>28</v>
      </c>
      <c r="F4" s="2" t="s">
        <v>29</v>
      </c>
      <c r="G4" s="1" t="b">
        <f>TRUE()</f>
        <v>1</v>
      </c>
      <c r="H4" s="2" t="str">
        <f>_xlfn.CONCAT(E4,"GGGSGGGSGGGSGGGS",F4)</f>
        <v>QVQLQESGPGLVKPSETLSLTCTVSGASIRGYYWSWIRQFPGKELEWIGYVYSGSTENYNPSLKSRVTVTLTDTKNSFSLKLNSVTSEDTAVYYCARGGALIYYDVWGTGTTVTVSSGGGSGGGSGGGSGGGSDIQVTQSPVSLSASVGDRVTITCRASQGIDSLNWFQQRPGKAPKLLIYAASQLTGIAPRFRSGSGSGTDFTLTISSLQPEDFATYYCQQYNIYPATFGQGTKVEIK</v>
      </c>
      <c r="I4" s="1">
        <f>LEN(H4)</f>
        <v>239</v>
      </c>
    </row>
    <row r="5" spans="1:1024" ht="60" x14ac:dyDescent="0.25">
      <c r="A5" s="1" t="s">
        <v>30</v>
      </c>
      <c r="B5" s="1" t="s">
        <v>20</v>
      </c>
      <c r="C5" s="1" t="s">
        <v>21</v>
      </c>
      <c r="D5" s="1">
        <v>0.9</v>
      </c>
      <c r="E5" s="2" t="s">
        <v>31</v>
      </c>
      <c r="F5" s="2" t="s">
        <v>32</v>
      </c>
      <c r="G5" s="1" t="b">
        <f>TRUE()</f>
        <v>1</v>
      </c>
      <c r="H5" s="2" t="str">
        <f>_xlfn.CONCAT(E5,"GGGSGGGSGGGSGGGS",F5)</f>
        <v>EVQLVQSGAEVKKPGESLKISCKGSGYTFSYYWIGWVRQMPGKGLEWMGIIYPGDSDTRYSPSFQGQVTISADKSISTAYLQWSSLKASDTAMYYCARGEGVFDYWGQGTLVTVSSGGGSGGGSGGGSGGGSYTLTQAPSVSASGQSVTISCTGTSRDVGTYWYQQIPGRAPKLLIHDKSENQGKTPGIPDRFSGSKSGNTASLVIIRGLQADDEADYYCNSYHGSGSNIFGGGTKLTVD</v>
      </c>
      <c r="I5" s="1">
        <f>LEN(H5)</f>
        <v>240</v>
      </c>
    </row>
    <row r="6" spans="1:1024" ht="60" x14ac:dyDescent="0.25">
      <c r="A6" s="1" t="s">
        <v>33</v>
      </c>
      <c r="B6" s="1" t="s">
        <v>20</v>
      </c>
      <c r="C6" s="1" t="s">
        <v>21</v>
      </c>
      <c r="D6" s="1">
        <v>0.5</v>
      </c>
      <c r="E6" s="2" t="s">
        <v>34</v>
      </c>
      <c r="F6" s="2" t="s">
        <v>35</v>
      </c>
      <c r="G6" s="1" t="b">
        <f>TRUE()</f>
        <v>1</v>
      </c>
      <c r="H6" s="2" t="str">
        <f>_xlfn.CONCAT(E6,"GGGSGGGSGGGSGGGS",F6)</f>
        <v>EVQLVESGGGLVQPGGSLRLSCAASGFTFSSYWMNWVRQAPGKGLEWVANINQDGGEKYYVDSVKGRFTISRDNAKNSLYLQMNSLRAEDTAIYYCARDVGGGMDVWGQGTTVTVSSGGGSGGGSGGGSGGGSQMTQSPSSLSASVGDRVTITCRASQSVSSAVAWYQQKPGKAPKLLIYSASSLYSGVPSRFSGSRSGTDFTLTISSLQPEDFATYYCQQSSSSLITFGQGTKVEIK</v>
      </c>
      <c r="I6" s="1">
        <f>LEN(H6)</f>
        <v>238</v>
      </c>
    </row>
    <row r="7" spans="1:1024" ht="60" x14ac:dyDescent="0.25">
      <c r="A7" s="1" t="s">
        <v>36</v>
      </c>
      <c r="B7" s="1" t="s">
        <v>20</v>
      </c>
      <c r="C7" s="3" t="s">
        <v>37</v>
      </c>
      <c r="E7" s="3" t="s">
        <v>38</v>
      </c>
      <c r="F7" s="4" t="s">
        <v>39</v>
      </c>
      <c r="G7" s="1" t="b">
        <v>0</v>
      </c>
      <c r="H7" s="2" t="str">
        <f t="shared" ref="H7:H9" si="0">_xlfn.CONCAT(E7,"GGGSGGGSGGGSGGGS",F7)</f>
        <v>VGPRTTLTVSLRSGASVKMSCKASGYSFTWVRQKPGQGLEWVKISYDGLKDYTNYKFQGVKATITADKSSNTAYLQISNLTSEDTAVYFCSRRAVYYDYWGQGTTLTVSSGGGSGGGSGGGSGGGSVTVALGTVSLAPGTVSLRSCRASQSVSLSYLHWYQQKPGQAPLLVYGDNSKRPSGIPDRFSGSSSGNTASLTISGVQAEDEADYYCQSSDSSNWVFGGGTKLTVL</v>
      </c>
      <c r="I7" s="1">
        <f t="shared" ref="I7:I9" si="1">LEN(H7)</f>
        <v>231</v>
      </c>
    </row>
    <row r="8" spans="1:1024" ht="75" x14ac:dyDescent="0.25">
      <c r="A8" s="1" t="s">
        <v>40</v>
      </c>
      <c r="B8" s="1" t="s">
        <v>20</v>
      </c>
      <c r="C8" s="3" t="s">
        <v>37</v>
      </c>
      <c r="E8" s="3" t="s">
        <v>41</v>
      </c>
      <c r="F8" s="4" t="s">
        <v>42</v>
      </c>
      <c r="G8" s="1" t="b">
        <v>0</v>
      </c>
      <c r="H8" s="2" t="str">
        <f t="shared" si="0"/>
        <v>DRPSLTVKTSLTVSEPGSSISCASGIGTFSSYDFIVKQPSQGFDLEWIGGISYDSTYVNYSLKHRISRTIITNWKNTLQFTISLTSLKPASVYFDVWGAGTWISPYWGQGTTLTVSSSSAVSSFYVKNKGLDVWGHVITVNGGGSGGGSGGGSGGGSDIQLTQSPFLSLSPGSTASISCSGSSYDYTSGYRYKSSGKSPKPWMQRFLYSGSKRFSGVPERFIGSGTDFALTISRVEAEDVGFCSGWIFPFTFGPGTKVDIK</v>
      </c>
      <c r="I8" s="1">
        <f t="shared" si="1"/>
        <v>261</v>
      </c>
    </row>
    <row r="9" spans="1:1024" ht="75" x14ac:dyDescent="0.25">
      <c r="A9" s="1" t="s">
        <v>45</v>
      </c>
      <c r="B9" s="1" t="s">
        <v>43</v>
      </c>
      <c r="C9" s="3" t="s">
        <v>44</v>
      </c>
      <c r="E9" s="2" t="s">
        <v>46</v>
      </c>
      <c r="F9" s="2" t="s">
        <v>47</v>
      </c>
      <c r="G9" s="1" t="b">
        <v>1</v>
      </c>
      <c r="H9" s="2" t="str">
        <f t="shared" si="0"/>
        <v>QVQLVESGGGVVQPGRSLRLSCAASGFTFSSYAMSWVRQAPGKGLEWVSAIWSNGGSTYYADSVKGRFTISRDNAKNSLYLQMNSLRAEDTAVYYCARDYGSYGYFDYWGQGTLVTVSSGGGSGGGSGGGSGGGSDIVMTQSPLSLPVTPGEPASISCRSSQSLLYSNGNTYLEWYLQKPGQSPQLLIYLVSKLDSGVPDRFSGSGSGTDFTLKISRVEAEDLGIYYCQQSKEVPYTFGAGTKLEIK</v>
      </c>
      <c r="I9" s="1">
        <f t="shared" si="1"/>
        <v>247</v>
      </c>
    </row>
    <row r="10" spans="1:1024" x14ac:dyDescent="0.25">
      <c r="C10" s="3"/>
    </row>
  </sheetData>
  <phoneticPr fontId="2" type="noConversion"/>
  <conditionalFormatting sqref="G1:G1048576">
    <cfRule type="cellIs" dxfId="4" priority="3" operator="equal">
      <formula>FALSE</formula>
    </cfRule>
    <cfRule type="cellIs" dxfId="3" priority="2" operator="equal">
      <formula>TRUE</formula>
    </cfRule>
    <cfRule type="containsBlanks" dxfId="2" priority="3">
      <formula>LEN(TRIM(G1))=0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Antigens</vt:lpstr>
      <vt:lpstr>Antibody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Colby Ford</dc:creator>
  <dc:description/>
  <cp:lastModifiedBy>Colby Ford</cp:lastModifiedBy>
  <cp:revision>1</cp:revision>
  <dcterms:created xsi:type="dcterms:W3CDTF">2025-10-28T14:23:07Z</dcterms:created>
  <dcterms:modified xsi:type="dcterms:W3CDTF">2025-11-02T19:14:50Z</dcterms:modified>
  <dc:language>en-US</dc:language>
</cp:coreProperties>
</file>