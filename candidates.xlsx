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7993FC63-5565-4744-96F4-12ABF73F28DB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Candidates'!$A$1:$V$81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2" l="1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<sst xmlns="http://schemas.openxmlformats.org/spreadsheetml/2006/main" count="853" uniqueCount="382">
  <si>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</si>
  <si>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</si>
  <si>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</si>
  <si>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</si>
  <si>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</si>
  <si>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</si>
  <si>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</si>
  <si>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</si>
  <si>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</si>
  <si>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</si>
  <si>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</si>
  <si>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</si>
  <si>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</si>
  <si>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</si>
  <si>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</si>
  <si>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</si>
  <si>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</si>
  <si>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</si>
  <si>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</si>
  <si>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</si>
  <si>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</si>
  <si>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</si>
  <si>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</si>
  <si>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</si>
  <si>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</si>
  <si>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</si>
  <si>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</si>
  <si>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</si>
  <si>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</si>
  <si>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</si>
  <si>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</si>
  <si>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</si>
  <si>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</si>
  <si>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</si>
  <si>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</si>
  <si>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</si>
  <si>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</si>
  <si>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</si>
  <si>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</si>
  <si>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</si>
  <si>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</si>
  <si>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</si>
  <si>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</si>
  <si>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</si>
  <si>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</si>
  <si>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</si>
  <si>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</si>
  <si>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</si>
  <si>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</si>
  <si>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</si>
  <si>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</si>
  <si>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</si>
  <si>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</si>
  <si>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</si>
  <si>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</si>
  <si>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</si>
  <si>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</si>
  <si>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</si>
  <si>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</si>
  <si>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</si>
  <si>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</si>
  <si>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</si>
  <si>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</si>
  <si>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</si>
  <si>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</si>
  <si>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</si>
  <si>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</si>
  <si>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</si>
  <si>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</si>
  <si>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</si>
  <si>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</si>
  <si>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</si>
  <si>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</si>
  <si>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</si>
  <si>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</si>
  <si>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</si>
  <si>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</si>
  <si>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</si>
  <si>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</si>
  <si>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</si>
  <si>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</si>
  <si>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</si>
  <si>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</si>
  <si>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</si>
  <si>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</si>
  <si>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</si>
  <si>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</si>
  <si>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</si>
  <si>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</si>
  <si>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</si>
  <si>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</si>
  <si>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</si>
  <si>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</si>
  <si>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</si>
  <si>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</si>
  <si>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</si>
  <si>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</si>
  <si>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</si>
  <si>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</si>
  <si>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</si>
  <si>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</si>
  <si>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</si>
  <si>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</si>
  <si>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</si>
  <si>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</si>
  <si>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</si>
  <si>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</si>
  <si>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</si>
  <si>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</si>
  <si>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</si>
  <si>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</si>
  <si>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</si>
  <si>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</si>
  <si>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</si>
  <si>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</si>
  <si>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</si>
  <si>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</si>
  <si>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</si>
  <si>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</si>
  <si>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</si>
  <si>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</si>
  <si>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</si>
  <si>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</si>
  <si>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</si>
  <si>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</si>
  <si>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</si>
  <si>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</si>
  <si>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</si>
  <si>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</si>
  <si>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</si>
  <si>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</si>
  <si>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</si>
  <si>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</si>
  <si>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</si>
  <si>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</si>
  <si>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</si>
  <si>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</si>
  <si>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</si>
  <si>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</si>
  <si>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</si>
  <si>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</si>
  <si>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</si>
  <si>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</si>
  <si>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</si>
  <si>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</si>
  <si>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</si>
  <si>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</si>
  <si>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</si>
  <si>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</si>
  <si>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</si>
  <si>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</si>
  <si>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</si>
  <si>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</si>
  <si>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</si>
  <si>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</si>
  <si>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</si>
  <si>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</si>
  <si>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</si>
  <si>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</si>
  <si>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</si>
  <si>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</si>
  <si>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</si>
  <si>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</si>
  <si>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</si>
  <si>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</si>
  <si>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</si>
  <si>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</si>
  <si>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</si>
  <si>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</si>
  <si>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</si>
  <si>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</si>
  <si>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</si>
  <si>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</si>
  <si>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</si>
  <si>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</si>
  <si>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</si>
  <si>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</si>
  <si>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</si>
  <si>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</si>
  <si>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</si>
  <si>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</si>
  <si>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</si>
  <si>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</si>
  <si>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</si>
  <si>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</si>
  <si>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</si>
  <si>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</si>
  <si>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</si>
  <si>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</si>
  <si>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</si>
  <si>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</si>
  <si>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</si>
  <si>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</si>
  <si>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</si>
  <si>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</si>
  <si>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</si>
  <si>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</si>
  <si>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</si>
  <si>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</si>
  <si>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</si>
  <si>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</si>
  <si>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</si>
  <si>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</si>
  <si>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</si>
  <si>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</si>
  <si>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</si>
  <si>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</si>
  <si>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</si>
  <si>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</si>
  <si>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</si>
  <si>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</si>
  <si>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</si>
  <si>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</si>
  <si>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</si>
  <si>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</si>
  <si>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</si>
  <si>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</si>
  <si>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</si>
  <si>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</si>
  <si>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</si>
  <si>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</si>
  <si>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</si>
  <si>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</si>
  <si>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</si>
  <si>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</si>
  <si>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</si>
  <si>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</si>
  <si>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</si>
  <si>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</si>
  <si>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</si>
  <si>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</si>
  <si>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</si>
  <si>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</si>
  <si>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</si>
  <si>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</si>
  <si>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</si>
  <si>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</si>
  <si>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</si>
  <si>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</si>
  <si>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</si>
  <si>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</si>
  <si>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</si>
  <si>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</si>
  <si>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</si>
  <si>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</si>
  <si>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</si>
  <si>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</si>
  <si>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</si>
  <si>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</si>
  <si>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</si>
  <si>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</si>
  <si>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</si>
  <si>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</si>
  <si>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</si>
  <si>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</si>
  <si>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</si>
  <si>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</si>
  <si>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</si>
  <si>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</si>
  <si>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</si>
  <si>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</si>
  <si>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</si>
  <si>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</si>
  <si>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</si>
  <si>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</si>
  <si>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</si>
  <si>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</si>
  <si>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</si>
  <si>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</si>
  <si>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</si>
  <si>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</si>
  <si>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</si>
  <si>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</si>
  <si>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</si>
  <si>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</si>
  <si>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</si>
  <si>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</si>
  <si>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</si>
  <si>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</si>
  <si>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</si>
  <si>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</si>
  <si>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</si>
  <si>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</si>
  <si>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</si>
  <si>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</si>
  <si>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</si>
  <si>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</si>
  <si>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</si>
  <si>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</si>
  <si>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</si>
  <si>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</si>
  <si>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</si>
  <si>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</si>
  <si>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</si>
  <si>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</si>
  <si>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</si>
  <si>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</si>
  <si>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</si>
  <si>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</si>
  <si>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</si>
  <si>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</si>
  <si>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</si>
  <si>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</si>
  <si>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</si>
  <si>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</si>
  <si>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</si>
  <si>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</si>
  <si>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</si>
  <si>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</si>
  <si>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</si>
  <si>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</si>
  <si>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</si>
  <si>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</si>
  <si>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</si>
  <si>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</si>
  <si>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</si>
  <si>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</si>
  <si>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</si>
  <si>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</si>
  <si>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</si>
  <si>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</si>
  <si>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</si>
  <si>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</si>
  <si>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</si>
  <si>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</si>
  <si>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</si>
  <si>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</si>
  <si>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</si>
  <si>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</si>
  <si>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</si>
  <si>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</si>
  <si>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</si>
  <si>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</si>
  <si>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</si>
  <si>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</si>
  <si>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</si>
  <si>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</si>
  <si>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</si>
  <si>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</si>
  <si>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</si>
  <si>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</si>
  <si>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</si>
  <si>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</si>
  <si>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</si>
  <si>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</si>
  <si>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EVQLVESGGGLVQPGGSLRLSCAASGFNISSSSIHWVRQAPGKGLEWVASIYSYSGYTSYADSVKGRFTISADTSKNTAYLQMNSLRAEDTAVYYCARGGSSYFGYYAMDYWGQGTLVTVSSGGGSGGGSGGGSGGGSDIQMTQSPSSLSASVGDRVTITCRASQSVSSAVAWYQQKPGKAPKLLIYSASSLYSGVPSRFSGSRSGTDFTLTISSLQPEDFATYYCQQYKYVPVTFGQGTKVEIK</t>
  </si>
  <si>
    <t>QVQLVQSGAEVKKPGSSVKVSCKASGGTFSSYSISWVRQAPGQGLEWMGGIIIFGTANYAQKFQGRVTITADESTSTAYMELSSLRSEDTAVYYCARGQGTLVDFYWGQGTLVTVSSGGGSGGGSGGGSGGGSDIQMTQSPSSLSASVGDRVTITCRASQSISSYLNWYQQKPGKAPKLLIYAASSLQSGVPSRFSGSGSGTDFTLTISSLQPEDFATYYCQQSYSTPRTFGQGTKVEIK</t>
  </si>
  <si>
    <t>EVQLVESGGGLVQPGGSLRLSCAASGFNVSYYSIHWVRQAPGKGLEWVASIYPYSGYTNYADSVKGRFTISADTSKNTAYLQMNSLRAEDTAVYYCARYYGYGYWGYAMDYWGQGTLVTVSSGGGSGGGSGGGSGGGSDIQMTQSPSSLSASVGDRVTITCRASQSVSSAVAWYQQKPGKAPKLLIYSASSLYSGVPSRFSGSRSGTDFTLTISSLQPEDFATYYCQQYKYVPVTFGQGTKVEIK</t>
  </si>
  <si>
    <t>EVQLVESGGGLVQPGGSLRLSCAASGFNISSSSIHWVRQAPGKGLEWVASIYSYYGSTYYADSVKGRFTISADTSKNTAYLQMRAEDTAVYYCARGWRSYAMDYWGQGTLVTVSSGGGSGGGSGGGSGGGSDIQMTQSPSSLSASVGDRVTITCRASQSVSSAVAWYQQKPGKAPKLLIYSASSLYSGVPSRFSGSRSGTDFTLTISSLQPEDFATYYCQQSSSSLITFGQGTKVEIK</t>
  </si>
  <si>
    <t>QVQLVQSGAEVKKPGSSVKVSCKASGGTFSSYSFIWVRQAPGQGLEWMGGIIPIFGTANYAQKFQGRVTITADESTSTAYMELSSLRSEDTAVYYCARSSYSGVYYSWYFDVWGAGTTVTVSSGGGSGGGSGGGSGGGSDIQMTQSPSSLSASVGDRVTITCRASQGISNYLAWYQQKPGKAPKLLIYAASTLQSGVPSRFSGSGSGTDFTLTISSLQPEDFATYYCQQSYSTPRTFGQGTKVEIK</t>
  </si>
  <si>
    <t>EVQLQESGPGLVKPSQTLSLTCTVSGGSISSYAAWSWIRQPPGKGLEWIGYIYSSSGSTNYNPSLKSRVTISVDTSKNQFSLKLSSVTAADTAVYYCARGDYSYSYYGLDYWGQGTLVTVSSGGGSGGGSGGGSGGGSDIQMTQSPSSLSASVGDRVTITCRASQGIRNDLGWYQQKPGKAPKLLIYAASNLQSGVPSRFSGSGSGTDFTLTISSLQPEDFATYYCQQSYSTPRYTFGQGTKVEIK</t>
  </si>
  <si>
    <t>EVQLVESGGGLVQPGGSLRLSCAASGFTFSNYAMSWVRQAPGKGLEWVSAISGSGGSTYYADSVKGRFTISRDNSKNTLYLQMNSLRAEDTAVYYCARLSPYNGSMDYWGQGTLVTVSSGGGSGGGSGGGSGGGSVTQPASVSGSPGQSITISCTGTSSDIGAYNYVSWYQQHPGKAPKLMIYEVSKRPSGVSNRFSGSKSGNTASLTISGLQTEDEADYYCSSYTRSGSVVFGGGTKLTVL</t>
  </si>
  <si>
    <t>QVQLVQSGAEVKKPGSSVKVSCKASGGTFSSYTISWVRQAPGQGLEWMGGIIPILGIANYAQKFQGRVTITADKSTSTAYMELSSLRSEDTAVYYCARGDSSYVDSWDYWGQGTLVTVSGGGSGGGSGGGSGGGSEIVLTQSPGTLSLSPGERATLSCRASQSVSSSYLAWYQQKPGQAPRLLIYGASSRATGIPDRFSGSGSGTDFTLTISRLEPEDFAVYYCQQYGSSPWTFGQGTKVEIK</t>
  </si>
  <si>
    <t>QVQLVESGGGVVQPGRSLRLSCAASGFTFSNYGMHWVRQAPGKGLEWVAVISDGSNKYYADSVKGRFTISRDNSKNTLYLQMRAEDTAVYYCARGSHSSRDYWGQGTLVTVSSGGGSGGGSGGGSGGGSDIQMTQSPSSLSASVGDRVTITCRASQSISSYLNWYQQKPGKAPKLLIYAASSLQSGVPSRFSGSGSGTDFTLTISSLQPEDFATYYCQQSYSTPPYTFGQGTKVEIK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</si>
  <si>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</si>
  <si>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</si>
  <si>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</si>
  <si>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</si>
  <si>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</si>
  <si>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</si>
  <si>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</si>
  <si>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</si>
  <si>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</si>
  <si>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</si>
  <si>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</si>
  <si>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</si>
  <si>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</si>
  <si>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</si>
  <si>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</si>
  <si>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</si>
  <si>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</si>
  <si>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</si>
  <si>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</si>
  <si>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</si>
  <si>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</si>
  <si>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</si>
  <si>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</si>
  <si>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</si>
  <si>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</si>
  <si>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</si>
  <si>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</si>
  <si>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QVQLVQSGAEVKKPGSSVKVSCKASGGTFSSYTISWVRQAPGQGLEWMGRIIPIFGTANYAQKFQGRVTITADKSTSTAYMELSSLRSEDTAVYYCARYYDSYFDYWGQGTLVTVSSGGGSGGGSGGGSGGGSDIQMTQSPSSLSASVGDRVTITCRASQGISSWLAWYQQKPGKAPKLLIYAASSLQSGVPSRFSGSGSGTDFTLTISSLQPEDFATYYCQCGNSFPWTFGGGTKLEIK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</si>
</sst>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4.450344675926" createdVersion="8" refreshedVersion="8" minRefreshableVersion="3" recordCount="82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82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m/>
      </sharedItems>
    </cacheField>
    <cacheField name="method" numFmtId="0">
      <sharedItems containsBlank="1" count="5">
        <s v="peleke-1"/>
        <s v="General LLM"/>
        <s v="peleke-1 + ProteinMPNN"/>
        <s v="ProteinMPNN"/>
        <m/>
      </sharedItems>
    </cacheField>
    <cacheField name="model_version" numFmtId="0">
      <sharedItems containsBlank="1"/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82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m/>
      </sharedItems>
    </cacheField>
    <cacheField name="len_franken_chain" numFmtId="0">
      <sharedItems containsString="0" containsBlank="1" containsNumber="1" containsInteger="1" minValue="233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4T00:00:00" count="9">
        <d v="2025-11-07T00:00:00"/>
        <d v="2025-11-08T00:00:00"/>
        <d v="2025-11-09T00:00:00"/>
        <d v="2025-11-10T00:00:00"/>
        <d v="2025-11-11T00:00:00"/>
        <d v="2025-11-12T00:00:00"/>
        <d v="2025-11-13T00:00:00"/>
        <m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x v="0"/>
    <x v="0"/>
    <s v="peleke-phi-4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x v="0"/>
    <s v="peleke-phi-4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x v="0"/>
    <s v="peleke-phi-4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x v="0"/>
    <s v="peleke-phi-4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x v="0"/>
    <s v="peleke-phi-4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x v="1"/>
    <s v="Qwen3-235B-A22B-Instruct-2507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x v="2"/>
    <s v="peleke-phi-4 / v_48_020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x v="2"/>
    <s v="peleke-phi-4 / v_48_020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x v="2"/>
    <s v="peleke-phi-4 / v_48_020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x v="2"/>
    <s v="peleke-phi-4 / v_48_020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x v="2"/>
    <s v="peleke-phi-4 / v_48_020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x v="2"/>
    <s v="peleke-phi-4 / v_48_020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x v="2"/>
    <s v="peleke-phi-4 / v_48_020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x v="2"/>
    <s v="peleke-phi-4 / v_48_030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x v="2"/>
    <s v="peleke-phi-4 / v_48_030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x v="2"/>
    <s v="peleke-phi-4 / v_48_030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x v="2"/>
    <s v="peleke-phi-4 / v_48_030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x v="2"/>
    <s v="peleke-phi-4 / v_48_030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x v="2"/>
    <s v="peleke-phi-4 / v_48_030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x v="2"/>
    <s v="peleke-phi-4 / v_48_030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x v="2"/>
    <s v="peleke-phi-4 / v_48_030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x v="3"/>
    <s v="v_48_020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x v="3"/>
    <s v="v_48_020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x v="3"/>
    <s v="v_48_020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x v="3"/>
    <s v="v_48_020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x v="3"/>
    <s v="v_48_020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x v="3"/>
    <s v="v_48_020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x v="3"/>
    <s v="v_48_020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x v="3"/>
    <s v="v_48_020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x v="0"/>
    <s v="peleke-mistral-7b-instruct-v0.2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x v="0"/>
    <s v="peleke-mistral-7b-instruct-v0.2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x v="0"/>
    <s v="peleke-mistral-7b-instruct-v0.2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x v="0"/>
    <s v="peleke-mistral-7b-instruct-v0.2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x v="0"/>
    <s v="peleke-mistral-7b-instruct-v0.2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x v="0"/>
    <s v="peleke-mistral-7b-instruct-v0.2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x v="0"/>
    <s v="peleke-mistral-7b-instruct-v0.2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x v="0"/>
    <s v="peleke-mistral-7b-instruct-v0.2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x v="0"/>
    <s v="peleke-mistral-7b-instruct-v0.2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x v="0"/>
    <s v="peleke-mistral-7b-instruct-v0.2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x v="0"/>
    <s v="peleke-mistral-7b-instruct-v0.2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x v="0"/>
    <s v="peleke-mistral-7b-instruct-v0.2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x v="0"/>
    <s v="peleke-mistral-7b-instruct-v0.2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x v="0"/>
    <s v="peleke-mistral-7b-instruct-v0.2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x v="0"/>
    <s v="peleke-mistral-7b-instruct-v0.2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x v="0"/>
    <s v="peleke-mistral-7b-instruct-v0.2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x v="0"/>
    <s v="peleke-mistral-7b-instruct-v0.2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x v="0"/>
    <s v="peleke-mistral-7b-instruct-v0.2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x v="0"/>
    <s v="peleke-mistral-7b-instruct-v0.2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x v="0"/>
    <s v="peleke-mistral-7b-instruct-v0.2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x v="0"/>
    <s v="peleke-phi-4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x v="0"/>
    <s v="peleke-phi-4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x v="0"/>
    <s v="peleke-phi-4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x v="0"/>
    <s v="peleke-phi-4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x v="0"/>
    <s v="peleke-phi-4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x v="0"/>
    <s v="peleke-phi-4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x v="0"/>
    <s v="peleke-phi-4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x v="0"/>
    <s v="peleke-phi-4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x v="0"/>
    <s v="peleke-phi-4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7"/>
  </r>
  <r>
    <x v="58"/>
    <x v="0"/>
    <s v="peleke-phi-4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7"/>
  </r>
  <r>
    <x v="59"/>
    <x v="0"/>
    <s v="peleke-phi-4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x v="0"/>
    <s v="peleke-phi-4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x v="0"/>
    <s v="peleke-phi-4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x v="0"/>
    <s v="peleke-phi-4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x v="0"/>
    <s v="peleke-phi-4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x v="0"/>
    <s v="peleke-phi-4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x v="0"/>
    <s v="peleke-phi-4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x v="0"/>
    <s v="peleke-phi-4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x v="0"/>
    <s v="peleke-phi-4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7"/>
  </r>
  <r>
    <x v="68"/>
    <x v="0"/>
    <s v="peleke-phi-4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7"/>
  </r>
  <r>
    <x v="69"/>
    <x v="0"/>
    <s v="peleke-phi-4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x v="0"/>
    <s v="peleke-phi-4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x v="0"/>
    <s v="peleke-phi-4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x v="0"/>
    <s v="peleke-phi-4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x v="0"/>
    <s v="peleke-phi-4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x v="0"/>
    <s v="peleke-phi-4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x v="0"/>
    <s v="peleke-phi-4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x v="0"/>
    <s v="peleke-phi-4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x v="0"/>
    <s v="peleke-phi-4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7"/>
  </r>
  <r>
    <x v="78"/>
    <x v="0"/>
    <s v="peleke-phi-4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7"/>
  </r>
  <r>
    <x v="79"/>
    <x v="0"/>
    <s v="peleke-phi-4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x v="0"/>
    <s v="peleke-phi-4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x v="4"/>
    <m/>
    <m/>
    <m/>
    <m/>
    <m/>
    <m/>
    <m/>
    <m/>
    <m/>
    <m/>
    <x v="81"/>
    <m/>
    <m/>
    <m/>
    <m/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1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2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1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">
        <item x="7"/>
        <item x="0"/>
        <item x="1"/>
        <item x="2"/>
        <item x="3"/>
        <item x="4"/>
        <item x="5"/>
        <item m="1" x="8"/>
        <item x="6"/>
      </items>
    </pivotField>
  </pivotFields>
  <rowFields count="3">
    <field x="0"/>
    <field x="1"/>
    <field x="12"/>
  </rowFields>
  <rowItems count="10">
    <i>
      <x v="53"/>
      <x v="1"/>
      <x v="53"/>
    </i>
    <i>
      <x v="54"/>
      <x v="1"/>
      <x v="54"/>
    </i>
    <i>
      <x v="55"/>
      <x v="1"/>
      <x v="55"/>
    </i>
    <i>
      <x v="63"/>
      <x v="1"/>
      <x v="63"/>
    </i>
    <i>
      <x v="64"/>
      <x v="1"/>
      <x v="64"/>
    </i>
    <i>
      <x v="65"/>
      <x v="1"/>
      <x v="65"/>
    </i>
    <i>
      <x v="73"/>
      <x v="1"/>
      <x v="73"/>
    </i>
    <i>
      <x v="74"/>
      <x v="1"/>
      <x v="74"/>
    </i>
    <i>
      <x v="75"/>
      <x v="1"/>
      <x v="75"/>
    </i>
    <i>
      <x v="81"/>
      <x v="1"/>
      <x v="81"/>
    </i>
  </rowItems>
  <colItems count="1">
    <i/>
  </colItems>
  <pageFields count="1">
    <pageField fld="19" item="8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82"/>
  <sheetViews>
    <sheetView tabSelected="1" zoomScaleNormal="100" workbookViewId="0">
      <pane xSplit="1" ySplit="1" topLeftCell="B75" activePane="bottomRight" state="frozen"/>
      <selection pane="topRight" activeCell="B1" sqref="B1"/>
      <selection pane="bottomLeft" activeCell="A2" sqref="A2"/>
      <selection pane="bottomRight" activeCell="J82" sqref="J82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9.42578125" style="1" bestFit="1" customWidth="1"/>
    <col min="8" max="8" width="8.7109375" style="1" bestFit="1" customWidth="1"/>
    <col min="9" max="9" width="54" style="2" customWidth="1"/>
    <col min="10" max="10" width="46.425781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4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5703125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0" x14ac:dyDescent="0.25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75" x14ac:dyDescent="0.25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75" x14ac:dyDescent="0.25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0" x14ac:dyDescent="0.25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75" x14ac:dyDescent="0.25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75" x14ac:dyDescent="0.25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75" x14ac:dyDescent="0.25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0" x14ac:dyDescent="0.25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0" x14ac:dyDescent="0.25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75" x14ac:dyDescent="0.25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75" x14ac:dyDescent="0.25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0" x14ac:dyDescent="0.25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0" x14ac:dyDescent="0.25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0" x14ac:dyDescent="0.25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0" x14ac:dyDescent="0.25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75" x14ac:dyDescent="0.25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75" x14ac:dyDescent="0.25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0" x14ac:dyDescent="0.25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0" x14ac:dyDescent="0.25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75" x14ac:dyDescent="0.25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75" x14ac:dyDescent="0.25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354</v>
      </c>
      <c r="V51" s="4">
        <v>0.16</v>
      </c>
    </row>
    <row r="52" spans="1:22" ht="60" x14ac:dyDescent="0.25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355</v>
      </c>
      <c r="V52" s="4">
        <v>0.01</v>
      </c>
    </row>
    <row r="53" spans="1:22" ht="60" x14ac:dyDescent="0.25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356</v>
      </c>
      <c r="V53" s="4">
        <v>0.04</v>
      </c>
    </row>
    <row r="54" spans="1:22" ht="75" x14ac:dyDescent="0.25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</row>
    <row r="55" spans="1:22" ht="60" x14ac:dyDescent="0.25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</row>
    <row r="56" spans="1:22" ht="75" x14ac:dyDescent="0.25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</row>
    <row r="57" spans="1:22" ht="60" x14ac:dyDescent="0.25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/>
    </row>
    <row r="58" spans="1:22" ht="75" x14ac:dyDescent="0.25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/>
    </row>
    <row r="59" spans="1:22" ht="60" x14ac:dyDescent="0.25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</row>
    <row r="60" spans="1:22" ht="60" x14ac:dyDescent="0.25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</row>
    <row r="61" spans="1:22" ht="60" x14ac:dyDescent="0.25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358</v>
      </c>
      <c r="V61" s="4">
        <v>0.01</v>
      </c>
    </row>
    <row r="62" spans="1:22" ht="60" x14ac:dyDescent="0.25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357</v>
      </c>
      <c r="V62" s="4">
        <v>0.33</v>
      </c>
    </row>
    <row r="63" spans="1:22" ht="75" x14ac:dyDescent="0.25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360</v>
      </c>
      <c r="V63" s="4">
        <v>0.06</v>
      </c>
    </row>
    <row r="64" spans="1:22" ht="60" x14ac:dyDescent="0.25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</row>
    <row r="65" spans="1:22" ht="75" x14ac:dyDescent="0.25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</row>
    <row r="66" spans="1:22" ht="75" x14ac:dyDescent="0.25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</row>
    <row r="67" spans="1:22" ht="60" x14ac:dyDescent="0.25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2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2" si="4">IF(N67&lt;=250,TRUE,FALSE)</f>
        <v>1</v>
      </c>
      <c r="P67" s="1" t="b">
        <v>0</v>
      </c>
      <c r="Q67" s="1" t="b">
        <v>0</v>
      </c>
      <c r="T67" s="10"/>
    </row>
    <row r="68" spans="1:22" ht="60" x14ac:dyDescent="0.25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/>
    </row>
    <row r="69" spans="1:22" ht="60" x14ac:dyDescent="0.25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/>
    </row>
    <row r="70" spans="1:22" ht="60" x14ac:dyDescent="0.25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</row>
    <row r="71" spans="1:22" ht="75" x14ac:dyDescent="0.25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2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363</v>
      </c>
      <c r="V71" s="4">
        <v>0</v>
      </c>
    </row>
    <row r="72" spans="1:22" ht="60" x14ac:dyDescent="0.25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361</v>
      </c>
      <c r="V72" s="4">
        <v>0</v>
      </c>
    </row>
    <row r="73" spans="1:22" ht="60" x14ac:dyDescent="0.25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359</v>
      </c>
      <c r="V73" s="4">
        <v>0</v>
      </c>
    </row>
    <row r="74" spans="1:22" ht="75" x14ac:dyDescent="0.25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</row>
    <row r="75" spans="1:22" ht="60" x14ac:dyDescent="0.25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</row>
    <row r="76" spans="1:22" ht="60" x14ac:dyDescent="0.25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</row>
    <row r="77" spans="1:22" ht="60" x14ac:dyDescent="0.25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/>
    </row>
    <row r="78" spans="1:22" ht="75" x14ac:dyDescent="0.25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/>
    </row>
    <row r="79" spans="1:22" ht="75" x14ac:dyDescent="0.25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/>
    </row>
    <row r="80" spans="1:22" ht="60" x14ac:dyDescent="0.25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/>
    </row>
    <row r="81" spans="1:22" ht="75" x14ac:dyDescent="0.25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362</v>
      </c>
      <c r="V81" s="4">
        <v>0.04</v>
      </c>
    </row>
    <row r="82" spans="1:22" ht="60" x14ac:dyDescent="0.25">
      <c r="A82" s="1" t="s">
        <v>378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379</v>
      </c>
      <c r="J82" s="2" t="s">
        <v>380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</row>
  </sheetData>
  <autoFilter ref="A1:V81" xr:uid="{00000000-0001-0000-0100-000000000000}"/>
  <phoneticPr fontId="1" type="noConversion"/>
  <conditionalFormatting sqref="K1:L1048576">
    <cfRule type="cellIs" dxfId="18" priority="14" operator="equal">
      <formula>TRUE</formula>
    </cfRule>
    <cfRule type="cellIs" dxfId="17" priority="15" operator="equal">
      <formula>FALSE</formula>
    </cfRule>
    <cfRule type="containsBlanks" dxfId="16" priority="15">
      <formula>LEN(TRIM(K1))=0</formula>
    </cfRule>
  </conditionalFormatting>
  <conditionalFormatting sqref="O2:O82">
    <cfRule type="containsBlanks" dxfId="15" priority="7">
      <formula>LEN(TRIM(O2))=0</formula>
    </cfRule>
  </conditionalFormatting>
  <conditionalFormatting sqref="O2:S2 O3:Q82 R3:S22">
    <cfRule type="cellIs" dxfId="14" priority="8" operator="equal">
      <formula>FALSE</formula>
    </cfRule>
    <cfRule type="cellIs" dxfId="13" priority="16" operator="equal">
      <formula>TRUE</formula>
    </cfRule>
  </conditionalFormatting>
  <conditionalFormatting sqref="R1:S1048576 V1:V1048576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2" operator="equal">
      <formula>FALSE</formula>
    </cfRule>
    <cfRule type="cellIs" dxfId="11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D4" sqref="D4"/>
    </sheetView>
  </sheetViews>
  <sheetFormatPr defaultColWidth="9.140625" defaultRowHeight="15" x14ac:dyDescent="0.25"/>
  <cols>
    <col min="1" max="2" width="19.42578125" style="1" bestFit="1" customWidth="1"/>
    <col min="3" max="3" width="14.42578125" style="4" customWidth="1"/>
    <col min="4" max="4" width="122.1406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90" x14ac:dyDescent="0.25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05" x14ac:dyDescent="0.25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20" x14ac:dyDescent="0.25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F15" sqref="F15"/>
    </sheetView>
  </sheetViews>
  <sheetFormatPr defaultRowHeight="15" x14ac:dyDescent="0.25"/>
  <cols>
    <col min="1" max="1" width="15" style="1" bestFit="1" customWidth="1"/>
    <col min="2" max="2" width="11.42578125" style="1" customWidth="1"/>
    <col min="3" max="3" width="46.140625" style="2" customWidth="1"/>
    <col min="4" max="4" width="48.85546875" style="2" customWidth="1"/>
    <col min="5" max="5" width="20.7109375" style="1" bestFit="1" customWidth="1"/>
    <col min="6" max="6" width="74" style="1" customWidth="1"/>
    <col min="7" max="7" width="17.5703125" style="1" bestFit="1" customWidth="1"/>
    <col min="8" max="8" width="11" style="1" bestFit="1" customWidth="1"/>
    <col min="9" max="9" width="10.140625" style="1" bestFit="1" customWidth="1"/>
    <col min="10" max="10" width="10.42578125" style="1" bestFit="1" customWidth="1"/>
    <col min="11" max="16384" width="9.140625" style="1"/>
  </cols>
  <sheetData>
    <row r="1" spans="1:10" x14ac:dyDescent="0.25">
      <c r="A1" s="3" t="s">
        <v>364</v>
      </c>
      <c r="B1" s="3" t="s">
        <v>365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0" x14ac:dyDescent="0.25">
      <c r="A2" s="1" t="s">
        <v>368</v>
      </c>
      <c r="B2" s="1" t="s">
        <v>369</v>
      </c>
      <c r="C2" s="2" t="s">
        <v>366</v>
      </c>
      <c r="D2" s="2" t="s">
        <v>367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0" x14ac:dyDescent="0.25">
      <c r="A3" s="1" t="s">
        <v>370</v>
      </c>
      <c r="B3" s="1" t="s">
        <v>371</v>
      </c>
      <c r="C3" s="2" t="s">
        <v>372</v>
      </c>
      <c r="D3" s="2" t="s">
        <v>373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0" x14ac:dyDescent="0.25">
      <c r="A4" s="1" t="s">
        <v>374</v>
      </c>
      <c r="B4" s="1" t="s">
        <v>375</v>
      </c>
      <c r="C4" s="2" t="s">
        <v>377</v>
      </c>
      <c r="D4" s="2" t="s">
        <v>376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ht="30" x14ac:dyDescent="0.25">
      <c r="A4" s="4">
        <v>3</v>
      </c>
      <c r="B4" s="2" t="s">
        <v>342</v>
      </c>
    </row>
    <row r="5" spans="1:2" x14ac:dyDescent="0.25">
      <c r="A5" s="4" t="s">
        <v>233</v>
      </c>
      <c r="B5" s="2" t="s">
        <v>235</v>
      </c>
    </row>
    <row r="6" spans="1:2" x14ac:dyDescent="0.25">
      <c r="A6" s="4" t="s">
        <v>234</v>
      </c>
      <c r="B6" s="2" t="s">
        <v>262</v>
      </c>
    </row>
    <row r="7" spans="1:2" x14ac:dyDescent="0.25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8"/>
    </sheetView>
  </sheetViews>
  <sheetFormatPr defaultColWidth="11.42578125" defaultRowHeight="15" x14ac:dyDescent="0.25"/>
  <cols>
    <col min="1" max="1" width="20.85546875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45974</v>
      </c>
    </row>
    <row r="4" spans="1:3" x14ac:dyDescent="0.25">
      <c r="A4" t="s">
        <v>266</v>
      </c>
      <c r="B4" t="s">
        <v>18</v>
      </c>
      <c r="C4" t="s">
        <v>345</v>
      </c>
    </row>
    <row r="5" spans="1:3" x14ac:dyDescent="0.25">
      <c r="A5" t="s">
        <v>267</v>
      </c>
      <c r="B5" t="s">
        <v>18</v>
      </c>
      <c r="C5" t="s">
        <v>346</v>
      </c>
    </row>
    <row r="6" spans="1:3" x14ac:dyDescent="0.25">
      <c r="A6" t="s">
        <v>268</v>
      </c>
      <c r="B6" t="s">
        <v>18</v>
      </c>
      <c r="C6" t="s">
        <v>347</v>
      </c>
    </row>
    <row r="7" spans="1:3" x14ac:dyDescent="0.25">
      <c r="A7" t="s">
        <v>276</v>
      </c>
      <c r="B7" t="s">
        <v>18</v>
      </c>
      <c r="C7" t="s">
        <v>348</v>
      </c>
    </row>
    <row r="8" spans="1:3" x14ac:dyDescent="0.25">
      <c r="A8" t="s">
        <v>277</v>
      </c>
      <c r="B8" t="s">
        <v>18</v>
      </c>
      <c r="C8" t="s">
        <v>349</v>
      </c>
    </row>
    <row r="9" spans="1:3" x14ac:dyDescent="0.25">
      <c r="A9" t="s">
        <v>278</v>
      </c>
      <c r="B9" t="s">
        <v>18</v>
      </c>
      <c r="C9" t="s">
        <v>350</v>
      </c>
    </row>
    <row r="10" spans="1:3" x14ac:dyDescent="0.25">
      <c r="A10" t="s">
        <v>286</v>
      </c>
      <c r="B10" t="s">
        <v>18</v>
      </c>
      <c r="C10" t="s">
        <v>351</v>
      </c>
    </row>
    <row r="11" spans="1:3" x14ac:dyDescent="0.25">
      <c r="A11" t="s">
        <v>287</v>
      </c>
      <c r="B11" t="s">
        <v>18</v>
      </c>
      <c r="C11" t="s">
        <v>352</v>
      </c>
    </row>
    <row r="12" spans="1:3" x14ac:dyDescent="0.25">
      <c r="A12" t="s">
        <v>288</v>
      </c>
      <c r="B12" t="s">
        <v>18</v>
      </c>
      <c r="C12" t="s">
        <v>353</v>
      </c>
    </row>
    <row r="13" spans="1:3" x14ac:dyDescent="0.25">
      <c r="A13" t="s">
        <v>378</v>
      </c>
      <c r="B13" t="s">
        <v>18</v>
      </c>
      <c r="C13" t="s">
        <v>381</v>
      </c>
    </row>
    <row r="29" spans="1:1" x14ac:dyDescent="0.25">
      <c r="A29" t="str">
        <f>_xlfn.CONCAT("&gt;",A4,"\n",C4)</f>
        <v>&gt;sbio-nipahgpg-055\nEVQLVESGGGLVQPGGSLRLSCAASGFNISSSSIHWVRQAPGKGLEWVASIYSYSGYTSYADSVKGRFTISADTSKNTAYLQMNSLRAEDTAVYYCARGGSSYFGYYAMDYWGQGTLVTVSSGGGSGGGSGGGSGGGSDIQMTQSPSSLSASVGDRVTITCRASQSVSSAVAWYQQKPGKAPKLLIYSASSLYSGVPSRFSGSRSGTDFTLTISSLQPEDFATYYCQQYKYVPVTFGQGTKVEIK</v>
      </c>
    </row>
    <row r="30" spans="1:1" x14ac:dyDescent="0.25">
      <c r="A30" t="str">
        <f t="shared" ref="A30:A38" si="0">_xlfn.CONCAT("&gt;",A5,"\n",C5)</f>
        <v>&gt;sbio-nipahgpg-056\nQVQLVQSGAEVKKPGSSVKVSCKASGGTFSSYSISWVRQAPGQGLEWMGGIIIFGTANYAQKFQGRVTITADESTSTAYMELSSLRSEDTAVYYCARGQGTLVDFYWGQGTLVTVSSGGGSGGGSGGGSGGGSDIQMTQSPSSLSASVGDRVTITCRASQSISSYLNWYQQKPGKAPKLLIYAASSLQSGVPSRFSGSGSGTDFTLTISSLQPEDFATYYCQQSYSTPRTFGQGTKVEIK</v>
      </c>
    </row>
    <row r="31" spans="1:1" x14ac:dyDescent="0.25">
      <c r="A31" t="str">
        <f t="shared" si="0"/>
        <v>&gt;sbio-nipahgpg-057\nEVQLVESGGGLVQPGGSLRLSCAASGFNVSYYSIHWVRQAPGKGLEWVASIYPYSGYTNYADSVKGRFTISADTSKNTAYLQMNSLRAEDTAVYYCARYYGYGYWGYAMDYWGQGTLVTVSSGGGSGGGSGGGSGGGSDIQMTQSPSSLSASVGDRVTITCRASQSVSSAVAWYQQKPGKAPKLLIYSASSLYSGVPSRFSGSRSGTDFTLTISSLQPEDFATYYCQQYKYVPVTFGQGTKVEIK</v>
      </c>
    </row>
    <row r="32" spans="1:1" x14ac:dyDescent="0.25">
      <c r="A32" t="str">
        <f t="shared" si="0"/>
        <v>&gt;sbio-nipahgpg-065\nEVQLVESGGGLVQPGGSLRLSCAASGFNISSSSIHWVRQAPGKGLEWVASIYSYYGSTYYADSVKGRFTISADTSKNTAYLQMRAEDTAVYYCARGWRSYAMDYWGQGTLVTVSSGGGSGGGSGGGSGGGSDIQMTQSPSSLSASVGDRVTITCRASQSVSSAVAWYQQKPGKAPKLLIYSASSLYSGVPSRFSGSRSGTDFTLTISSLQPEDFATYYCQQSSSSLITFGQGTKVEIK</v>
      </c>
    </row>
    <row r="33" spans="1:1" x14ac:dyDescent="0.25">
      <c r="A33" t="str">
        <f t="shared" si="0"/>
        <v>&gt;sbio-nipahgpg-066\nQVQLVQSGAEVKKPGSSVKVSCKASGGTFSSYSFIWVRQAPGQGLEWMGGIIPIFGTANYAQKFQGRVTITADESTSTAYMELSSLRSEDTAVYYCARSSYSGVYYSWYFDVWGAGTTVTVSSGGGSGGGSGGGSGGGSDIQMTQSPSSLSASVGDRVTITCRASQGISNYLAWYQQKPGKAPKLLIYAASTLQSGVPSRFSGSGSGTDFTLTISSLQPEDFATYYCQQSYSTPRTFGQGTKVEIK</v>
      </c>
    </row>
    <row r="34" spans="1:1" x14ac:dyDescent="0.25">
      <c r="A34" t="str">
        <f t="shared" si="0"/>
        <v>&gt;sbio-nipahgpg-067\nEVQLQESGPGLVKPSQTLSLTCTVSGGSISSYAAWSWIRQPPGKGLEWIGYIYSSSGSTNYNPSLKSRVTISVDTSKNQFSLKLSSVTAADTAVYYCARGDYSYSYYGLDYWGQGTLVTVSSGGGSGGGSGGGSGGGSDIQMTQSPSSLSASVGDRVTITCRASQGIRNDLGWYQQKPGKAPKLLIYAASNLQSGVPSRFSGSGSGTDFTLTISSLQPEDFATYYCQQSYSTPRYTFGQGTKVEIK</v>
      </c>
    </row>
    <row r="35" spans="1:1" x14ac:dyDescent="0.25">
      <c r="A35" t="str">
        <f t="shared" si="0"/>
        <v>&gt;sbio-nipahgpg-075\nEVQLVESGGGLVQPGGSLRLSCAASGFTFSNYAMSWVRQAPGKGLEWVSAISGSGGSTYYADSVKGRFTISRDNSKNTLYLQMNSLRAEDTAVYYCARLSPYNGSMDYWGQGTLVTVSSGGGSGGGSGGGSGGGSVTQPASVSGSPGQSITISCTGTSSDIGAYNYVSWYQQHPGKAPKLMIYEVSKRPSGVSNRFSGSKSGNTASLTISGLQTEDEADYYCSSYTRSGSVVFGGGTKLTVL</v>
      </c>
    </row>
    <row r="36" spans="1:1" x14ac:dyDescent="0.25">
      <c r="A36" t="str">
        <f t="shared" si="0"/>
        <v>&gt;sbio-nipahgpg-076\nQVQLVQSGAEVKKPGSSVKVSCKASGGTFSSYTISWVRQAPGQGLEWMGGIIPILGIANYAQKFQGRVTITADKSTSTAYMELSSLRSEDTAVYYCARGDSSYVDSWDYWGQGTLVTVSGGGSGGGSGGGSGGGSEIVLTQSPGTLSLSPGERATLSCRASQSVSSSYLAWYQQKPGQAPRLLIYGASSRATGIPDRFSGSGSGTDFTLTISRLEPEDFAVYYCQQYGSSPWTFGQGTKVEIK</v>
      </c>
    </row>
    <row r="37" spans="1:1" x14ac:dyDescent="0.25">
      <c r="A37" t="str">
        <f t="shared" si="0"/>
        <v>&gt;sbio-nipahgpg-077\nQVQLVESGGGVVQPGRSLRLSCAASGFTFSNYGMHWVRQAPGKGLEWVAVISDGSNKYYADSVKGRFTISRDNSKNTLYLQMRAEDTAVYYCARGSHSSRDYWGQGTLVTVSSGGGSGGGSGGGSGGGSDIQMTQSPSSLSASVGDRVTITCRASQSISSYLNWYQQKPGKAPKLLIYAASSLQSGVPSRFSGSGSGTDFTLTISSLQPEDFATYYCQQSYSTPPYTFGQGTKVEIK</v>
      </c>
    </row>
    <row r="38" spans="1:1" x14ac:dyDescent="0.25">
      <c r="A38" t="str">
        <f t="shared" si="0"/>
        <v>&gt;sbio-nipahgpg-083\nQVQLVQSGAEVKKPGSSVKVSCKASGGTFSSYTISWVRQAPGQGLEWMGRIIPIFGTANYAQKFQGRVTITADKSTSTAYMELSSLRSEDTAVYYCARYYDSYFDYWGQGTLVTVSSGGGSGGGSGGGSGGGSDIQMTQSPSSLSASVGDRVTITCRASQGISSWLAWYQQKPGKAPKLLIYAASSLQSGVPSRFSGSGSGTDFTLTISSLQPEDFATYYCQCGNSFPWTFGGGTKLEIK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2025-11-13T22:45:30Z</dcterms:modified>
  <dc:language>en-US</dc:language>
</cp:coreProperties>
</file>