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164E8A39-E544-437E-A54A-D84C97E40389}" xr6:coauthVersionLast="47" xr6:coauthVersionMax="47" xr10:uidLastSave="{00000000-0000-0000-0000-000000000000}"/>
  <bookViews>
    <workbookView xWindow="38280" yWindow="-120" windowWidth="38640" windowHeight="21240" activeTab="1" xr2:uid="{32DB5F44-596F-4297-9F57-726AB156A716}"/>
  </bookViews>
  <sheets>
    <sheet name="Antigens" sheetId="2" r:id="rId1"/>
    <sheet name="Antibody Candida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2" i="1"/>
  <c r="H3" i="1"/>
  <c r="H4" i="1"/>
  <c r="H5" i="1"/>
  <c r="H6" i="1"/>
  <c r="H2" i="1"/>
</calcChain>
</file>

<file path=xl/sharedStrings.xml><?xml version="1.0" encoding="utf-8"?>
<sst xmlns="http://schemas.openxmlformats.org/spreadsheetml/2006/main" count="44" uniqueCount="36">
  <si>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</si>
  <si>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antigen_id</t>
  </si>
  <si>
    <t>antigen_sequence</t>
  </si>
  <si>
    <t>antigen_pdb_id</t>
  </si>
  <si>
    <t>2vsm_A</t>
  </si>
  <si>
    <t>epitope_res_ids</t>
  </si>
  <si>
    <t>`239,240,241,242,305,388,389,401,402,458,488,489,490,491,492,501,504,505,506,507,530,531,532,533,555,557,558,559,579,580,581,583,588</t>
  </si>
  <si>
    <t>nipah_gpG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</si>
  <si>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</si>
  <si>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antigen_sequence_annotated</t>
  </si>
  <si>
    <t>method</t>
  </si>
  <si>
    <t>h_chain</t>
  </si>
  <si>
    <t>l_chain</t>
  </si>
  <si>
    <t>model_version</t>
  </si>
  <si>
    <t>antibody_id</t>
  </si>
  <si>
    <t>sbio-nipahgpg-001</t>
  </si>
  <si>
    <t>peleke-1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</si>
  <si>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</si>
  <si>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</si>
  <si>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peleke-phi-4</t>
  </si>
  <si>
    <t>sbio-nipahgpg-002</t>
  </si>
  <si>
    <t>sbio-nipahgpg-003</t>
  </si>
  <si>
    <t>sbio-nipahgpg-004</t>
  </si>
  <si>
    <t>sbio-nipahgpg-005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</si>
  <si>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</si>
  <si>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</si>
  <si>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temperature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</si>
  <si>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</si>
  <si>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</si>
  <si>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test_abysis_pass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</si>
  <si>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</si>
  <si>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</si>
  <si>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</si>
  <si>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</si>
  <si>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franken_chain</t>
  </si>
  <si>
    <t>len_franken_chain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</si>
</sst>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E333-1EA1-408F-B435-7786CA9930CF}">
  <dimension ref="A1:E2"/>
  <sheetViews>
    <sheetView workbookViewId="0">
      <selection activeCell="C1" sqref="C1"/>
    </sheetView>
  </sheetViews>
  <sheetFormatPr defaultRowHeight="15" x14ac:dyDescent="0.25"/>
  <cols>
    <col min="1" max="1" width="10.42578125" style="1" bestFit="1" customWidth="1"/>
    <col min="2" max="2" width="14.5703125" style="1" bestFit="1" customWidth="1"/>
    <col min="3" max="3" width="78.5703125" style="1" customWidth="1"/>
    <col min="4" max="4" width="44.140625" style="1" customWidth="1"/>
    <col min="5" max="5" width="93.28515625" style="1" customWidth="1"/>
    <col min="6" max="16384" width="9.140625" style="1"/>
  </cols>
  <sheetData>
    <row r="1" spans="1:5" x14ac:dyDescent="0.25">
      <c r="A1" s="1" t="s">
        <v>1</v>
      </c>
      <c r="B1" s="1" t="s">
        <v>3</v>
      </c>
      <c r="C1" s="1" t="s">
        <v>2</v>
      </c>
      <c r="D1" s="1" t="s">
        <v>5</v>
      </c>
      <c r="E1" s="1" t="s">
        <v>9</v>
      </c>
    </row>
    <row r="2" spans="1:5" ht="105" x14ac:dyDescent="0.25">
      <c r="A2" s="1" t="s">
        <v>7</v>
      </c>
      <c r="B2" s="1" t="s">
        <v>4</v>
      </c>
      <c r="C2" s="2" t="s">
        <v>0</v>
      </c>
      <c r="D2" s="2" t="s">
        <v>6</v>
      </c>
      <c r="E2" s="2" t="s">
        <v>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7A58-5172-4962-953B-A6DE58BB841B}">
  <dimension ref="A1:I6"/>
  <sheetViews>
    <sheetView tabSelected="1" zoomScale="130" zoomScaleNormal="130" workbookViewId="0">
      <selection activeCell="J2" sqref="J2"/>
    </sheetView>
  </sheetViews>
  <sheetFormatPr defaultRowHeight="15" x14ac:dyDescent="0.25"/>
  <cols>
    <col min="1" max="1" width="17.85546875" style="1" bestFit="1" customWidth="1"/>
    <col min="2" max="2" width="8.42578125" style="1" bestFit="1" customWidth="1"/>
    <col min="3" max="3" width="14" style="1" bestFit="1" customWidth="1"/>
    <col min="4" max="4" width="11.7109375" style="1" bestFit="1" customWidth="1"/>
    <col min="5" max="5" width="54" style="2" customWidth="1"/>
    <col min="6" max="6" width="42.140625" style="2" customWidth="1"/>
    <col min="7" max="7" width="16" style="1" bestFit="1" customWidth="1"/>
    <col min="8" max="8" width="71.28515625" style="2" customWidth="1"/>
    <col min="9" max="9" width="17.42578125" style="1" bestFit="1" customWidth="1"/>
    <col min="10" max="16384" width="9.140625" style="1"/>
  </cols>
  <sheetData>
    <row r="1" spans="1:9" x14ac:dyDescent="0.25">
      <c r="A1" s="1" t="s">
        <v>14</v>
      </c>
      <c r="B1" s="1" t="s">
        <v>10</v>
      </c>
      <c r="C1" s="1" t="s">
        <v>13</v>
      </c>
      <c r="D1" s="1" t="s">
        <v>26</v>
      </c>
      <c r="E1" s="2" t="s">
        <v>11</v>
      </c>
      <c r="F1" s="2" t="s">
        <v>12</v>
      </c>
      <c r="G1" s="1" t="s">
        <v>29</v>
      </c>
      <c r="H1" s="2" t="s">
        <v>34</v>
      </c>
      <c r="I1" s="1" t="s">
        <v>35</v>
      </c>
    </row>
    <row r="2" spans="1:9" ht="75" x14ac:dyDescent="0.25">
      <c r="A2" s="1" t="s">
        <v>15</v>
      </c>
      <c r="B2" s="1" t="s">
        <v>16</v>
      </c>
      <c r="C2" s="1" t="s">
        <v>19</v>
      </c>
      <c r="D2" s="1">
        <v>0.7</v>
      </c>
      <c r="E2" s="2" t="s">
        <v>17</v>
      </c>
      <c r="F2" s="2" t="s">
        <v>18</v>
      </c>
      <c r="G2" s="1" t="b">
        <v>1</v>
      </c>
      <c r="H2" s="2" t="str">
        <f>_xlfn.CONCAT(E2,"GGGSGGGSGGGSGGGS",F2)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I2" s="1">
        <f>LEN(H2)</f>
        <v>246</v>
      </c>
    </row>
    <row r="3" spans="1:9" ht="60" x14ac:dyDescent="0.25">
      <c r="A3" s="1" t="s">
        <v>20</v>
      </c>
      <c r="B3" s="1" t="s">
        <v>16</v>
      </c>
      <c r="C3" s="1" t="s">
        <v>19</v>
      </c>
      <c r="D3" s="1">
        <v>0.7</v>
      </c>
      <c r="E3" s="2" t="s">
        <v>24</v>
      </c>
      <c r="F3" s="2" t="s">
        <v>25</v>
      </c>
      <c r="G3" s="1" t="b">
        <v>1</v>
      </c>
      <c r="H3" s="2" t="str">
        <f t="shared" ref="H3:H6" si="0">_xlfn.CONCAT(E3,"GGGSGGGSGGGSGGGS",F3)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I3" s="1">
        <f t="shared" ref="I3:I6" si="1">LEN(H3)</f>
        <v>240</v>
      </c>
    </row>
    <row r="4" spans="1:9" ht="60" x14ac:dyDescent="0.25">
      <c r="A4" s="1" t="s">
        <v>21</v>
      </c>
      <c r="B4" s="1" t="s">
        <v>16</v>
      </c>
      <c r="C4" s="1" t="s">
        <v>19</v>
      </c>
      <c r="D4" s="1">
        <v>0.9</v>
      </c>
      <c r="E4" s="2" t="s">
        <v>27</v>
      </c>
      <c r="F4" s="2" t="s">
        <v>28</v>
      </c>
      <c r="G4" s="1" t="b">
        <v>1</v>
      </c>
      <c r="H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I4" s="1">
        <f t="shared" si="1"/>
        <v>239</v>
      </c>
    </row>
    <row r="5" spans="1:9" ht="60" x14ac:dyDescent="0.25">
      <c r="A5" s="1" t="s">
        <v>22</v>
      </c>
      <c r="B5" s="1" t="s">
        <v>16</v>
      </c>
      <c r="C5" s="1" t="s">
        <v>19</v>
      </c>
      <c r="D5" s="1">
        <v>0.9</v>
      </c>
      <c r="E5" s="2" t="s">
        <v>30</v>
      </c>
      <c r="F5" s="2" t="s">
        <v>31</v>
      </c>
      <c r="G5" s="1" t="b">
        <v>1</v>
      </c>
      <c r="H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I5" s="1">
        <f t="shared" si="1"/>
        <v>240</v>
      </c>
    </row>
    <row r="6" spans="1:9" ht="60" x14ac:dyDescent="0.25">
      <c r="A6" s="1" t="s">
        <v>23</v>
      </c>
      <c r="B6" s="1" t="s">
        <v>16</v>
      </c>
      <c r="C6" s="1" t="s">
        <v>19</v>
      </c>
      <c r="D6" s="1">
        <v>0.5</v>
      </c>
      <c r="E6" s="2" t="s">
        <v>32</v>
      </c>
      <c r="F6" s="2" t="s">
        <v>33</v>
      </c>
      <c r="G6" s="1" t="b">
        <v>1</v>
      </c>
      <c r="H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I6" s="1">
        <f t="shared" si="1"/>
        <v>238</v>
      </c>
    </row>
  </sheetData>
  <phoneticPr fontId="1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Antigens</vt:lpstr>
      <vt:lpstr>Antibody Candidates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2025-10-28T14:23:07Z</dcterms:created>
  <dcterms:modified xsi:type="dcterms:W3CDTF">2025-10-28T19:18:02Z</dcterms:modified>
</cp:coreProperties>
</file>